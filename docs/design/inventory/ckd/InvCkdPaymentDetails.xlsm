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6" i="5" l="1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F17" i="5"/>
  <c r="F18" i="5"/>
  <c r="F19" i="5"/>
  <c r="F20" i="5"/>
  <c r="F21" i="5"/>
  <c r="F22" i="5"/>
  <c r="F23" i="5"/>
  <c r="F24" i="5"/>
  <c r="F25" i="5"/>
  <c r="F26" i="5"/>
  <c r="F27" i="5"/>
  <c r="F28" i="5"/>
  <c r="V28" i="5" s="1"/>
  <c r="F29" i="5"/>
  <c r="F30" i="5"/>
  <c r="F31" i="5"/>
  <c r="F32" i="5"/>
  <c r="F33" i="5"/>
  <c r="F34" i="5"/>
  <c r="F35" i="5"/>
  <c r="F36" i="5"/>
  <c r="F37" i="5"/>
  <c r="F38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L30" i="5" s="1"/>
  <c r="E31" i="5"/>
  <c r="E32" i="5"/>
  <c r="V32" i="5" s="1"/>
  <c r="E33" i="5"/>
  <c r="L33" i="5" s="1"/>
  <c r="E34" i="5"/>
  <c r="E35" i="5"/>
  <c r="E36" i="5"/>
  <c r="E37" i="5"/>
  <c r="E38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C32" i="5"/>
  <c r="B32" i="5"/>
  <c r="L31" i="5"/>
  <c r="C31" i="5"/>
  <c r="B31" i="5"/>
  <c r="C30" i="5"/>
  <c r="B30" i="5"/>
  <c r="L29" i="5"/>
  <c r="C29" i="5"/>
  <c r="B29" i="5"/>
  <c r="C28" i="5"/>
  <c r="B28" i="5"/>
  <c r="L27" i="5"/>
  <c r="C27" i="5"/>
  <c r="B27" i="5"/>
  <c r="C26" i="5"/>
  <c r="B26" i="5"/>
  <c r="C25" i="5"/>
  <c r="B25" i="5"/>
  <c r="V35" i="5"/>
  <c r="C35" i="5"/>
  <c r="B35" i="5"/>
  <c r="C34" i="5"/>
  <c r="B34" i="5"/>
  <c r="C33" i="5"/>
  <c r="B33" i="5"/>
  <c r="C24" i="5"/>
  <c r="B24" i="5"/>
  <c r="V23" i="5"/>
  <c r="C23" i="5"/>
  <c r="B23" i="5"/>
  <c r="C37" i="5"/>
  <c r="B37" i="5"/>
  <c r="C36" i="5"/>
  <c r="B36" i="5"/>
  <c r="C22" i="5"/>
  <c r="B22" i="5"/>
  <c r="L24" i="1"/>
  <c r="G24" i="1"/>
  <c r="E24" i="1"/>
  <c r="H24" i="1" s="1"/>
  <c r="W24" i="1" s="1"/>
  <c r="D24" i="1"/>
  <c r="V24" i="1" s="1"/>
  <c r="L23" i="1"/>
  <c r="G23" i="1"/>
  <c r="E23" i="1"/>
  <c r="H23" i="1" s="1"/>
  <c r="D23" i="1"/>
  <c r="T23" i="1" s="1"/>
  <c r="L22" i="1"/>
  <c r="G22" i="1"/>
  <c r="E22" i="1"/>
  <c r="H22" i="1" s="1"/>
  <c r="O22" i="1" s="1"/>
  <c r="D22" i="1"/>
  <c r="V22" i="1" s="1"/>
  <c r="L21" i="1"/>
  <c r="G21" i="1"/>
  <c r="E21" i="1"/>
  <c r="H21" i="1" s="1"/>
  <c r="D21" i="1"/>
  <c r="V21" i="1" s="1"/>
  <c r="L20" i="1"/>
  <c r="G20" i="1"/>
  <c r="E20" i="1"/>
  <c r="H20" i="1" s="1"/>
  <c r="D20" i="1"/>
  <c r="V20" i="1" s="1"/>
  <c r="L19" i="1"/>
  <c r="G19" i="1"/>
  <c r="E19" i="1"/>
  <c r="H19" i="1" s="1"/>
  <c r="D19" i="1"/>
  <c r="T19" i="1" s="1"/>
  <c r="T18" i="1"/>
  <c r="L18" i="1"/>
  <c r="G18" i="1"/>
  <c r="E18" i="1"/>
  <c r="H18" i="1" s="1"/>
  <c r="O18" i="1" s="1"/>
  <c r="D18" i="1"/>
  <c r="P18" i="1" s="1"/>
  <c r="L17" i="1"/>
  <c r="G17" i="1"/>
  <c r="E17" i="1"/>
  <c r="H17" i="1" s="1"/>
  <c r="D17" i="1"/>
  <c r="V17" i="1" s="1"/>
  <c r="L16" i="1"/>
  <c r="G16" i="1"/>
  <c r="E16" i="1"/>
  <c r="H16" i="1" s="1"/>
  <c r="W16" i="1" s="1"/>
  <c r="D16" i="1"/>
  <c r="T16" i="1" s="1"/>
  <c r="L15" i="1"/>
  <c r="G15" i="1"/>
  <c r="E15" i="1"/>
  <c r="H15" i="1" s="1"/>
  <c r="D15" i="1"/>
  <c r="T15" i="1" s="1"/>
  <c r="L14" i="1"/>
  <c r="G14" i="1"/>
  <c r="E14" i="1"/>
  <c r="H14" i="1" s="1"/>
  <c r="O14" i="1" s="1"/>
  <c r="D14" i="1"/>
  <c r="P14" i="1" s="1"/>
  <c r="L13" i="1"/>
  <c r="G13" i="1"/>
  <c r="E13" i="1"/>
  <c r="H13" i="1" s="1"/>
  <c r="D13" i="1"/>
  <c r="V13" i="1" s="1"/>
  <c r="L12" i="1"/>
  <c r="G12" i="1"/>
  <c r="E12" i="1"/>
  <c r="H12" i="1" s="1"/>
  <c r="M12" i="1" s="1"/>
  <c r="D12" i="1"/>
  <c r="T12" i="1" s="1"/>
  <c r="L31" i="1"/>
  <c r="G31" i="1"/>
  <c r="E31" i="1"/>
  <c r="H31" i="1" s="1"/>
  <c r="D31" i="1"/>
  <c r="V31" i="1" s="1"/>
  <c r="L30" i="1"/>
  <c r="G30" i="1"/>
  <c r="E30" i="1"/>
  <c r="H30" i="1" s="1"/>
  <c r="O30" i="1" s="1"/>
  <c r="D30" i="1"/>
  <c r="P30" i="1" s="1"/>
  <c r="L29" i="1"/>
  <c r="G29" i="1"/>
  <c r="E29" i="1"/>
  <c r="H29" i="1" s="1"/>
  <c r="D29" i="1"/>
  <c r="V29" i="1" s="1"/>
  <c r="L28" i="1"/>
  <c r="G28" i="1"/>
  <c r="E28" i="1"/>
  <c r="H28" i="1" s="1"/>
  <c r="W28" i="1" s="1"/>
  <c r="D28" i="1"/>
  <c r="V28" i="1" s="1"/>
  <c r="L27" i="1"/>
  <c r="G27" i="1"/>
  <c r="E27" i="1"/>
  <c r="H27" i="1" s="1"/>
  <c r="D27" i="1"/>
  <c r="T27" i="1" s="1"/>
  <c r="L26" i="1"/>
  <c r="G26" i="1"/>
  <c r="E26" i="1"/>
  <c r="H26" i="1" s="1"/>
  <c r="O26" i="1" s="1"/>
  <c r="D26" i="1"/>
  <c r="V26" i="1" s="1"/>
  <c r="L25" i="1"/>
  <c r="G25" i="1"/>
  <c r="E25" i="1"/>
  <c r="H25" i="1" s="1"/>
  <c r="D25" i="1"/>
  <c r="V25" i="1" s="1"/>
  <c r="L11" i="1"/>
  <c r="G11" i="1"/>
  <c r="E11" i="1"/>
  <c r="H11" i="1" s="1"/>
  <c r="W11" i="1" s="1"/>
  <c r="D11" i="1"/>
  <c r="V11" i="1" s="1"/>
  <c r="V34" i="5" l="1"/>
  <c r="L34" i="5"/>
  <c r="L35" i="5"/>
  <c r="L26" i="5"/>
  <c r="V22" i="5"/>
  <c r="V33" i="5"/>
  <c r="L25" i="5"/>
  <c r="V25" i="5"/>
  <c r="L37" i="5"/>
  <c r="L22" i="5"/>
  <c r="V37" i="5"/>
  <c r="L23" i="5"/>
  <c r="V29" i="5"/>
  <c r="V27" i="5"/>
  <c r="V31" i="5"/>
  <c r="L32" i="5"/>
  <c r="V26" i="5"/>
  <c r="L28" i="5"/>
  <c r="V30" i="5"/>
  <c r="L24" i="5"/>
  <c r="V24" i="5"/>
  <c r="V36" i="5"/>
  <c r="L36" i="5"/>
  <c r="M16" i="1"/>
  <c r="W20" i="1"/>
  <c r="M20" i="1"/>
  <c r="V30" i="1"/>
  <c r="T30" i="1"/>
  <c r="M24" i="1"/>
  <c r="P24" i="1"/>
  <c r="T24" i="1"/>
  <c r="V23" i="1"/>
  <c r="P22" i="1"/>
  <c r="T22" i="1"/>
  <c r="P20" i="1"/>
  <c r="T20" i="1"/>
  <c r="V19" i="1"/>
  <c r="V18" i="1"/>
  <c r="P16" i="1"/>
  <c r="V15" i="1"/>
  <c r="T14" i="1"/>
  <c r="V14" i="1"/>
  <c r="W12" i="1"/>
  <c r="P12" i="1"/>
  <c r="M21" i="1"/>
  <c r="W21" i="1"/>
  <c r="J21" i="1"/>
  <c r="I21" i="1"/>
  <c r="O21" i="1"/>
  <c r="N21" i="1"/>
  <c r="O15" i="1"/>
  <c r="N15" i="1"/>
  <c r="W15" i="1"/>
  <c r="M15" i="1"/>
  <c r="J15" i="1"/>
  <c r="I15" i="1"/>
  <c r="O19" i="1"/>
  <c r="N19" i="1"/>
  <c r="I19" i="1"/>
  <c r="M19" i="1"/>
  <c r="W19" i="1"/>
  <c r="J19" i="1"/>
  <c r="N23" i="1"/>
  <c r="I23" i="1"/>
  <c r="O23" i="1"/>
  <c r="M23" i="1"/>
  <c r="W23" i="1"/>
  <c r="J23" i="1"/>
  <c r="M13" i="1"/>
  <c r="W13" i="1"/>
  <c r="J13" i="1"/>
  <c r="I13" i="1"/>
  <c r="N13" i="1"/>
  <c r="O13" i="1"/>
  <c r="M17" i="1"/>
  <c r="I17" i="1"/>
  <c r="W17" i="1"/>
  <c r="J17" i="1"/>
  <c r="O17" i="1"/>
  <c r="N17" i="1"/>
  <c r="N12" i="1"/>
  <c r="N16" i="1"/>
  <c r="P13" i="1"/>
  <c r="I14" i="1"/>
  <c r="P17" i="1"/>
  <c r="I18" i="1"/>
  <c r="N20" i="1"/>
  <c r="P21" i="1"/>
  <c r="I22" i="1"/>
  <c r="N24" i="1"/>
  <c r="O12" i="1"/>
  <c r="T13" i="1"/>
  <c r="J14" i="1"/>
  <c r="W14" i="1"/>
  <c r="O16" i="1"/>
  <c r="T17" i="1"/>
  <c r="J18" i="1"/>
  <c r="W18" i="1"/>
  <c r="O20" i="1"/>
  <c r="T21" i="1"/>
  <c r="J22" i="1"/>
  <c r="W22" i="1"/>
  <c r="O24" i="1"/>
  <c r="V27" i="1"/>
  <c r="P26" i="1"/>
  <c r="M18" i="1"/>
  <c r="I12" i="1"/>
  <c r="V12" i="1"/>
  <c r="N14" i="1"/>
  <c r="P15" i="1"/>
  <c r="I16" i="1"/>
  <c r="V16" i="1"/>
  <c r="N18" i="1"/>
  <c r="P19" i="1"/>
  <c r="I20" i="1"/>
  <c r="N22" i="1"/>
  <c r="P23" i="1"/>
  <c r="I24" i="1"/>
  <c r="M14" i="1"/>
  <c r="M22" i="1"/>
  <c r="T26" i="1"/>
  <c r="J12" i="1"/>
  <c r="J16" i="1"/>
  <c r="J20" i="1"/>
  <c r="J24" i="1"/>
  <c r="N29" i="1"/>
  <c r="M29" i="1"/>
  <c r="I29" i="1"/>
  <c r="W29" i="1"/>
  <c r="J29" i="1"/>
  <c r="O29" i="1"/>
  <c r="N25" i="1"/>
  <c r="M25" i="1"/>
  <c r="O25" i="1"/>
  <c r="W25" i="1"/>
  <c r="J25" i="1"/>
  <c r="I25" i="1"/>
  <c r="I31" i="1"/>
  <c r="W31" i="1"/>
  <c r="J31" i="1"/>
  <c r="O31" i="1"/>
  <c r="N31" i="1"/>
  <c r="M31" i="1"/>
  <c r="I27" i="1"/>
  <c r="O27" i="1"/>
  <c r="W27" i="1"/>
  <c r="J27" i="1"/>
  <c r="N27" i="1"/>
  <c r="M27" i="1"/>
  <c r="I26" i="1"/>
  <c r="P29" i="1"/>
  <c r="I30" i="1"/>
  <c r="O11" i="1"/>
  <c r="T25" i="1"/>
  <c r="J26" i="1"/>
  <c r="W26" i="1"/>
  <c r="O28" i="1"/>
  <c r="T29" i="1"/>
  <c r="J30" i="1"/>
  <c r="W30" i="1"/>
  <c r="N11" i="1"/>
  <c r="P25" i="1"/>
  <c r="P28" i="1"/>
  <c r="T28" i="1"/>
  <c r="M30" i="1"/>
  <c r="T11" i="1"/>
  <c r="M26" i="1"/>
  <c r="I28" i="1"/>
  <c r="N30" i="1"/>
  <c r="P31" i="1"/>
  <c r="M11" i="1"/>
  <c r="M28" i="1"/>
  <c r="N28" i="1"/>
  <c r="P11" i="1"/>
  <c r="I11" i="1"/>
  <c r="N26" i="1"/>
  <c r="P27" i="1"/>
  <c r="J11" i="1"/>
  <c r="J28" i="1"/>
  <c r="T31" i="1"/>
  <c r="B7" i="5" l="1"/>
  <c r="B6" i="5"/>
  <c r="B2" i="5"/>
  <c r="B8" i="5" l="1"/>
  <c r="B3" i="5"/>
  <c r="C21" i="5"/>
  <c r="B21" i="5"/>
  <c r="C20" i="5"/>
  <c r="B20" i="5"/>
  <c r="V21" i="5" l="1"/>
  <c r="V20" i="5"/>
  <c r="L20" i="5"/>
  <c r="L21" i="5"/>
  <c r="C18" i="5"/>
  <c r="B18" i="5"/>
  <c r="C17" i="5"/>
  <c r="B17" i="5"/>
  <c r="C16" i="5"/>
  <c r="B16" i="5"/>
  <c r="D16" i="5" s="1"/>
  <c r="B6" i="1" l="1"/>
  <c r="V19" i="5" l="1"/>
  <c r="C19" i="5"/>
  <c r="B19" i="5"/>
  <c r="C15" i="5"/>
  <c r="B15" i="5"/>
  <c r="D15" i="5" s="1"/>
  <c r="T15" i="5" s="1"/>
  <c r="V18" i="5" l="1"/>
  <c r="V17" i="5"/>
  <c r="L18" i="5"/>
  <c r="L17" i="5"/>
  <c r="C38" i="5" l="1"/>
  <c r="B38" i="5"/>
  <c r="G32" i="1"/>
  <c r="E32" i="1"/>
  <c r="H32" i="1" s="1"/>
  <c r="D32" i="1"/>
  <c r="V32" i="1" s="1"/>
  <c r="V38" i="5" l="1"/>
  <c r="W32" i="1"/>
  <c r="J32" i="1"/>
  <c r="I32" i="1"/>
  <c r="O32" i="1"/>
  <c r="N32" i="1"/>
  <c r="M32" i="1"/>
  <c r="P32" i="1"/>
  <c r="T32" i="1"/>
  <c r="G9" i="1"/>
  <c r="F15" i="5" s="1"/>
  <c r="E9" i="1"/>
  <c r="H9" i="1" s="1"/>
  <c r="E15" i="5" s="1"/>
  <c r="D9" i="1"/>
  <c r="V9" i="1" s="1"/>
  <c r="L38" i="5" l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L16" i="5"/>
  <c r="L19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34" i="1"/>
  <c r="K12" i="5" l="1"/>
  <c r="H12" i="5"/>
  <c r="V12" i="5"/>
  <c r="T12" i="5"/>
  <c r="U12" i="5"/>
  <c r="I12" i="5"/>
  <c r="L12" i="5"/>
  <c r="S12" i="5"/>
  <c r="R3" i="1" l="1"/>
  <c r="D1" i="1"/>
  <c r="F6" i="1"/>
  <c r="T34" i="1"/>
  <c r="T13" i="5"/>
  <c r="T7" i="1" l="1"/>
  <c r="W34" i="1"/>
  <c r="G6" i="1" l="1"/>
  <c r="V13" i="5"/>
  <c r="H13" i="5"/>
  <c r="I13" i="5"/>
  <c r="U13" i="5"/>
  <c r="S13" i="5"/>
  <c r="L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32" i="1" l="1"/>
  <c r="L9" i="1"/>
  <c r="L10" i="1"/>
  <c r="C7" i="1"/>
  <c r="N34" i="1"/>
  <c r="I34" i="1"/>
  <c r="J34" i="1"/>
  <c r="P34" i="1"/>
  <c r="O34" i="1"/>
  <c r="Q7" i="1" l="1"/>
  <c r="M68" i="3" s="1"/>
  <c r="L7" i="1"/>
  <c r="G68" i="3" s="1"/>
  <c r="K68" i="3"/>
  <c r="J68" i="3"/>
  <c r="M34" i="1"/>
  <c r="K3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<sst xmlns="http://schemas.openxmlformats.org/spreadsheetml/2006/main" count="528" uniqueCount="393">
  <si>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</si>
  <si>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</si>
  <si>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</si>
  <si>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</si>
  <si>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</si>
  <si>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</si>
  <si>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</si>
  <si>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</si>
  <si>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</si>
  <si>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</si>
  <si>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</si>
  <si>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</si>
  <si>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</si>
  <si>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</si>
  <si>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</si>
  <si>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</si>
  <si>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</si>
  <si>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</si>
  <si>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</si>
  <si>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</si>
  <si>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</si>
  <si>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</si>
  <si>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</si>
  <si>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</si>
  <si>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</si>
  <si>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</si>
  <si>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</si>
  <si>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</si>
  <si>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</si>
  <si>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</si>
  <si>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</si>
  <si>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</si>
  <si>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</si>
  <si>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</si>
  <si>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</si>
  <si>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</si>
  <si>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</si>
  <si>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</si>
  <si>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</si>
  <si>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</si>
  <si>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</si>
  <si>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</si>
  <si>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</si>
  <si>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</si>
  <si>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</si>
  <si>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</si>
  <si>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</si>
  <si>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</si>
  <si>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</si>
  <si>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</si>
  <si>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</si>
  <si>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</si>
  <si>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</si>
  <si>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</si>
  <si>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</si>
  <si>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</si>
  <si>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</si>
  <si>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</si>
  <si>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</si>
  <si>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</si>
  <si>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</si>
  <si>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</si>
  <si>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</si>
  <si>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</si>
  <si>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</si>
  <si>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</si>
  <si>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</si>
  <si>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</si>
  <si>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</si>
  <si>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</si>
  <si>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</si>
  <si>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</si>
  <si>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</si>
  <si>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</si>
  <si>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</si>
  <si>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</si>
  <si>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</si>
  <si>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</si>
  <si>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</si>
  <si>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</si>
  <si>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</si>
  <si>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</si>
  <si>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</si>
  <si>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</si>
  <si>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</si>
  <si>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</si>
  <si>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</si>
  <si>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</si>
  <si>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</si>
  <si>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</si>
  <si>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</si>
  <si>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</si>
  <si>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</si>
  <si>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</si>
  <si>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</si>
  <si>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</si>
  <si>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</si>
  <si>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</si>
  <si>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</si>
  <si>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</si>
  <si>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</si>
  <si>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</si>
  <si>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</si>
  <si>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</si>
  <si>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</si>
  <si>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</si>
  <si>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</si>
  <si>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</si>
  <si>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</si>
  <si>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</si>
  <si>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</si>
  <si>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</si>
  <si>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</si>
  <si>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</si>
  <si>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</si>
  <si>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</si>
  <si>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</si>
  <si>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</si>
  <si>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</si>
  <si>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</si>
  <si>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</si>
  <si>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</si>
  <si>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</si>
  <si>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</si>
  <si>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</si>
  <si>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</si>
  <si>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</si>
  <si>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</si>
  <si>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</si>
  <si>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</si>
  <si>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</si>
  <si>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</si>
  <si>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</si>
  <si>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</si>
  <si>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</si>
  <si>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</si>
  <si>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</si>
  <si>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</si>
  <si>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</si>
  <si>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</si>
  <si>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</si>
  <si>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</si>
  <si>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</si>
  <si>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</si>
  <si>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</si>
  <si>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</si>
  <si>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</si>
  <si>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</si>
  <si>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</si>
  <si>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</si>
  <si>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</si>
  <si>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</si>
  <si>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</si>
  <si>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</si>
  <si>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</si>
  <si>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</si>
  <si>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</si>
  <si>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</si>
  <si>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</si>
  <si>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</si>
  <si>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</si>
  <si>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</si>
  <si>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</si>
  <si>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</si>
  <si>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</si>
  <si>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</si>
  <si>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</si>
  <si>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</si>
  <si>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</si>
  <si>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</si>
  <si>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</si>
  <si>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</si>
  <si>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</si>
  <si>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</si>
  <si>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</si>
  <si>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</si>
  <si>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</si>
  <si>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</si>
  <si>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</si>
  <si>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</si>
  <si>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</si>
  <si>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</si>
  <si>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</si>
  <si>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</si>
  <si>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</si>
  <si>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</si>
  <si>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</si>
  <si>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</si>
  <si>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</si>
  <si>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</si>
  <si>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</si>
  <si>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</si>
  <si>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</si>
  <si>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</si>
  <si>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</si>
  <si>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</si>
  <si>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</si>
  <si>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</si>
  <si>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</si>
  <si>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</si>
  <si>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</si>
  <si>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</si>
  <si>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</si>
  <si>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</si>
  <si>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</si>
  <si>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</si>
  <si>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</si>
  <si>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</si>
  <si>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</si>
  <si>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</si>
  <si>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</si>
  <si>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</si>
  <si>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</si>
  <si>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</si>
  <si>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</si>
  <si>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</si>
  <si>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</si>
  <si>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</si>
  <si>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</si>
  <si>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</si>
  <si>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</si>
  <si>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</si>
  <si>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</si>
  <si>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</si>
  <si>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</si>
  <si>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</si>
  <si>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</si>
  <si>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</si>
  <si>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</si>
  <si>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</si>
  <si>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</si>
  <si>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</si>
  <si>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</si>
  <si>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</si>
  <si>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</si>
  <si>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</si>
  <si>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</si>
  <si>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</si>
  <si>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</si>
  <si>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</si>
  <si>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</si>
  <si>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</si>
  <si>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</si>
  <si>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</si>
  <si>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</si>
  <si>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</si>
  <si>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</si>
  <si>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</si>
  <si>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</si>
  <si>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</si>
  <si>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</si>
  <si>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</si>
  <si>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</si>
  <si>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</si>
  <si>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</si>
  <si>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</si>
  <si>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</si>
  <si>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</si>
  <si>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</si>
  <si>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</si>
  <si>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</si>
  <si>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</si>
  <si>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</si>
  <si>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</si>
  <si>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</si>
  <si>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</si>
  <si>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</si>
  <si>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</si>
  <si>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</si>
  <si>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</si>
  <si>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</si>
  <si>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</si>
  <si>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</si>
  <si>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</si>
  <si>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</si>
  <si>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</si>
  <si>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</si>
  <si>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</si>
  <si>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</si>
  <si>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</si>
  <si>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</si>
  <si>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</si>
  <si>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</si>
  <si>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</si>
  <si>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</si>
  <si>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</si>
  <si>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</si>
  <si>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</si>
  <si>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</si>
  <si>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</si>
  <si>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</si>
  <si>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</si>
  <si>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</si>
  <si>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</si>
  <si>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</si>
  <si>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</si>
  <si>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</si>
  <si>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</si>
  <si>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</si>
  <si>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</si>
  <si>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</si>
  <si>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</si>
  <si>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</si>
  <si>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</si>
  <si>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</si>
  <si>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</si>
  <si>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</si>
  <si>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</si>
  <si>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</si>
  <si>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</si>
  <si>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</si>
  <si>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</si>
  <si>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</si>
  <si>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</si>
  <si>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</si>
  <si>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</si>
  <si>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</si>
  <si>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</si>
  <si>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</si>
  <si>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</si>
  <si>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</si>
  <si>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</si>
  <si>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</si>
  <si>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</si>
  <si>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</si>
  <si>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</si>
  <si>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</si>
  <si>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</si>
  <si>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</si>
  <si>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</si>
  <si>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</si>
  <si>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</si>
  <si>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</si>
  <si>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</si>
  <si>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</si>
  <si>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</si>
  <si>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</si>
  <si>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</si>
  <si>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</si>
  <si>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</si>
  <si>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</si>
  <si>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</si>
  <si>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</si>
  <si>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</si>
  <si>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</si>
  <si>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</si>
  <si>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</si>
  <si>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</si>
  <si>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</si>
  <si>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</si>
  <si>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</si>
  <si>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</si>
  <si>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ORDERTYPE_CODE</t>
  </si>
  <si>
    <t>varchar(20)</t>
  </si>
  <si>
    <t>varchar(2)</t>
  </si>
  <si>
    <t>int?</t>
  </si>
  <si>
    <t>long?</t>
  </si>
  <si>
    <t>DateTime?</t>
  </si>
  <si>
    <t>TimeSpan?</t>
  </si>
  <si>
    <t>decimal?</t>
  </si>
  <si>
    <t>byte?</t>
  </si>
  <si>
    <t>CUSTOMS_PORT</t>
  </si>
  <si>
    <t>DateTime</t>
  </si>
  <si>
    <t>Date</t>
  </si>
  <si>
    <t>varchar(12)</t>
  </si>
  <si>
    <t>InvCkdPaymentDetails</t>
  </si>
  <si>
    <t>Payment Details</t>
  </si>
  <si>
    <t>CUSTOMS_DECLARE_NO</t>
  </si>
  <si>
    <t>TOTALCIF_CEPT</t>
  </si>
  <si>
    <t>TOTALCIF_NONCEPT</t>
  </si>
  <si>
    <t>TOTALTAX_CEPT</t>
  </si>
  <si>
    <t>TOTALTAX_NONCEPT</t>
  </si>
  <si>
    <t>TOTALVAT_CEPT</t>
  </si>
  <si>
    <t>TOTALVAT_NONCEPT</t>
  </si>
  <si>
    <t>EXCHANG_RATE</t>
  </si>
  <si>
    <t>DECLARE_DATE</t>
  </si>
  <si>
    <t>ACTUAL_TAX</t>
  </si>
  <si>
    <t>ACTUAL_VAT</t>
  </si>
  <si>
    <t>TAX_NOTE</t>
  </si>
  <si>
    <t>INPUT_DATE</t>
  </si>
  <si>
    <t>ACTUAL_PAYMENT_DATE</t>
  </si>
  <si>
    <t>BILLOFLADING_NO</t>
  </si>
  <si>
    <t>STATUS_CUSTOMS</t>
  </si>
  <si>
    <t>PAYMENT_REQ_ID</t>
  </si>
  <si>
    <t>COMPLETE_TAX</t>
  </si>
  <si>
    <t>COMPLETE_VAT</t>
  </si>
  <si>
    <t>FORWARDER</t>
  </si>
  <si>
    <t>varchar(30)</t>
  </si>
  <si>
    <t>decimal(18,5)</t>
  </si>
  <si>
    <t>decimal(18,4)</t>
  </si>
  <si>
    <t>varchar(500)</t>
  </si>
  <si>
    <t>varchar(4)</t>
  </si>
  <si>
    <t>varchar(10)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</si>
</sst>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zoomScaleNormal="100" workbookViewId="0">
      <selection activeCell="D89" sqref="D89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347</v>
      </c>
      <c r="F18" s="1" t="s">
        <v>349</v>
      </c>
      <c r="G18" t="s">
        <v>348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321</v>
      </c>
      <c r="F42" s="1" t="s">
        <v>334</v>
      </c>
      <c r="G42" t="s">
        <v>334</v>
      </c>
    </row>
    <row r="43" spans="1:8" x14ac:dyDescent="0.3">
      <c r="A43" s="1"/>
      <c r="D43" t="s">
        <v>322</v>
      </c>
      <c r="F43" s="1" t="s">
        <v>328</v>
      </c>
      <c r="G43" t="s">
        <v>335</v>
      </c>
    </row>
    <row r="44" spans="1:8" x14ac:dyDescent="0.3">
      <c r="A44" s="1"/>
      <c r="D44" t="s">
        <v>324</v>
      </c>
      <c r="F44" s="1" t="s">
        <v>329</v>
      </c>
      <c r="G44" t="s">
        <v>336</v>
      </c>
    </row>
    <row r="45" spans="1:8" x14ac:dyDescent="0.3">
      <c r="A45" s="1"/>
      <c r="D45" t="s">
        <v>323</v>
      </c>
      <c r="F45" s="1" t="s">
        <v>330</v>
      </c>
      <c r="G45" t="s">
        <v>337</v>
      </c>
    </row>
    <row r="46" spans="1:8" x14ac:dyDescent="0.3">
      <c r="A46" s="1"/>
      <c r="D46" t="s">
        <v>326</v>
      </c>
      <c r="F46" s="1" t="s">
        <v>331</v>
      </c>
      <c r="G46" t="s">
        <v>338</v>
      </c>
    </row>
    <row r="47" spans="1:8" x14ac:dyDescent="0.3">
      <c r="A47" s="1"/>
      <c r="D47" t="s">
        <v>344</v>
      </c>
      <c r="F47" s="1" t="s">
        <v>345</v>
      </c>
      <c r="G47" t="s">
        <v>346</v>
      </c>
    </row>
    <row r="48" spans="1:8" x14ac:dyDescent="0.3">
      <c r="A48" s="1"/>
      <c r="D48" t="s">
        <v>327</v>
      </c>
      <c r="F48" s="1" t="s">
        <v>332</v>
      </c>
      <c r="G48" t="s">
        <v>339</v>
      </c>
    </row>
    <row r="49" spans="1:7" x14ac:dyDescent="0.3">
      <c r="A49" s="1"/>
      <c r="D49" t="s">
        <v>325</v>
      </c>
      <c r="F49" s="1" t="s">
        <v>333</v>
      </c>
      <c r="G49" t="s">
        <v>340</v>
      </c>
    </row>
    <row r="50" spans="1:7" x14ac:dyDescent="0.3">
      <c r="A50" s="1"/>
      <c r="D50" t="s">
        <v>341</v>
      </c>
      <c r="F50" s="1" t="s">
        <v>342</v>
      </c>
      <c r="G50" t="s">
        <v>343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[Table("InvCkdPaymentDetails")]
	public class InvCkdPaymentDetails: FullAuditedEntity&lt;long&gt;, IEntity&lt;long&gt;	
	{
		public const int MaxCustomsDeclareNoLength = 30;
		public const int MaxCustomsPortLength = 12;
		public const int MaxTaxNoteLength = 500;
		public const int MaxBillofladingNoLength = 20;
		public const int MaxStatusCustomsLength = 4;
		public const int MaxStatusLength = 2;
		public const int MaxOrdertypeCodeLength = 2;
		public const int MaxForwarderLength = 10;
		public const int MaxIsActiveLength = 1;
		[StringLength(MaxCustomsDeclareNoLength)]
		public virtual string CustomsDeclareNo { get; set; }
		public virtual decimal? TotalcifCept { get; set; }
		public virtual decimal? TotalcifNoncept { get; set; }
		public virtual decimal? TotaltaxCept { get; set; }
		public virtual decimal? TotaltaxNoncept { get; set; }
		public virtual decimal? TotalvatCept { get; set; }
		public virtual decimal? TotalvatNoncept { get; set; }
		public virtual decimal? ExchangRate { get; set; }
		public virtual DateTime? DeclareDate { get; set; }
		public virtual decimal? ActualTax { get; set; }
		public virtual decimal? ActualVat { get; set; }
		[StringLength(MaxCustomsPortLength)]
		public virtual string CustomsPort { get; set; }
		[StringLength(MaxTaxNoteLength)]
		public virtual string TaxNote { get; set; }
		public virtual DateTime? InputDate { get; set; }
		[Column(TypeName="Date")]
		public virtual DateTime? ActualPaymentDate { get; set; }
		[StringLength(MaxBillofladingNoLength)]
		public virtual string BillofladingNo { get; set; }
		[StringLength(MaxStatusCustomsLength)]
		public virtual string StatusCustoms { get; set; }
		[StringLength(MaxStatusLength)]
		public virtual string Status { get; set; }
		public virtual long? PaymentReqId { get; set; }
		public virtual long? CompleteTax { get; set; }
		public virtual long? CompleteVat { get; set; }
		[StringLength(MaxOrdertypeCodeLength)]
		public virtual string OrdertypeCode { get; set; }
		[StringLength(MaxForwarderLength)]
		public virtual string Forwarder { get; set; }
		[StringLength(MaxIsActiveLength)]
		public virtual string IsActive { get; set; }
	}
}
</v>
      </c>
      <c r="D68" s="48" t="str">
        <f>A.Backend!O7</f>
        <v xml:space="preserve">		public const string Pages_Inventory_CKD_Payment Details = "Pages.Inventory.CKD.Payment Details";
		public const string Pages_Inventory_CKD_Payment Details_CreateEdit = "Pages.Inventory.CKD.Payment Details.CreateEdit";
		public const string Pages_Inventory_CKD_Payment Details_Delete = "Pages.Inventory.CKD.Payment Details.Delete";
</v>
      </c>
      <c r="E68" s="48" t="str">
        <f>A.Backend!N7</f>
        <v xml:space="preserve">		var perInvCkdPaymentDetails = PARENTS.CreateChildPermission(AppPermissions.Pages_Inventory_CKD_Payment Details, L( "InventoryCKDPayment Details"), multiTenancySides: MultiTenancySides.Tenant);
		perInvCkdPaymentDetails.CreateChildPermission(AppPermissions.Pages_Inventory_CKD_Payment Details_CreateEdit, L( "InventoryCKDPayment DetailsCreateEdit"), multiTenancySides: MultiTenancySides.Tenant);
		perInvCkdPaymentDetails.CreateChildPermission(AppPermissions.Pages_Inventory_CKD_Payment Details_Delete, L( "InventoryCKDPayment DetailsDelete"), multiTenancySides: MultiTenancySides.Tenant);</v>
      </c>
      <c r="F68" s="48" t="str">
        <f>A.Backend!K7</f>
        <v>public virtual DbSet&lt;InvCkdPaymentDetails&gt; InvCkdPaymentDetailss { get; set; }</v>
      </c>
      <c r="G68" s="48" t="str">
        <f ca="1">A.Backend!L7</f>
        <v xml:space="preserve">namespace prod.Inventory.CKD
{
	public class InvCkdPaymentDetailsConsts	
	{
		public const int MaxCustomsDeclareNoLength = 30;
		public const int MaxCustomsPortLength = 12;
		public const int MaxTaxNoteLength = 500;
		public const int MaxBillofladingNoLength = 20;
		public const int MaxStatusCustomsLength = 4;
		public const int MaxStatusLength = 2;
		public const int MaxOrdertypeCodeLength = 2;
		public const int MaxForwarderLength = 10;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InvCkdPaymentDetailsDto : EntityDto&lt;long?&gt;	
	{
		public virtual string CustomsDeclareNo { get; set; }
		public virtual decimal? TotalcifCept { get; set; }
		public virtual decimal? TotalcifNoncept { get; set; }
		public virtual decimal? TotaltaxCept { get; set; }
		public virtual decimal? TotaltaxNoncept { get; set; }
		public virtual decimal? TotalvatCept { get; set; }
		public virtual decimal? TotalvatNoncept { get; set; }
		public virtual decimal? ExchangRate { get; set; }
		public virtual DateTime? DeclareDate { get; set; }
		public virtual decimal? ActualTax { get; set; }
		public virtual decimal? ActualVat { get; set; }
		public virtual string CustomsPort { get; set; }
		public virtual string TaxNote { get; set; }
		public virtual DateTime? InputDate { get; set; }
		public virtual DateTime? ActualPaymentDate { get; set; }
		public virtual string BillofladingNo { get; set; }
		public virtual string StatusCustoms { get; set; }
		public virtual string Status { get; set; }
		public virtual long? PaymentReqId { get; set; }
		public virtual long? CompleteTax { get; set; }
		public virtual long? CompleteVat { get; set; }
		public virtual string OrdertypeCode { get; set; }
		public virtual string Forwarder { get; set; }
		public virtual string IsActive { get; set; }
	}
	public class CreateOrEditInvCkdPaymentDetailsDto : EntityDto&lt;long?&gt;	
	{
		[StringLength(InvCkdPaymentDetailsConsts.MaxCustomsDeclareNoLength)]
		public virtual string CustomsDeclareNo { get; set; }
		public virtual decimal? TotalcifCept { get; set; }
		public virtual decimal? TotalcifNoncept { get; set; }
		public virtual decimal? TotaltaxCept { get; set; }
		public virtual decimal? TotaltaxNoncept { get; set; }
		public virtual decimal? TotalvatCept { get; set; }
		public virtual decimal? TotalvatNoncept { get; set; }
		public virtual decimal? ExchangRate { get; set; }
		public virtual DateTime? DeclareDate { get; set; }
		public virtual decimal? ActualTax { get; set; }
		public virtual decimal? ActualVat { get; set; }
		[StringLength(InvCkdPaymentDetailsConsts.MaxCustomsPortLength)]
		public virtual string CustomsPort { get; set; }
		[StringLength(InvCkdPaymentDetailsConsts.MaxTaxNoteLength)]
		public virtual string TaxNote { get; set; }
		public virtual DateTime? InputDate { get; set; }
		public virtual DateTime? ActualPaymentDate { get; set; }
		[StringLength(InvCkdPaymentDetailsConsts.MaxBillofladingNoLength)]
		public virtual string BillofladingNo { get; set; }
		[StringLength(InvCkdPaymentDetailsConsts.MaxStatusCustomsLength)]
		public virtual string StatusCustoms { get; set; }
		[StringLength(InvCkdPaymentDetailsConsts.MaxStatusLength)]
		public virtual string Status { get; set; }
		public virtual long? PaymentReqId { get; set; }
		public virtual long? CompleteTax { get; set; }
		public virtual long? CompleteVat { get; set; }
		[StringLength(InvCkdPaymentDetailsConsts.MaxOrdertypeCodeLength)]
		public virtual string OrdertypeCode { get; set; }
		[StringLength(InvCkdPaymentDetailsConsts.MaxForwarderLength)]
		public virtual string Forwarder { get; set; }
		[StringLength(InvCkdPaymentDetailsConsts.MaxIsActiveLength)]
		public virtual string IsActive { get; set; }
	}
	public class GetInvCkdPaymentDetailsInput : PagedAndSortedResultRequestDto	
	{
		public virtual string CustomsDeclareNo { get; set; }
		public virtual string CustomsPort { get; set; }
		public virtual string TaxNote { get; set; }
		public virtual string BillofladingNo { get; set; }
		public virtual string StatusCustoms { get; set; }
		public virtual string Status { get; set; }
		public virtual string OrdertypeCode { get; set; }
		public virtual string Forwarder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InvCkdPaymentDetailsExportInput{
		public virtual string CustomsDeclareNo { get; set; }
		public virtual decimal? TotalcifCept { get; set; }
		public virtual decimal? TotalcifNoncept { get; set; }
		public virtual decimal? TotaltaxCept { get; set; }
		public virtual decimal? TotaltaxNoncept { get; set; }
		public virtual decimal? TotalvatCept { get; set; }
		public virtual decimal? TotalvatNoncept { get; set; }
		public virtual decimal? ExchangRate { get; set; }
		public virtual DateTime? DeclareDate { get; set; }
		public virtual decimal? ActualTax { get; set; }
		public virtual decimal? ActualVat { get; set; }
		public virtual string CustomsPort { get; set; }
		public virtual string TaxNote { get; set; }
		public virtual DateTime? InputDate { get; set; }
		public virtual DateTime? ActualPaymentDate { get; set; }
		public virtual string BillofladingNo { get; set; }
		public virtual string StatusCustoms { get; set; }
		public virtual string Status { get; set; }
		public virtual long? PaymentReqId { get; set; }
		public virtual long? CompleteTax { get; set; }
		public virtual long? CompleteVat { get; set; }
		public virtual string OrdertypeCode { get; set; }
		public virtual string Forwarder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IInvCkdPaymentDetailsAppService : IApplicationService
	{
		Task&lt;PagedResultDto&lt;InvCkdPaymentDetailsDto&gt;&gt; GetAll(GetInvCkdPaymentDetailsInput input);
		Task CreateOrEdit(CreateOrEditInvCkdPaymentDetailsDto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IInvCkdPaymentDetailsExcelExporter : IApplicationService
	{
		FileDto ExportToFile(List&lt;InvCkdPaymentDetailsDto&gt; invckdpaymentdetails);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InvCkdPaymentDetailsExcelExporter : NpoiExcelExporterBase, IInvCkdPaymentDetailsExcelExporter
    {
        public InvCkdPaymentDetailsExcelExporter(ITempFileCacheManager tempFileCacheManager) : base(tempFileCacheManager) { }
        public FileDto ExportToFile(List&lt;InvCkdPaymentDetailsDto&gt; payment details)
        {
            return CreateExcelPackage(
				"InventoryCKDPayment Details.xlsx",
				excelPackage =&gt;
				 {
					var sheet = excelPackage.CreateSheet("Payment Details");
					AddHeader(
								sheet,
								("CustomsDeclareNo"),
								("TotalcifCept"),
								("TotalcifNoncept"),
								("TotaltaxCept"),
								("TotaltaxNoncept"),
								("TotalvatCept"),
								("TotalvatNoncept"),
								("ExchangRate"),
								("DeclareDate"),
								("ActualTax"),
								("ActualVat"),
								("CustomsPort"),
								("TaxNote"),
								("InputDate"),
								("ActualPaymentDate"),
								("BillofladingNo"),
								("StatusCustoms"),
								("Status"),
								("PaymentReqId"),
								("CompleteTax"),
								("CompleteVat"),
								("OrdertypeCode"),
								("Forwarder"),
								("IsActive"),
							   );
					AddObjects(
						 sheet, 1, payment details,                                       
								_ =&gt; _.CustomsDeclareNo,
								_ =&gt; _.TotalcifCept,
								_ =&gt; _.TotalcifNoncept,
								_ =&gt; _.TotaltaxCept,
								_ =&gt; _.TotaltaxNoncept,
								_ =&gt; _.TotalvatCept,
								_ =&gt; _.TotalvatNoncept,
								_ =&gt; _.ExchangRate,
								_ =&gt; _.DeclareDate,
								_ =&gt; _.ActualTax,
								_ =&gt; _.ActualVat,
								_ =&gt; _.CustomsPort,
								_ =&gt; _.TaxNote,
								_ =&gt; _.InputDate,
								_ =&gt; _.ActualPaymentDate,
								_ =&gt; _.BillofladingNo,
								_ =&gt; _.StatusCustoms,
								_ =&gt; _.Status,
								_ =&gt; _.PaymentReqId,
								_ =&gt; _.CompleteTax,
								_ =&gt; _.CompleteVat,
								_ =&gt; _.OrdertypeCode,
								_ =&gt; _.Forwarder,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[AbpAuthorize(AppPermissions.Pages_Inventory_CKD_Payment Details)]
    public class InvCkdPaymentDetailsAppService : vovinaAppServiceBase, IInvCkdPaymentDetailsAppService
    {
        private readonly IDapperRepository&lt;InvCkdPaymentDetails, long&gt; _dapperRepo;
        private readonly IRepository&lt;InvCkdPaymentDetails, long&gt; _repo;
        private readonly IInvCkdPaymentDetailsExcelExporter _calendarListExcelExporter;
        public InvCkdPaymentDetailsAppService(IRepository&lt;InvCkdPaymentDetails,long&gt; repo, 
                                         IDapperRepository&lt;InvCkdPaymentDetails,long&gt; dapperRepo,
                                        IInvCkdPaymentDetailsExcelExporter calendarListExcelExporter
            )
        {
            _repo = repo;
            _dapperRepo = dapperRepo;
            _calendarListExcelExporter = calendarListExcelExporter;
        }
        [AbpAuthorize(AppPermissions.Pages_Inventory_CKD_Payment Details_CreateEdit)]
        public async Task CreateOrEdit(CreateOrEditInvCkdPaymentDetailsDto input)
        {
            if (input.Id == null) await Create(input);
            else await Update(input);
        }
        //CREATE
        private async Task Create(CreateOrEditInvCkdPaymentDetailsDto input)
        {          
            var mainObj = ObjectMapper.Map&lt;InvCkdPaymentDetails&gt;(input);
            await CurrentUnitOfWork.GetDbContext&lt;vovinaDbContext&gt;().AddAsync(mainObj);
        }
        // EDIT
        private async Task Update(CreateOrEditInvCkdPaymentDetailsDto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[AbpAuthorize(AppPermissions.Pages_Inventory_CKD_Payment 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Task&lt;PagedResultDto&lt;InvCkdPaymentDetailsDto&gt;&gt; GetAll(GetInvCkdPaymentDetailsInput input)
        {
            var filtered = _repo.GetAll()
				.WhereIf(!string.IsNullOrWhiteSpace(input.CustomsDeclareNo), e =&gt; e.CustomsDeclareNo.Contains(input.CustomsDeclareNo))
				.WhereIf(!string.IsNullOrWhiteSpace(input.CustomsPort), e =&gt; e.CustomsPort.Contains(input.CustomsPort))
				.WhereIf(!string.IsNullOrWhiteSpace(input.TaxNote), e =&gt; e.TaxNote.Contains(input.TaxNote))
				.WhereIf(!string.IsNullOrWhiteSpace(input.BillofladingNo), e =&gt; e.BillofladingNo.Contains(input.BillofladingNo))
				.WhereIf(!string.IsNullOrWhiteSpace(input.StatusCustoms), e =&gt; e.StatusCustoms.Contains(input.StatusCustoms))
				.WhereIf(!string.IsNullOrWhiteSpace(input.Status), e =&gt; e.Status.Contains(input.Status))
				.WhereIf(!string.IsNullOrWhiteSpace(input.OrdertypeCode), e =&gt; e.OrdertypeCode.Contains(input.OrdertypeCode))
				.WhereIf(!string.IsNullOrWhiteSpace(input.Forwarder), e =&gt; e.Forwarder.Contains(input.Forwarder))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InvCkdPaymentDetailsDto
                        {
							Id = o.Id,
							CustomsDeclareNo = o.CustomsDeclareNo,
							TotalcifCept = o.TotalcifCept,
							TotalcifNoncept = o.TotalcifNoncept,
							TotaltaxCept = o.TotaltaxCept,
							TotaltaxNoncept = o.TotaltaxNoncept,
							TotalvatCept = o.TotalvatCept,
							TotalvatNoncept = o.TotalvatNoncept,
							ExchangRate = o.ExchangRate,
							DeclareDate = o.DeclareDate,
							ActualTax = o.ActualTax,
							ActualVat = o.ActualVat,
							CustomsPort = o.CustomsPort,
							TaxNote = o.TaxNote,
							InputDate = o.InputDate,
							ActualPaymentDate = o.ActualPaymentDate,
							BillofladingNo = o.BillofladingNo,
							StatusCustoms = o.StatusCustoms,
							Status = o.Status,
							PaymentReqId = o.PaymentReqId,
							CompleteTax = o.CompleteTax,
							CompleteVat = o.CompleteVat,
							OrdertypeCode = o.OrdertypeCode,
							Forwarder = o.Forwarder,
							IsActive = o.IsActive,
                        };
            var totalCount = await filtered.CountAsync();
			var paged = system.PageBy(input);
            return new PagedResultDto&lt;InvCkdPaymentDetailsDto&gt;(
                totalCount,
                 await paged.ToListAsync()
            );
        }
        public async Task&lt;FileDto&gt; GetPayment DetailsToExcel(InvCkdPaymentDetailsExportInput input)
        {
            var query = from o in _repo.GetAll()
                        select new InvCkdPaymentDetailsDto
                        {
							Id = o.Id,
							CustomsDeclareNo = o.CustomsDeclareNo,
							TotalcifCept = o.TotalcifCept,
							TotalcifNoncept = o.TotalcifNoncept,
							TotaltaxCept = o.TotaltaxCept,
							TotaltaxNoncept = o.TotaltaxNoncept,
							TotalvatCept = o.TotalvatCept,
							TotalvatNoncept = o.TotalvatNoncept,
							ExchangRate = o.ExchangRate,
							DeclareDate = o.DeclareDate,
							ActualTax = o.ActualTax,
							ActualVat = o.ActualVat,
							CustomsPort = o.CustomsPort,
							TaxNote = o.TaxNote,
							InputDate = o.InputDate,
							ActualPaymentDate = o.ActualPaymentDate,
							BillofladingNo = o.BillofladingNo,
							StatusCustoms = o.StatusCustoms,
							Status = o.Status,
							PaymentReqId = o.PaymentReqId,
							CompleteTax = o.CompleteTax,
							CompleteVat = o.CompleteVat,
							OrdertypeCode = o.OrdertypeCode,
							Forwarder = o.Forwarder,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_dapperRepo.ExecuteAsync(InvCkdPaymentDetailsConsts.SP_MST_WPT_CALENDAR_GENERATE);
       // }
    }
}</v>
      </c>
      <c r="N68" s="58" t="str">
        <f>A.Backend!U7</f>
        <v xml:space="preserve">  configuration.CreateMap&lt;InvCkdPaymentDetailsDto, InvCkdPaymentDetails&gt;();
  configuration.CreateMap&lt;InvCkdPaymentDetails, InvCkdPaymentDetailsDto&gt;();
  configuration.CreateMap&lt;CreateOrEditInvCkdPaymentDetailsDto, InvCkdPaymentDetails&gt;();</v>
      </c>
    </row>
    <row r="69" spans="2:14" s="15" customFormat="1" ht="21.75" customHeight="1" x14ac:dyDescent="0.3">
      <c r="C69" s="61"/>
      <c r="H69" s="62"/>
      <c r="I69" s="62"/>
      <c r="M69" s="62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payment details</v>
      </c>
      <c r="C73" s="66" t="str">
        <f>"create folder " &amp;B73</f>
        <v>create folder payment details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payment details.component.ts</v>
      </c>
      <c r="D74" s="28" t="str">
        <f>B.Frontend!I14</f>
        <v>payment details.component.html</v>
      </c>
      <c r="E74" s="28" t="str">
        <f>B.Frontend!J14</f>
        <v>payment details.component.less</v>
      </c>
      <c r="F74" s="28" t="str">
        <f>B.Frontend!K14</f>
        <v>create-or-edit-payment details-modal.component.html</v>
      </c>
      <c r="G74" s="28" t="str">
        <f>B.Frontend!L14</f>
        <v>create-or-edit-payment details-modal.component.ts</v>
      </c>
      <c r="H74" s="28" t="str">
        <f>B.Frontend!M14</f>
        <v>create-or-edit-payment details-modal.component.less</v>
      </c>
      <c r="I74" s="28" t="str">
        <f>B.Frontend!N14</f>
        <v>payment details.module.ts</v>
      </c>
      <c r="J74" s="28" t="str">
        <f>B.Frontend!O14</f>
        <v>payment details-routing.module.ts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InvCkdPaymentDetailsDto, InvCkdPaymentDetailsServiceProxy } from '@shared/service-proxies/service-proxies';
import { finalize } from 'rxjs/internal/operators/finalize';
import { CreateOrEditPayment DetailsModalComponent } from './create-or-edit-payment details-modal.component';
import { DatePipe } from '@angular/common';
import { FileDownloadService } from '@shared/utils/file-download.service';
import ceil from 'lodash-es/ceil';
import { Paginator } from 'primeng/paginator';
@Component({
    templateUrl: './payment details.component.html',
    styleUrls: ['./payment details.component.less'],
})
export class Payment DetailsComponent extends AppComponentBase implements OnInit {
    @ViewChild('createOrEditModalPayment Details', { static: true }) createOrEditModalPayment Details:| CreateOrEditPayment 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InvCkdPaymentDetailsDto = new InvCkdPaymentDetailsDto();
    saveSelectedRow: InvCkdPaymentDetailsDto = new InvCkdPaymentDetailsDto();
    datas: InvCkdPaymentDetailsDto = new InvCkdPaymentDetailsDto();
    isLoading: boolean = false;
    dataParams: GridParams | undefined;
    rowData: any[] = [];
    gridApi!: GridApi;
    rowSelection = 'multiple';
    filter: string = '';
	pipe = new DatePipe('en-US');
	frameworkComponents: FrameworkComponent;
    	customsDeclareNo : string = '' ; 
	totalcifCept
	totalcifNoncept
	totaltaxCept
	totaltaxNoncept
	totalvatCept
	totalvatNoncept
	exchangRate
	declareDate
	actualTax
	actualVat
	customsPort : string = '' ; 
	taxNote : string = '' ; 
	inputDate
	actualPaymentDate
	billofladingNo : string = '' ; 
	statusCustoms : string = '' ; 
	status : string = '' ; 
	paymentReqId
	completeTax
	completeVat
	ordertypeCode : string = '' ; 
	forwarder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InvCkdPaymentDetailsServiceProxy,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this.l('Customs Declare No'),headerTooltip: this.l('Customs Declare No'),field: 'customsDeclareNo',flex: 1},
			{headerName: this.l('Totalcif Cept'),headerTooltip: this.l('Totalcif Cept'),field: 'totalcifCept',flex: 1},
			{headerName: this.l('Totalcif Noncept'),headerTooltip: this.l('Totalcif Noncept'),field: 'totalcifNoncept',flex: 1},
			{headerName: this.l('Totaltax Cept'),headerTooltip: this.l('Totaltax Cept'),field: 'totaltaxCept',flex: 1},
			{headerName: this.l('Totaltax Noncept'),headerTooltip: this.l('Totaltax Noncept'),field: 'totaltaxNoncept',flex: 1},
			{headerName: this.l('Totalvat Cept'),headerTooltip: this.l('Totalvat Cept'),field: 'totalvatCept',flex: 1},
			{headerName: this.l('Totalvat Noncept'),headerTooltip: this.l('Totalvat Noncept'),field: 'totalvatNoncept',flex: 1},
			{headerName: this.l('Exchang Rate'),headerTooltip: this.l('Exchang Rate'),field: 'exchangRate',flex: 1},
			{headerName: this.l('Declare Date'),headerTooltip: this.l('Declare Date'),field: 'declareDate',flex: 1},
			{headerName: this.l('Actual Tax'),headerTooltip: this.l('Actual Tax'),field: 'actualTax',flex: 1},
			{headerName: this.l('Actual Vat'),headerTooltip: this.l('Actual Vat'),field: 'actualVat',flex: 1},
			{headerName: this.l('Customs Port'),headerTooltip: this.l('Customs Port'),field: 'customsPort',flex: 1},
			{headerName: this.l('Tax Note'),headerTooltip: this.l('Tax Note'),field: 'taxNote',flex: 1},
			{headerName: this.l('Input Date'),headerTooltip: this.l('Input Date'),field: 'inputDate',flex: 1},
			{headerName: this.l('Actual Payment Date'),headerTooltip: this.l('Actual Payment Date'),field: 'actualPaymentDate',flex: 1},
			{headerName: this.l('Billoflading No'),headerTooltip: this.l('Billoflading No'),field: 'billofladingNo',flex: 1},
			{headerName: this.l('Status Customs'),headerTooltip: this.l('Status Customs'),field: 'statusCustoms',flex: 1},
			{headerName: this.l('Status'),headerTooltip: this.l('Status'),field: 'status',flex: 1},
			{headerName: this.l('Payment Req Id'),headerTooltip: this.l('Payment Req Id'),field: 'paymentReqId',flex: 1},
			{headerName: this.l('Complete Tax'),headerTooltip: this.l('Complete Tax'),field: 'completeTax',flex: 1},
			{headerName: this.l('Complete Vat'),headerTooltip: this.l('Complete Vat'),field: 'completeVat',flex: 1},
			{headerName: this.l('Ordertype Code'),headerTooltip: this.l('Ordertype Code'),field: 'ordertypeCode',flex: 1},
			{headerName: this.l('Forwarder'),headerTooltip: this.l('Forwarder'),field: 'forwarder',flex: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this.customsDeclareNo,
			this.totalcifCept,
			this.totalcifNoncept,
			this.totaltaxCept,
			this.totaltaxNoncept,
			this.totalvatCept,
			this.totalvatNoncept,
			this.exchangRate,
			this.declareDate,
			this.actualTax,
			this.actualVat,
			this.customsPort,
			this.taxNote,
			this.inputDate,
			this.actualPaymentDate,
			this.billofladingNo,
			this.statusCustoms,
			this.status,
			this.paymentReqId,
			this.completeTax,
			this.completeVat,
			this.ordertypeCode,
			this.forwarder,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this.customsDeclareNo = '',
		this.totalcifCept = '',
		this.totalcifNoncept = '',
		this.totaltaxCept = '',
		this.totaltaxNoncept = '',
		this.totalvatCept = '',
		this.totalvatNoncept = '',
		this.exchangRate = '',
		this.declareDate = '',
		this.actualTax = '',
		this.actualVat = '',
		this.customsPort = '',
		this.taxNote = '',
		this.inputDate = '',
		this.actualPaymentDate = '',
		this.billofladingNo = '',
		this.statusCustoms = '',
		this.status = '',
		this.paymentReqId = '',
		this.completeTax = '',
		this.completeVat = '',
		this.ordertypeCode = '',
		this.forwarder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this.customsDeclareNo,
			this.totalcifCept,
			this.totalcifNoncept,
			this.totaltaxCept,
			this.totaltaxNoncept,
			this.totalvatCept,
			this.totalvatNoncept,
			this.exchangRate,
			this.declareDate,
			this.actualTax,
			this.actualVat,
			this.customsPort,
			this.taxNote,
			this.inputDate,
			this.actualPaymentDate,
			this.billofladingNo,
			this.statusCustoms,
			this.status,
			this.paymentReqId,
			this.completeTax,
			this.completeVat,
			this.ordertypeCode,
			this.forwarder,
			this.isActive,
			'',
            this.paginationParams.skipCount,
            this.paginationParams.pageSize
        );
    }
    onChangeRowSelection(params: { api: { getSelectedRows: () =&gt; InvCkdPaymentDetailsDto[] } }) {
        this.saveSelectedRow = params.api.getSelectedRows()[0] ?? new InvCkdPaymentDetailsDto();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InvCkdPaymentDetailsDto):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this._service.getPayment DetailsToExcel(
			this.customsDeclareNo,
			this.totalcifCept,
			this.totalcifNoncept,
			this.totaltaxCept,
			this.totaltaxNoncept,
			this.totalvatCept,
			this.totalvatNoncept,
			this.exchangRate,
			this.declareDate,
			this.actualTax,
			this.actualVat,
			this.customsPort,
			this.taxNote,
			this.inputDate,
			this.actualPaymentDate,
			this.billofladingNo,
			this.statusCustoms,
			this.status,
			this.paymentReqId,
			this.completeTax,
			this.completeVat,
			this.ordertypeCode,
			this.forwarder,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Payment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[(ngModel)]='customsDeclareNo' name='customsDeclareNo'
									class='form-control' [placeholder]="l('Customs Declare No')"
									type='text' (keyup.enter)='searchDatas()'&gt;
								&lt;/div&gt;
								&lt;div class='input-search'&gt;
									&lt;input [(ngModel)]='customsPort' name='customsPort'
									class='form-control' [placeholder]="l('Customs Port')"
									type='text' (keyup.enter)='searchDatas()'&gt;
								&lt;/div&gt;
								&lt;div class='input-search'&gt;
									&lt;input [(ngModel)]='taxNote' name='taxNote'
									class='form-control' [placeholder]="l('Tax Note')"
									type='text' (keyup.enter)='searchDatas()'&gt;
								&lt;/div&gt;
								&lt;div class='input-search'&gt;
									&lt;input [(ngModel)]='billofladingNo' name='billofladingNo'
									class='form-control' [placeholder]="l('Billoflading No')"
									type='text' (keyup.enter)='searchDatas()'&gt;
								&lt;/div&gt;
								&lt;div class='input-search'&gt;
									&lt;input [(ngModel)]='statusCustoms' name='statusCustoms'
									class='form-control' [placeholder]="l('Status Customs')"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[(ngModel)]='ordertypeCode' name='ordertypeCode'
									class='form-control' [placeholder]="l('Ordertype Code')"
									type='text' (keyup.enter)='searchDatas()'&gt;
								&lt;/div&gt;
								&lt;div class='input-search'&gt;
									&lt;input [(ngModel)]='forwarder' name='forwarder'
									class='form-control' [placeholder]="l('Forwarder')"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(click)="createOrEditModalPayment 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(click)="createOrEditModalPayment 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&lt;create-or-edit-payment details-modal
    #createOrEditModalPayment Details
    (modalSave)="callBackDataGrid(dataParams)"
    (modalClose)="onChangeRowSelection(dataParams)"
&gt;
&lt;/create-or-edit-payment details-modal&gt;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#createOrEditModalPayment 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Payment Details')}}&lt;/h3&gt;
                    &lt;h3 *ngIf="!rowdata.id"&gt;{{('Create New Payment 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title'&gt;Customs Declare No&lt;/label&gt;
						&lt;input type='text' class='col-md-10 form-control input-text' name='CustomsDeclareNo' [(ngModel)]='rowdata.customsDeclareNo'&gt;
					&lt;/div&gt;
					&lt;div class='col-md-12 form-group row'&gt;
						&lt;label class='col-md-2 form-control title'&gt;Customs Port&lt;/label&gt;
						&lt;input type='text' class='col-md-10 form-control input-text' name='CustomsPort' [(ngModel)]='rowdata.customsPort'&gt;
					&lt;/div&gt;
					&lt;div class='col-md-12 form-group row'&gt;
						&lt;label class='col-md-2 form-control title'&gt;Tax Note&lt;/label&gt;
						&lt;input type='text' class='col-md-10 form-control input-text' name='TaxNote' [(ngModel)]='rowdata.taxNote'&gt;
					&lt;/div&gt;
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title'&gt;Status Customs&lt;/label&gt;
						&lt;input type='text' class='col-md-10 form-control input-text' name='StatusCustoms' [(ngModel)]='rowdata.statusCustoms'&gt;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
					&lt;div class='col-md-12 form-group row'&gt;
						&lt;label class='col-md-2 form-control title'&gt;Forwarder&lt;/label&gt;
						&lt;input type='text' class='col-md-10 form-control input-text' name='Forwarder' [(ngModel)]='rowdata.forwarder'&gt;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CreateOrEditInvCkdPaymentDetailsDto, InvCkdPaymentDetailsServiceProxy } from '@shared/service-proxies/service-proxies';
import { BsDatepickerDirective } from 'ngx-bootstrap/datepicker';
@Component({
    selector: 'create-or-edit-payment details-modal',
    templateUrl: './create-or-edit-payment details-modal.component.html',
    styleUrls: ['./create-or-edit-payment details-modal.component.less']
    })
export class CreateOrEditPayment DetailsModalComponent extends AppComponentBase {
    @ViewChild('createOrEditModalPayment 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CreateOrEditInvCkdPaymentDetailsDto = new CreateOrEditInvCkdPaymentDetailsDto();
    active: boolean = false;
    saving: boolean = false;
    _isActive: boolean;
    constructor(
        injector: Injector,
        private _mstwptPayment DetailsService: InvCkdPaymentDetailsServiceProxy,
    ) 
    {
        super(injector);
    }
    show(rowdata?: CreateOrEditInvCkdPaymentDetailsDto): void {
        if (!rowdata) this.rowdata = new CreateOrEditInvCkdPaymentDetailsDto();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this._mstwptPayment 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Payment DetailsRoutingModule } from './payment details-routing.module';
import { Payment DetailsComponent } from './payment details.component';
import { CreateOrEditPayment DetailsModalComponent } from './create-or-edit-payment details-modal.component';
@NgModule({
    declarations: [
       Payment DetailsComponent, 
        CreateOrEditPayment DetailsModalComponent
    ],
    imports: [
        AppSharedModule, Payment DetailsRoutingModule]
})
export class Payment DetailsModule {}</v>
      </c>
      <c r="J75" s="46" t="str">
        <f>B.Frontend!O10</f>
        <v>import {NgModule} from '@angular/core';
import {RouterModule, Routes} from '@angular/router';
import { Payment DetailsComponent } from './payment details.component';
const routes: Routes = [{
    path: '',
    component: Payment DetailsComponent,
    pathMatch: 'full'
}];
@NgModule({
    imports: [RouterModule.forChild(routes)],
    exports: [RouterModule],
})
export class Payment DetailsRoutingModule {}</v>
      </c>
      <c r="K75" s="46" t="str">
        <f>B.Frontend!P10</f>
        <v xml:space="preserve"> new AppMenuItem("Payment Details", "Pages.Inventory.CKD.Payment Details", "flaticon-book",   "/app/main/inventory/ckd/payment details"),</v>
      </c>
      <c r="L75" s="47" t="str">
        <f>B.Frontend!Q10</f>
        <v>{
    path: 'inventory/ckd/payment details',
    loadChildren: () =&gt; import('./inventory/ckd/payment details/payment details.module').then(m =&gt; m.Payment DetailsModule),
    data: { permission: 'Pages.Inventory.CKD.Payment Details' }
},</v>
      </c>
      <c r="M75" s="45" t="str">
        <f>B.Frontend!R10</f>
        <v>ApiServiceProxies.InvCkdPaymentDetailsServiceProxy,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4"/>
  <sheetViews>
    <sheetView tabSelected="1" workbookViewId="0">
      <pane xSplit="1" topLeftCell="B1" activePane="topRight" state="frozen"/>
      <selection pane="topRight" activeCell="C5" sqref="C5"/>
    </sheetView>
  </sheetViews>
  <sheetFormatPr defaultColWidth="9.21875" defaultRowHeight="14.4" x14ac:dyDescent="0.3"/>
  <cols>
    <col min="1" max="1" width="20.777343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77734375" style="7" customWidth="1"/>
    <col min="7" max="7" width="17.21875" style="7" bestFit="1" customWidth="1"/>
    <col min="8" max="8" width="15" style="7" customWidth="1"/>
    <col min="9" max="9" width="16" style="7" customWidth="1"/>
    <col min="10" max="10" width="15.77734375" style="7" customWidth="1"/>
    <col min="11" max="11" width="16" style="7" customWidth="1"/>
    <col min="12" max="12" width="16.77734375" style="7" customWidth="1"/>
    <col min="13" max="13" width="17.44140625" style="7" customWidth="1"/>
    <col min="14" max="14" width="16.21875" style="7" customWidth="1"/>
    <col min="15" max="15" width="14.77734375" style="7" customWidth="1"/>
    <col min="16" max="16" width="16" style="7" customWidth="1"/>
    <col min="17" max="17" width="15.7773437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21875" style="7" customWidth="1"/>
    <col min="23" max="23" width="27.77734375" style="8" customWidth="1"/>
    <col min="24" max="16384" width="9.218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365</v>
      </c>
      <c r="C3" s="9" t="s">
        <v>41</v>
      </c>
      <c r="D3" s="9" t="s">
        <v>42</v>
      </c>
      <c r="E3" s="9" t="s">
        <v>37</v>
      </c>
      <c r="F3" s="10" t="str">
        <f>"J"&amp;COUNTA($A:$A)</f>
        <v>J32</v>
      </c>
      <c r="G3" s="4" t="s">
        <v>54</v>
      </c>
      <c r="H3" s="9" t="str">
        <f>"I"&amp;COUNTA($A:$A)</f>
        <v>I32</v>
      </c>
      <c r="I3" s="9" t="str">
        <f>REPT(CHAR(9),2)&amp;"[Required]"&amp;"
"</f>
        <v xml:space="preserve">		[Required]
</v>
      </c>
      <c r="J3" s="10" t="str">
        <f>"L"&amp;COUNTA($A:$A)</f>
        <v>L32</v>
      </c>
      <c r="K3" s="5" t="s">
        <v>53</v>
      </c>
      <c r="L3" s="10" t="str">
        <f>"M"&amp;COUNTA($A:$A)</f>
        <v>M32</v>
      </c>
      <c r="M3" s="10" t="str">
        <f>"N"&amp;COUNTA($A:$A)</f>
        <v>N32</v>
      </c>
      <c r="N3" s="10" t="str">
        <f>"O"&amp;COUNTA($A:$A)</f>
        <v>O32</v>
      </c>
      <c r="O3" s="10" t="str">
        <f>"P"&amp;COUNTA($A:$A)</f>
        <v>P32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InvCkdPaymentDetailsExportInput{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T32</v>
      </c>
      <c r="V3" s="10" t="str">
        <f>"V"&amp;COUNTA($A:$A)</f>
        <v>V32</v>
      </c>
      <c r="W3" s="9" t="str">
        <f>"W"&amp;COUNTA($A:$A)</f>
        <v>W32</v>
      </c>
    </row>
    <row r="4" spans="1:23" s="10" customFormat="1" ht="33" customHeight="1" x14ac:dyDescent="0.3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0" t="s">
        <v>366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05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InvCkdPaymentDetails: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InvCkdPaymentDetailsConsts	
	{
</v>
      </c>
      <c r="F6" s="10" t="str">
        <f>REPT(CHAR(9),1)&amp;"public class "&amp;B3&amp;"Dto"&amp;K3&amp;REPT(CHAR(9),1)&amp;"
"&amp;REPT(CHAR(9),1)&amp;C3</f>
        <v xml:space="preserve">	public class InvCkdPaymentDetailsDto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CreateOrEditInvCkdPaymentDetailsDto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GetInvCkdPaymentDetailsInput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05" customHeight="1" x14ac:dyDescent="0.3">
      <c r="A7" s="1" t="s">
        <v>13</v>
      </c>
      <c r="B7" s="9" t="str">
        <f>B3</f>
        <v>InvCkdPaymentDetails</v>
      </c>
      <c r="C7" s="10" t="str">
        <f>REPT(CHAR(9),1)&amp;"[Table("""&amp;B7&amp;""")]"&amp;"
"</f>
        <v xml:space="preserve">	[Table("InvCkdPaymentDetails")]
</v>
      </c>
      <c r="D7" s="10"/>
      <c r="E7" s="10"/>
      <c r="F7" s="10"/>
      <c r="G7" s="10"/>
      <c r="H7" s="10"/>
      <c r="I7" s="10"/>
      <c r="J7" t="str">
        <f ca="1">SUBSTITUTE(SUBSTITUTE((B1&amp;C6&amp;C7&amp;K34&amp;D6&amp;I34&amp;E3&amp;J34&amp;""&amp;REPT(CHAR(9),1)&amp;D3&amp;D3),"WorkingPattern",$Q$3),"Master",$B$4)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[Table("InvCkdPaymentDetails")]
	public class InvCkdPaymentDetails: FullAuditedEntity&lt;long&gt;, IEntity&lt;long&gt;	
	{
		public const int MaxCustomsDeclareNoLength = 30;
		public const int MaxCustomsPortLength = 12;
		public const int MaxTaxNoteLength = 500;
		public const int MaxBillofladingNoLength = 20;
		public const int MaxStatusCustomsLength = 4;
		public const int MaxStatusLength = 2;
		public const int MaxOrdertypeCodeLength = 2;
		public const int MaxForwarderLength = 10;
		public const int MaxIsActiveLength = 1;
		[StringLength(MaxCustomsDeclareNoLength)]
		public virtual string CustomsDeclareNo { get; set; }
		public virtual decimal? TotalcifCept { get; set; }
		public virtual decimal? TotalcifNoncept { get; set; }
		public virtual decimal? TotaltaxCept { get; set; }
		public virtual decimal? TotaltaxNoncept { get; set; }
		public virtual decimal? TotalvatCept { get; set; }
		public virtual decimal? TotalvatNoncept { get; set; }
		public virtual decimal? ExchangRate { get; set; }
		public virtual DateTime? DeclareDate { get; set; }
		public virtual decimal? ActualTax { get; set; }
		public virtual decimal? ActualVat { get; set; }
		[StringLength(MaxCustomsPortLength)]
		public virtual string CustomsPort { get; set; }
		[StringLength(MaxTaxNoteLength)]
		public virtual string TaxNote { get; set; }
		public virtual DateTime? InputDate { get; set; }
		[Column(TypeName="Date")]
		public virtual DateTime? ActualPaymentDate { get; set; }
		[StringLength(MaxBillofladingNoLength)]
		public virtual string BillofladingNo { get; set; }
		[StringLength(MaxStatusCustomsLength)]
		public virtual string StatusCustoms { get; set; }
		[StringLength(MaxStatusLength)]
		public virtual string Status { get; set; }
		public virtual long? PaymentReqId { get; set; }
		public virtual long? CompleteTax { get; set; }
		public virtual long? CompleteVat { get; set; }
		[StringLength(MaxOrdertypeCodeLength)]
		public virtual string OrdertypeCode { get; set; }
		[StringLength(MaxForwarderLength)]
		public virtual string Forwarder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DbSet&lt;InvCkdPaymentDetails&gt; InvCkdPaymentDetailss { get; set; }</v>
      </c>
      <c r="L7" t="str">
        <f ca="1">SUBSTITUTE(SUBSTITUTE((C6&amp;E6&amp;I34&amp;"
"&amp;REPT(CHAR(9),2)&amp;"// Define Store Name: Format SP_ + &lt;Store Name&gt; = &lt;Store Name&gt;
"&amp;E3&amp;REPT(CHAR(9),1)&amp;D3&amp;D3),"WorkingPattern",$Q$3),"Master",$B$4)</f>
        <v xml:space="preserve">namespace prod.Inventory.CKD
{
	public class InvCkdPaymentDetailsConsts	
	{
		public const int MaxCustomsDeclareNoLength = 30;
		public const int MaxCustomsPortLength = 12;
		public const int MaxTaxNoteLength = 500;
		public const int MaxBillofladingNoLength = 20;
		public const int MaxStatusCustomsLength = 4;
		public const int MaxStatusLength = 2;
		public const int MaxOrdertypeCodeLength = 2;
		public const int MaxForwarderLength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"&amp;B6&amp;".Dto"&amp;E3&amp;C3&amp;F6&amp;M34&amp;E3&amp;REPT(CHAR(9),1)&amp;D3&amp;G6&amp;N34&amp;REPT(CHAR(9),1)&amp;D3&amp;H6&amp;O34&amp;"
"&amp;REPT(CHAR(9),1)&amp;D3&amp;D3),"WorkingPattern",$Q$3),"Master",$B$4)</f>
        <v xml:space="preserve">using Abp.Application.Services.Dto;
using System;
using System.ComponentModel.DataAnnotations;
namespace prod.Inventory.CKD.Dto
{
	public class InvCkdPaymentDetailsDto : EntityDto&lt;long?&gt;	
	{
		public virtual string CustomsDeclareNo { get; set; }
		public virtual decimal? TotalcifCept { get; set; }
		public virtual decimal? TotalcifNoncept { get; set; }
		public virtual decimal? TotaltaxCept { get; set; }
		public virtual decimal? TotaltaxNoncept { get; set; }
		public virtual decimal? TotalvatCept { get; set; }
		public virtual decimal? TotalvatNoncept { get; set; }
		public virtual decimal? ExchangRate { get; set; }
		public virtual DateTime? DeclareDate { get; set; }
		public virtual decimal? ActualTax { get; set; }
		public virtual decimal? ActualVat { get; set; }
		public virtual string CustomsPort { get; set; }
		public virtual string TaxNote { get; set; }
		public virtual DateTime? InputDate { get; set; }
		public virtual DateTime? ActualPaymentDate { get; set; }
		public virtual string BillofladingNo { get; set; }
		public virtual string StatusCustoms { get; set; }
		public virtual string Status { get; set; }
		public virtual long? PaymentReqId { get; set; }
		public virtual long? CompleteTax { get; set; }
		public virtual long? CompleteVat { get; set; }
		public virtual string OrdertypeCode { get; set; }
		public virtual string Forwarder { get; set; }
		public virtual string IsActive { get; set; }
	}
	public class CreateOrEditInvCkdPaymentDetailsDto : EntityDto&lt;long?&gt;	
	{
		[StringLength(InvCkdPaymentDetailsConsts.MaxCustomsDeclareNoLength)]
		public virtual string CustomsDeclareNo { get; set; }
		public virtual decimal? TotalcifCept { get; set; }
		public virtual decimal? TotalcifNoncept { get; set; }
		public virtual decimal? TotaltaxCept { get; set; }
		public virtual decimal? TotaltaxNoncept { get; set; }
		public virtual decimal? TotalvatCept { get; set; }
		public virtual decimal? TotalvatNoncept { get; set; }
		public virtual decimal? ExchangRate { get; set; }
		public virtual DateTime? DeclareDate { get; set; }
		public virtual decimal? ActualTax { get; set; }
		public virtual decimal? ActualVat { get; set; }
		[StringLength(InvCkdPaymentDetailsConsts.MaxCustomsPortLength)]
		public virtual string CustomsPort { get; set; }
		[StringLength(InvCkdPaymentDetailsConsts.MaxTaxNoteLength)]
		public virtual string TaxNote { get; set; }
		public virtual DateTime? InputDate { get; set; }
		public virtual DateTime? ActualPaymentDate { get; set; }
		[StringLength(InvCkdPaymentDetailsConsts.MaxBillofladingNoLength)]
		public virtual string BillofladingNo { get; set; }
		[StringLength(InvCkdPaymentDetailsConsts.MaxStatusCustomsLength)]
		public virtual string StatusCustoms { get; set; }
		[StringLength(InvCkdPaymentDetailsConsts.MaxStatusLength)]
		public virtual string Status { get; set; }
		public virtual long? PaymentReqId { get; set; }
		public virtual long? CompleteTax { get; set; }
		public virtual long? CompleteVat { get; set; }
		[StringLength(InvCkdPaymentDetailsConsts.MaxOrdertypeCodeLength)]
		public virtual string OrdertypeCode { get; set; }
		[StringLength(InvCkdPaymentDetailsConsts.MaxForwarderLength)]
		public virtual string Forwarder { get; set; }
		[StringLength(InvCkdPaymentDetailsConsts.MaxIsActiveLength)]
		public virtual string IsActive { get; set; }
	}
	public class GetInvCkdPaymentDetailsInput : PagedAndSortedResultRequestDto	
	{
		public virtual string CustomsDeclareNo { get; set; }
		public virtual string CustomsPort { get; set; }
		public virtual string TaxNote { get; set; }
		public virtual string BillofladingNo { get; set; }
		public virtual string StatusCustoms { get; set; }
		public virtual string Status { get; set; }
		public virtual string OrdertypeCode { get; set; }
		public virtual string Forwarder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perInvCkdPaymentDetails = PARENTS.CreateChildPermission(AppPermissions.Pages_Inventory_CKD_Payment Details, L( "InventoryCKDPayment Details"), multiTenancySides: MultiTenancySides.Tenant);
		perInvCkdPaymentDetails.CreateChildPermission(AppPermissions.Pages_Inventory_CKD_Payment Details_CreateEdit, L( "InventoryCKDPayment DetailsCreateEdit"), multiTenancySides: MultiTenancySides.Tenant);
		perInvCkdPaymentDetails.CreateChildPermission(AppPermissions.Pages_Inventory_CKD_Payment Details_Delete, L( "InventoryCKDPayment DetailsDelete"),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Pages_Inventory_CKD_Payment Details = "Pages.Inventory.CKD.Payment Details";
		public const string Pages_Inventory_CKD_Payment Details_CreateEdit = "Pages.Inventory.CKD.Payment Details.CreateEdit";
		public const string Pages_Inventory_CKD_Payment Details_Delete = "Pages.Inventory.CKD.Payment Details.Delete";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IInvCkdPaymentDetailsAppService : IApplicationService
	{
		Task&lt;PagedResultDto&lt;InvCkdPaymentDetailsDto&gt;&gt; GetAll(GetInvCkdPaymentDetailsInput input);
		Task CreateOrEdit(CreateOrEditInvCkdPaymentDetailsDto input);
		Task Delete(EntityDto input);
	}
}
</v>
      </c>
      <c r="Q7" t="str">
        <f ca="1">SUBSTITUTE(SUBSTITUTE(SUBSTITUTE(SUBSTITUTE(SUBSTITUTE(SUBSTITUTE(E1,"MstWptCalendar",$B$3),"&lt;PROPERTIES&gt;",P34),"Calendar",$B$5),"WorkingPattern",$Q$3),"Master",$B$4),"&lt;PARAMS_SEARCH&gt;",$W$34)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[AbpAuthorize(AppPermissions.Pages_Inventory_CKD_Payment Details)]
    public class InvCkdPaymentDetailsAppService : vovinaAppServiceBase, IInvCkdPaymentDetailsAppService
    {
        private readonly IDapperRepository&lt;InvCkdPaymentDetails, long&gt; _dapperRepo;
        private readonly IRepository&lt;InvCkdPaymentDetails, long&gt; _repo;
        private readonly IInvCkdPaymentDetailsExcelExporter _calendarListExcelExporter;
        public InvCkdPaymentDetailsAppService(IRepository&lt;InvCkdPaymentDetails,long&gt; repo, 
                                         IDapperRepository&lt;InvCkdPaymentDetails,long&gt; dapperRepo,
                                        IInvCkdPaymentDetailsExcelExporter calendarListExcelExporter
            )
        {
            _repo = repo;
            _dapperRepo = dapperRepo;
            _calendarListExcelExporter = calendarListExcelExporter;
        }
        [AbpAuthorize(AppPermissions.Pages_Inventory_CKD_Payment Details_CreateEdit)]
        public async Task CreateOrEdit(CreateOrEditInvCkdPaymentDetailsDto input)
        {
            if (input.Id == null) await Create(input);
            else await Update(input);
        }
        //CREATE
        private async Task Create(CreateOrEditInvCkdPaymentDetailsDto input)
        {          
            var mainObj = ObjectMapper.Map&lt;InvCkdPaymentDetails&gt;(input);
            await CurrentUnitOfWork.GetDbContext&lt;vovinaDbContext&gt;().AddAsync(mainObj);
        }
        // EDIT
        private async Task Update(CreateOrEditInvCkdPaymentDetailsDto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[AbpAuthorize(AppPermissions.Pages_Inventory_CKD_Payment 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Task&lt;PagedResultDto&lt;InvCkdPaymentDetailsDto&gt;&gt; GetAll(GetInvCkdPaymentDetailsInput input)
        {
            var filtered = _repo.GetAll()
				.WhereIf(!string.IsNullOrWhiteSpace(input.CustomsDeclareNo), e =&gt; e.CustomsDeclareNo.Contains(input.CustomsDeclareNo))
				.WhereIf(!string.IsNullOrWhiteSpace(input.CustomsPort), e =&gt; e.CustomsPort.Contains(input.CustomsPort))
				.WhereIf(!string.IsNullOrWhiteSpace(input.TaxNote), e =&gt; e.TaxNote.Contains(input.TaxNote))
				.WhereIf(!string.IsNullOrWhiteSpace(input.BillofladingNo), e =&gt; e.BillofladingNo.Contains(input.BillofladingNo))
				.WhereIf(!string.IsNullOrWhiteSpace(input.StatusCustoms), e =&gt; e.StatusCustoms.Contains(input.StatusCustoms))
				.WhereIf(!string.IsNullOrWhiteSpace(input.Status), e =&gt; e.Status.Contains(input.Status))
				.WhereIf(!string.IsNullOrWhiteSpace(input.OrdertypeCode), e =&gt; e.OrdertypeCode.Contains(input.OrdertypeCode))
				.WhereIf(!string.IsNullOrWhiteSpace(input.Forwarder), e =&gt; e.Forwarder.Contains(input.Forwarder))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InvCkdPaymentDetailsDto
                        {
							Id = o.Id,
							CustomsDeclareNo = o.CustomsDeclareNo,
							TotalcifCept = o.TotalcifCept,
							TotalcifNoncept = o.TotalcifNoncept,
							TotaltaxCept = o.TotaltaxCept,
							TotaltaxNoncept = o.TotaltaxNoncept,
							TotalvatCept = o.TotalvatCept,
							TotalvatNoncept = o.TotalvatNoncept,
							ExchangRate = o.ExchangRate,
							DeclareDate = o.DeclareDate,
							ActualTax = o.ActualTax,
							ActualVat = o.ActualVat,
							CustomsPort = o.CustomsPort,
							TaxNote = o.TaxNote,
							InputDate = o.InputDate,
							ActualPaymentDate = o.ActualPaymentDate,
							BillofladingNo = o.BillofladingNo,
							StatusCustoms = o.StatusCustoms,
							Status = o.Status,
							PaymentReqId = o.PaymentReqId,
							CompleteTax = o.CompleteTax,
							CompleteVat = o.CompleteVat,
							OrdertypeCode = o.OrdertypeCode,
							Forwarder = o.Forwarder,
							IsActive = o.IsActive,
                        };
            var totalCount = await filtered.CountAsync();
			var paged = system.PageBy(input);
            return new PagedResultDto&lt;InvCkdPaymentDetailsDto&gt;(
                totalCount,
                 await paged.ToListAsync()
            );
        }
        public async Task&lt;FileDto&gt; GetPayment DetailsToExcel(InvCkdPaymentDetailsExportInput input)
        {
            var query = from o in _repo.GetAll()
                        select new InvCkdPaymentDetailsDto
                        {
							Id = o.Id,
							CustomsDeclareNo = o.CustomsDeclareNo,
							TotalcifCept = o.TotalcifCept,
							TotalcifNoncept = o.TotalcifNoncept,
							TotaltaxCept = o.TotaltaxCept,
							TotaltaxNoncept = o.TotaltaxNoncept,
							TotalvatCept = o.TotalvatCept,
							TotalvatNoncept = o.TotalvatNoncept,
							ExchangRate = o.ExchangRate,
							DeclareDate = o.DeclareDate,
							ActualTax = o.ActualTax,
							ActualVat = o.ActualVat,
							CustomsPort = o.CustomsPort,
							TaxNote = o.TaxNote,
							InputDate = o.InputDate,
							ActualPaymentDate = o.ActualPaymentDate,
							BillofladingNo = o.BillofladingNo,
							StatusCustoms = o.StatusCustoms,
							Status = o.Status,
							PaymentReqId = o.PaymentReqId,
							CompleteTax = o.CompleteTax,
							CompleteVat = o.CompleteVat,
							OrdertypeCode = o.OrdertypeCode,
							Forwarder = o.Forwarder,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_dapperRepo.ExecuteAsync(InvCkdPaymentDetailsConsts.SP_MST_WPT_CALENDAR_GENERATE);
       // }
    }
}</v>
      </c>
      <c r="R7" t="str">
        <f ca="1">SUBSTITUTE(SUBSTITUTE((C1&amp;"namespace "&amp;B6&amp;".Dto"&amp;E3&amp;C3&amp;R3&amp;M34&amp;E3&amp;REPT(CHAR(9),1)&amp;D3&amp;D3),"WorkingPattern",$Q$3),"Master",$B$4)</f>
        <v xml:space="preserve">using Abp.Application.Services.Dto;
using System;
using System.ComponentModel.DataAnnotations;
namespace prod.Inventory.CKD.Dto
{
	public class InvCkdPaymentDetailsExportInput{
		public virtual string CustomsDeclareNo { get; set; }
		public virtual decimal? TotalcifCept { get; set; }
		public virtual decimal? TotalcifNoncept { get; set; }
		public virtual decimal? TotaltaxCept { get; set; }
		public virtual decimal? TotaltaxNoncept { get; set; }
		public virtual decimal? TotalvatCept { get; set; }
		public virtual decimal? TotalvatNoncept { get; set; }
		public virtual decimal? ExchangRate { get; set; }
		public virtual DateTime? DeclareDate { get; set; }
		public virtual decimal? ActualTax { get; set; }
		public virtual decimal? ActualVat { get; set; }
		public virtual string CustomsPort { get; set; }
		public virtual string TaxNote { get; set; }
		public virtual DateTime? InputDate { get; set; }
		public virtual DateTime? ActualPaymentDate { get; set; }
		public virtual string BillofladingNo { get; set; }
		public virtual string StatusCustoms { get; set; }
		public virtual string Status { get; set; }
		public virtual long? PaymentReqId { get; set; }
		public virtual long? CompleteTax { get; set; }
		public virtual long? CompleteVat { get; set; }
		public virtual string OrdertypeCode { get; set; }
		public virtual string Forwarder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IInvCkdPaymentDetailsExcelExporter : IApplicationService
	{
		FileDto ExportToFile(List&lt;InvCkdPaymentDetailsDto&gt; invckdpaymentdetails);
	}
}
</v>
      </c>
      <c r="T7" s="26" t="str">
        <f ca="1">SUBSTITUTE(SUBSTITUTE(SUBSTITUTE(SUBSTITUTE(SUBSTITUTE(SUBSTITUTE(SUBSTITUTE(T1,"MstWptCalendar",$B$3),"&lt;PROPERTIES1&gt;",V34),"&lt;PROPERTIES&gt;",T34),"Calendar",$B$5),"calendar",LOWER(B5)),"WorkingPattern",$Q$3),"Master",$B$4)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InvCkdPaymentDetailsExcelExporter : NpoiExcelExporterBase, IInvCkdPaymentDetailsExcelExporter
    {
        public InvCkdPaymentDetailsExcelExporter(ITempFileCacheManager tempFileCacheManager) : base(tempFileCacheManager) { }
        public FileDto ExportToFile(List&lt;InvCkdPaymentDetailsDto&gt; payment details)
        {
            return CreateExcelPackage(
				"InventoryCKDPayment Details.xlsx",
				excelPackage =&gt;
				 {
					var sheet = excelPackage.CreateSheet("Payment Details");
					AddHeader(
								sheet,
								("CustomsDeclareNo"),
								("TotalcifCept"),
								("TotalcifNoncept"),
								("TotaltaxCept"),
								("TotaltaxNoncept"),
								("TotalvatCept"),
								("TotalvatNoncept"),
								("ExchangRate"),
								("DeclareDate"),
								("ActualTax"),
								("ActualVat"),
								("CustomsPort"),
								("TaxNote"),
								("InputDate"),
								("ActualPaymentDate"),
								("BillofladingNo"),
								("StatusCustoms"),
								("Status"),
								("PaymentReqId"),
								("CompleteTax"),
								("CompleteVat"),
								("OrdertypeCode"),
								("Forwarder"),
								("IsActive"),
							   );
					AddObjects(
						 sheet, 1, payment details,                                       
								_ =&gt; _.CustomsDeclareNo,
								_ =&gt; _.TotalcifCept,
								_ =&gt; _.TotalcifNoncept,
								_ =&gt; _.TotaltaxCept,
								_ =&gt; _.TotaltaxNoncept,
								_ =&gt; _.TotalvatCept,
								_ =&gt; _.TotalvatNoncept,
								_ =&gt; _.ExchangRate,
								_ =&gt; _.DeclareDate,
								_ =&gt; _.ActualTax,
								_ =&gt; _.ActualVat,
								_ =&gt; _.CustomsPort,
								_ =&gt; _.TaxNote,
								_ =&gt; _.InputDate,
								_ =&gt; _.ActualPaymentDate,
								_ =&gt; _.BillofladingNo,
								_ =&gt; _.StatusCustoms,
								_ =&gt; _.Status,
								_ =&gt; _.PaymentReqId,
								_ =&gt; _.CompleteTax,
								_ =&gt; _.CompleteVat,
								_ =&gt; _.OrdertypeCode,
								_ =&gt; _.Forwarder,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configuration.CreateMap&lt;InvCkdPaymentDetailsDto, InvCkdPaymentDetails&gt;();
  configuration.CreateMap&lt;InvCkdPaymentDetails, InvCkdPaymentDetailsDto&gt;();
  configuration.CreateMap&lt;CreateOrEditInvCkdPaymentDetailsDto, InvCkdPaymentDetails&gt;();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t="s">
        <v>367</v>
      </c>
      <c r="B9" t="s">
        <v>387</v>
      </c>
      <c r="C9" t="s">
        <v>1</v>
      </c>
      <c r="D9" t="str">
        <f t="shared" ref="D9" si="0">SUBSTITUTE(PROPER(A9),"_","")</f>
        <v>CustomsDeclareNo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30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MaxCustomsDeclareNoLength = 30;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[StringLength(MaxCustomsDeclareNoLength)]
		public virtual string CustomsDeclareNo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CustomsDeclareNo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[StringLength(InvCkdPaymentDetailsConsts.MaxCustomsDeclareNoLength)]
		public virtual string CustomsDeclareNo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CustomsDeclareNo { get; set; }
</v>
      </c>
      <c r="P9" t="str">
        <f t="shared" ref="P9" si="9">REPT(CHAR(9),7)&amp;D9&amp;" = o." &amp;D9 &amp;","</f>
        <v xml:space="preserve">							CustomsDeclareNo = o.CustomsDeclareNo,</v>
      </c>
      <c r="T9" s="64" t="str">
        <f t="shared" ref="T9" si="10">REPT(CHAR(9),8)&amp;"("""&amp;D9&amp;"""),"</f>
        <v xml:space="preserve">								("CustomsDeclareNo"),</v>
      </c>
      <c r="V9" s="65" t="str">
        <f t="shared" ref="V9" si="11">REPT(CHAR(9),8)&amp;"_ =&gt; _."&amp;D9&amp;","</f>
        <v xml:space="preserve">								_ =&gt; _.CustomsDeclareNo,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.WhereIf(!string.IsNullOrWhiteSpace(input.CustomsDeclareNo), e =&gt; e.CustomsDeclareNo.Contains(input.CustomsDeclareNo))</v>
      </c>
    </row>
    <row r="10" spans="1:23" customFormat="1" ht="18.75" customHeight="1" x14ac:dyDescent="0.3">
      <c r="A10" t="s">
        <v>368</v>
      </c>
      <c r="B10" t="s">
        <v>388</v>
      </c>
      <c r="C10" t="s">
        <v>1</v>
      </c>
      <c r="D10" t="str">
        <f t="shared" ref="D10" si="13">SUBSTITUTE(PROPER(A10),"_","")</f>
        <v>TotalcifCept</v>
      </c>
      <c r="E10" t="str">
        <f t="shared" ref="E10" si="14">IFERROR(LEFT(B10, FIND("(",B10)-1),B10)</f>
        <v>decimal</v>
      </c>
      <c r="F10" s="6"/>
      <c r="G10" t="str">
        <f t="shared" ref="G10" si="15">IFERROR(MID(B10,FIND("(",B10) +1, FIND(")",B10) - FIND("(",B10) - 1),"")</f>
        <v>18,5</v>
      </c>
      <c r="H10" t="str">
        <f>+VLOOKUP(E10,'Data Type Mapping'!A:B,2,)</f>
        <v>decimal?</v>
      </c>
      <c r="I10" t="str">
        <f t="shared" ref="I10" si="16">IF(H10="string",REPT(CHAR(9),2)&amp;"public const int Max"&amp;D10&amp;"Length = "&amp;G10&amp;";"&amp;$E$3,"" )</f>
        <v/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decimal? TotalcifCept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decimal? TotalcifCept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decimal? TotalcifCept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" si="22">REPT(CHAR(9),7)&amp;D10&amp;" = o." &amp;D10 &amp;","</f>
        <v xml:space="preserve">							TotalcifCept = o.TotalcifCept,</v>
      </c>
      <c r="T10" s="64" t="str">
        <f t="shared" ref="T10" si="23">REPT(CHAR(9),8)&amp;"("""&amp;D10&amp;"""),"</f>
        <v xml:space="preserve">								("TotalcifCept"),</v>
      </c>
      <c r="V10" s="65" t="str">
        <f t="shared" ref="V10" si="24">REPT(CHAR(9),8)&amp;"_ =&gt; _."&amp;D10&amp;","</f>
        <v xml:space="preserve">								_ =&gt; _.TotalcifCept,</v>
      </c>
      <c r="W10" s="64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3">
      <c r="A11" t="s">
        <v>369</v>
      </c>
      <c r="B11" t="s">
        <v>388</v>
      </c>
      <c r="C11" t="s">
        <v>1</v>
      </c>
      <c r="D11" t="str">
        <f t="shared" ref="D11:D31" si="26">SUBSTITUTE(PROPER(A11),"_","")</f>
        <v>TotalcifNoncept</v>
      </c>
      <c r="E11" t="str">
        <f t="shared" ref="E11:E31" si="27">IFERROR(LEFT(B11, FIND("(",B11)-1),B11)</f>
        <v>decimal</v>
      </c>
      <c r="F11" s="6"/>
      <c r="G11" t="str">
        <f t="shared" ref="G11:G31" si="28">IFERROR(MID(B11,FIND("(",B11) +1, FIND(")",B11) - FIND("(",B11) - 1),"")</f>
        <v>18,5</v>
      </c>
      <c r="H11" t="str">
        <f>+VLOOKUP(E11,'Data Type Mapping'!A:B,2,)</f>
        <v>decimal?</v>
      </c>
      <c r="I11" t="str">
        <f t="shared" ref="I11:I31" si="29">IF(H11="string",REPT(CHAR(9),2)&amp;"public const int Max"&amp;D11&amp;"Length = "&amp;G11&amp;";"&amp;$E$3,"" )</f>
        <v/>
      </c>
      <c r="J11" t="str">
        <f t="shared" ref="J11:J31" si="3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decimal? TotalcifNoncept { get; set; }
</v>
      </c>
      <c r="K11" s="6"/>
      <c r="L11" t="str">
        <f t="shared" ref="L11:L31" si="31">IF(K11="","",REPT(CHAR(9),1)&amp;"[Index(nameof("&amp;IF(D11="","",""&amp;D11)&amp;")"&amp;", Name="&amp;"""IX_"&amp;$B$7&amp;"_"&amp;D11&amp;""")]")</f>
        <v/>
      </c>
      <c r="M11" t="str">
        <f t="shared" ref="M11:M31" si="32">REPT(CHAR(9),2)&amp;"public virtual "&amp;IF(OR(H11="DateTime",H11="TimeSpan"),H11&amp;"?",H11)&amp;IF(C11="?","? "," ")&amp;D11&amp;" { get; set; }" &amp; "
"</f>
        <v xml:space="preserve">		public virtual decimal? TotalcifNoncept { get; set; }
</v>
      </c>
      <c r="N11" t="str">
        <f t="shared" ref="N11:N31" si="3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decimal? TotalcifNoncept { get; set; }
</v>
      </c>
      <c r="O11" t="str">
        <f t="shared" ref="O11:O31" si="34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:P31" si="35">REPT(CHAR(9),7)&amp;D11&amp;" = o." &amp;D11 &amp;","</f>
        <v xml:space="preserve">							TotalcifNoncept = o.TotalcifNoncept,</v>
      </c>
      <c r="T11" s="64" t="str">
        <f t="shared" ref="T11:T31" si="36">REPT(CHAR(9),8)&amp;"("""&amp;D11&amp;"""),"</f>
        <v xml:space="preserve">								("TotalcifNoncept"),</v>
      </c>
      <c r="V11" s="65" t="str">
        <f t="shared" ref="V11:V31" si="37">REPT(CHAR(9),8)&amp;"_ =&gt; _."&amp;D11&amp;","</f>
        <v xml:space="preserve">								_ =&gt; _.TotalcifNoncept,</v>
      </c>
      <c r="W11" s="64" t="str">
        <f t="shared" ref="W11:W31" si="3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18.75" customHeight="1" x14ac:dyDescent="0.3">
      <c r="A12" t="s">
        <v>370</v>
      </c>
      <c r="B12" t="s">
        <v>388</v>
      </c>
      <c r="C12" t="s">
        <v>1</v>
      </c>
      <c r="D12" t="str">
        <f t="shared" ref="D12:D24" si="39">SUBSTITUTE(PROPER(A12),"_","")</f>
        <v>TotaltaxCept</v>
      </c>
      <c r="E12" t="str">
        <f t="shared" ref="E12:E24" si="40">IFERROR(LEFT(B12, FIND("(",B12)-1),B12)</f>
        <v>decimal</v>
      </c>
      <c r="F12" s="6"/>
      <c r="G12" t="str">
        <f t="shared" ref="G12:G24" si="41">IFERROR(MID(B12,FIND("(",B12) +1, FIND(")",B12) - FIND("(",B12) - 1),"")</f>
        <v>18,5</v>
      </c>
      <c r="H12" t="str">
        <f>+VLOOKUP(E12,'Data Type Mapping'!A:B,2,)</f>
        <v>decimal?</v>
      </c>
      <c r="I12" t="str">
        <f t="shared" ref="I12:I24" si="42">IF(H12="string",REPT(CHAR(9),2)&amp;"public const int Max"&amp;D12&amp;"Length = "&amp;G12&amp;";"&amp;$E$3,"" )</f>
        <v/>
      </c>
      <c r="J12" t="str">
        <f t="shared" ref="J12:J24" si="43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decimal? TotaltaxCept { get; set; }
</v>
      </c>
      <c r="K12" s="6"/>
      <c r="L12" t="str">
        <f t="shared" ref="L12:L24" si="44">IF(K12="","",REPT(CHAR(9),1)&amp;"[Index(nameof("&amp;IF(D12="","",""&amp;D12)&amp;")"&amp;", Name="&amp;"""IX_"&amp;$B$7&amp;"_"&amp;D12&amp;""")]")</f>
        <v/>
      </c>
      <c r="M12" t="str">
        <f t="shared" ref="M12:M24" si="45">REPT(CHAR(9),2)&amp;"public virtual "&amp;IF(OR(H12="DateTime",H12="TimeSpan"),H12&amp;"?",H12)&amp;IF(C12="?","? "," ")&amp;D12&amp;" { get; set; }" &amp; "
"</f>
        <v xml:space="preserve">		public virtual decimal? TotaltaxCept { get; set; }
</v>
      </c>
      <c r="N12" t="str">
        <f t="shared" ref="N12:N24" si="46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decimal? TotaltaxCept { get; set; }
</v>
      </c>
      <c r="O12" t="str">
        <f t="shared" ref="O12:O24" si="47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24" si="48">REPT(CHAR(9),7)&amp;D12&amp;" = o." &amp;D12 &amp;","</f>
        <v xml:space="preserve">							TotaltaxCept = o.TotaltaxCept,</v>
      </c>
      <c r="T12" s="64" t="str">
        <f t="shared" ref="T12:T24" si="49">REPT(CHAR(9),8)&amp;"("""&amp;D12&amp;"""),"</f>
        <v xml:space="preserve">								("TotaltaxCept"),</v>
      </c>
      <c r="V12" s="65" t="str">
        <f t="shared" ref="V12:V24" si="50">REPT(CHAR(9),8)&amp;"_ =&gt; _."&amp;D12&amp;","</f>
        <v xml:space="preserve">								_ =&gt; _.TotaltaxCept,</v>
      </c>
      <c r="W12" s="64" t="str">
        <f t="shared" ref="W12:W24" si="51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3">
      <c r="A13" t="s">
        <v>371</v>
      </c>
      <c r="B13" t="s">
        <v>388</v>
      </c>
      <c r="C13" t="s">
        <v>1</v>
      </c>
      <c r="D13" t="str">
        <f t="shared" si="39"/>
        <v>TotaltaxNoncept</v>
      </c>
      <c r="E13" t="str">
        <f t="shared" si="40"/>
        <v>decimal</v>
      </c>
      <c r="F13" s="6"/>
      <c r="G13" t="str">
        <f t="shared" si="41"/>
        <v>18,5</v>
      </c>
      <c r="H13" t="str">
        <f>+VLOOKUP(E13,'Data Type Mapping'!A:B,2,)</f>
        <v>decimal?</v>
      </c>
      <c r="I13" t="str">
        <f t="shared" si="42"/>
        <v/>
      </c>
      <c r="J13" t="str">
        <f t="shared" si="43"/>
        <v xml:space="preserve">		public virtual decimal? TotaltaxNoncept { get; set; }
</v>
      </c>
      <c r="K13" s="6"/>
      <c r="L13" t="str">
        <f t="shared" si="44"/>
        <v/>
      </c>
      <c r="M13" t="str">
        <f t="shared" si="45"/>
        <v xml:space="preserve">		public virtual decimal? TotaltaxNoncept { get; set; }
</v>
      </c>
      <c r="N13" t="str">
        <f t="shared" si="46"/>
        <v xml:space="preserve">		public virtual decimal? TotaltaxNoncept { get; set; }
</v>
      </c>
      <c r="O13" t="str">
        <f t="shared" si="47"/>
        <v/>
      </c>
      <c r="P13" t="str">
        <f t="shared" si="48"/>
        <v xml:space="preserve">							TotaltaxNoncept = o.TotaltaxNoncept,</v>
      </c>
      <c r="T13" s="64" t="str">
        <f t="shared" si="49"/>
        <v xml:space="preserve">								("TotaltaxNoncept"),</v>
      </c>
      <c r="V13" s="65" t="str">
        <f t="shared" si="50"/>
        <v xml:space="preserve">								_ =&gt; _.TotaltaxNoncept,</v>
      </c>
      <c r="W13" s="64" t="str">
        <f t="shared" si="51"/>
        <v/>
      </c>
    </row>
    <row r="14" spans="1:23" customFormat="1" ht="18.75" customHeight="1" x14ac:dyDescent="0.3">
      <c r="A14" t="s">
        <v>372</v>
      </c>
      <c r="B14" t="s">
        <v>388</v>
      </c>
      <c r="C14" t="s">
        <v>1</v>
      </c>
      <c r="D14" t="str">
        <f t="shared" si="39"/>
        <v>TotalvatCept</v>
      </c>
      <c r="E14" t="str">
        <f t="shared" si="40"/>
        <v>decimal</v>
      </c>
      <c r="F14" s="6"/>
      <c r="G14" t="str">
        <f t="shared" si="41"/>
        <v>18,5</v>
      </c>
      <c r="H14" t="str">
        <f>+VLOOKUP(E14,'Data Type Mapping'!A:B,2,)</f>
        <v>decimal?</v>
      </c>
      <c r="I14" t="str">
        <f t="shared" si="42"/>
        <v/>
      </c>
      <c r="J14" t="str">
        <f t="shared" si="43"/>
        <v xml:space="preserve">		public virtual decimal? TotalvatCept { get; set; }
</v>
      </c>
      <c r="K14" s="6"/>
      <c r="L14" t="str">
        <f t="shared" si="44"/>
        <v/>
      </c>
      <c r="M14" t="str">
        <f t="shared" si="45"/>
        <v xml:space="preserve">		public virtual decimal? TotalvatCept { get; set; }
</v>
      </c>
      <c r="N14" t="str">
        <f t="shared" si="46"/>
        <v xml:space="preserve">		public virtual decimal? TotalvatCept { get; set; }
</v>
      </c>
      <c r="O14" t="str">
        <f t="shared" si="47"/>
        <v/>
      </c>
      <c r="P14" t="str">
        <f t="shared" si="48"/>
        <v xml:space="preserve">							TotalvatCept = o.TotalvatCept,</v>
      </c>
      <c r="T14" s="64" t="str">
        <f t="shared" si="49"/>
        <v xml:space="preserve">								("TotalvatCept"),</v>
      </c>
      <c r="V14" s="65" t="str">
        <f t="shared" si="50"/>
        <v xml:space="preserve">								_ =&gt; _.TotalvatCept,</v>
      </c>
      <c r="W14" s="64" t="str">
        <f t="shared" si="51"/>
        <v/>
      </c>
    </row>
    <row r="15" spans="1:23" customFormat="1" ht="18.75" customHeight="1" x14ac:dyDescent="0.3">
      <c r="A15" t="s">
        <v>373</v>
      </c>
      <c r="B15" t="s">
        <v>388</v>
      </c>
      <c r="C15" t="s">
        <v>1</v>
      </c>
      <c r="D15" t="str">
        <f t="shared" si="39"/>
        <v>TotalvatNoncept</v>
      </c>
      <c r="E15" t="str">
        <f t="shared" si="40"/>
        <v>decimal</v>
      </c>
      <c r="F15" s="6"/>
      <c r="G15" t="str">
        <f t="shared" si="41"/>
        <v>18,5</v>
      </c>
      <c r="H15" t="str">
        <f>+VLOOKUP(E15,'Data Type Mapping'!A:B,2,)</f>
        <v>decimal?</v>
      </c>
      <c r="I15" t="str">
        <f t="shared" si="42"/>
        <v/>
      </c>
      <c r="J15" t="str">
        <f t="shared" si="43"/>
        <v xml:space="preserve">		public virtual decimal? TotalvatNoncept { get; set; }
</v>
      </c>
      <c r="K15" s="6"/>
      <c r="L15" t="str">
        <f t="shared" si="44"/>
        <v/>
      </c>
      <c r="M15" t="str">
        <f t="shared" si="45"/>
        <v xml:space="preserve">		public virtual decimal? TotalvatNoncept { get; set; }
</v>
      </c>
      <c r="N15" t="str">
        <f t="shared" si="46"/>
        <v xml:space="preserve">		public virtual decimal? TotalvatNoncept { get; set; }
</v>
      </c>
      <c r="O15" t="str">
        <f t="shared" si="47"/>
        <v/>
      </c>
      <c r="P15" t="str">
        <f t="shared" si="48"/>
        <v xml:space="preserve">							TotalvatNoncept = o.TotalvatNoncept,</v>
      </c>
      <c r="T15" s="64" t="str">
        <f t="shared" si="49"/>
        <v xml:space="preserve">								("TotalvatNoncept"),</v>
      </c>
      <c r="V15" s="65" t="str">
        <f t="shared" si="50"/>
        <v xml:space="preserve">								_ =&gt; _.TotalvatNoncept,</v>
      </c>
      <c r="W15" s="64" t="str">
        <f t="shared" si="51"/>
        <v/>
      </c>
    </row>
    <row r="16" spans="1:23" customFormat="1" ht="18.75" customHeight="1" x14ac:dyDescent="0.3">
      <c r="A16" t="s">
        <v>374</v>
      </c>
      <c r="B16" t="s">
        <v>389</v>
      </c>
      <c r="C16" t="s">
        <v>1</v>
      </c>
      <c r="D16" t="str">
        <f t="shared" si="39"/>
        <v>ExchangRate</v>
      </c>
      <c r="E16" t="str">
        <f t="shared" si="40"/>
        <v>decimal</v>
      </c>
      <c r="F16" s="6"/>
      <c r="G16" t="str">
        <f t="shared" si="41"/>
        <v>18,4</v>
      </c>
      <c r="H16" t="str">
        <f>+VLOOKUP(E16,'Data Type Mapping'!A:B,2,)</f>
        <v>decimal?</v>
      </c>
      <c r="I16" t="str">
        <f t="shared" si="42"/>
        <v/>
      </c>
      <c r="J16" t="str">
        <f t="shared" si="43"/>
        <v xml:space="preserve">		public virtual decimal? ExchangRate { get; set; }
</v>
      </c>
      <c r="K16" s="6"/>
      <c r="L16" t="str">
        <f t="shared" si="44"/>
        <v/>
      </c>
      <c r="M16" t="str">
        <f t="shared" si="45"/>
        <v xml:space="preserve">		public virtual decimal? ExchangRate { get; set; }
</v>
      </c>
      <c r="N16" t="str">
        <f t="shared" si="46"/>
        <v xml:space="preserve">		public virtual decimal? ExchangRate { get; set; }
</v>
      </c>
      <c r="O16" t="str">
        <f t="shared" si="47"/>
        <v/>
      </c>
      <c r="P16" t="str">
        <f t="shared" si="48"/>
        <v xml:space="preserve">							ExchangRate = o.ExchangRate,</v>
      </c>
      <c r="T16" s="64" t="str">
        <f t="shared" si="49"/>
        <v xml:space="preserve">								("ExchangRate"),</v>
      </c>
      <c r="V16" s="65" t="str">
        <f t="shared" si="50"/>
        <v xml:space="preserve">								_ =&gt; _.ExchangRate,</v>
      </c>
      <c r="W16" s="64" t="str">
        <f t="shared" si="51"/>
        <v/>
      </c>
    </row>
    <row r="17" spans="1:23" customFormat="1" ht="18.75" customHeight="1" x14ac:dyDescent="0.3">
      <c r="A17" t="s">
        <v>375</v>
      </c>
      <c r="B17" t="s">
        <v>362</v>
      </c>
      <c r="C17" t="s">
        <v>1</v>
      </c>
      <c r="D17" t="str">
        <f t="shared" si="39"/>
        <v>DeclareDate</v>
      </c>
      <c r="E17" t="str">
        <f t="shared" si="40"/>
        <v>DateTime</v>
      </c>
      <c r="F17" s="6"/>
      <c r="G17" t="str">
        <f t="shared" si="41"/>
        <v/>
      </c>
      <c r="H17" t="str">
        <f>+VLOOKUP(E17,'Data Type Mapping'!A:B,2,)</f>
        <v>DateTime?</v>
      </c>
      <c r="I17" t="str">
        <f t="shared" si="42"/>
        <v/>
      </c>
      <c r="J17" t="str">
        <f t="shared" si="43"/>
        <v xml:space="preserve">		public virtual DateTime? DeclareDate { get; set; }
</v>
      </c>
      <c r="K17" s="6"/>
      <c r="L17" t="str">
        <f t="shared" si="44"/>
        <v/>
      </c>
      <c r="M17" t="str">
        <f t="shared" si="45"/>
        <v xml:space="preserve">		public virtual DateTime? DeclareDate { get; set; }
</v>
      </c>
      <c r="N17" t="str">
        <f t="shared" si="46"/>
        <v xml:space="preserve">		public virtual DateTime? DeclareDate { get; set; }
</v>
      </c>
      <c r="O17" t="str">
        <f t="shared" si="47"/>
        <v/>
      </c>
      <c r="P17" t="str">
        <f t="shared" si="48"/>
        <v xml:space="preserve">							DeclareDate = o.DeclareDate,</v>
      </c>
      <c r="T17" s="64" t="str">
        <f t="shared" si="49"/>
        <v xml:space="preserve">								("DeclareDate"),</v>
      </c>
      <c r="V17" s="65" t="str">
        <f t="shared" si="50"/>
        <v xml:space="preserve">								_ =&gt; _.DeclareDate,</v>
      </c>
      <c r="W17" s="64" t="str">
        <f t="shared" si="51"/>
        <v/>
      </c>
    </row>
    <row r="18" spans="1:23" customFormat="1" ht="18.75" customHeight="1" x14ac:dyDescent="0.3">
      <c r="A18" t="s">
        <v>376</v>
      </c>
      <c r="B18" t="s">
        <v>388</v>
      </c>
      <c r="C18" t="s">
        <v>1</v>
      </c>
      <c r="D18" t="str">
        <f t="shared" si="39"/>
        <v>ActualTax</v>
      </c>
      <c r="E18" t="str">
        <f t="shared" si="40"/>
        <v>decimal</v>
      </c>
      <c r="F18" s="6"/>
      <c r="G18" t="str">
        <f t="shared" si="41"/>
        <v>18,5</v>
      </c>
      <c r="H18" t="str">
        <f>+VLOOKUP(E18,'Data Type Mapping'!A:B,2,)</f>
        <v>decimal?</v>
      </c>
      <c r="I18" t="str">
        <f t="shared" si="42"/>
        <v/>
      </c>
      <c r="J18" t="str">
        <f t="shared" si="43"/>
        <v xml:space="preserve">		public virtual decimal? ActualTax { get; set; }
</v>
      </c>
      <c r="K18" s="6"/>
      <c r="L18" t="str">
        <f t="shared" si="44"/>
        <v/>
      </c>
      <c r="M18" t="str">
        <f t="shared" si="45"/>
        <v xml:space="preserve">		public virtual decimal? ActualTax { get; set; }
</v>
      </c>
      <c r="N18" t="str">
        <f t="shared" si="46"/>
        <v xml:space="preserve">		public virtual decimal? ActualTax { get; set; }
</v>
      </c>
      <c r="O18" t="str">
        <f t="shared" si="47"/>
        <v/>
      </c>
      <c r="P18" t="str">
        <f t="shared" si="48"/>
        <v xml:space="preserve">							ActualTax = o.ActualTax,</v>
      </c>
      <c r="T18" s="64" t="str">
        <f t="shared" si="49"/>
        <v xml:space="preserve">								("ActualTax"),</v>
      </c>
      <c r="V18" s="65" t="str">
        <f t="shared" si="50"/>
        <v xml:space="preserve">								_ =&gt; _.ActualTax,</v>
      </c>
      <c r="W18" s="64" t="str">
        <f t="shared" si="51"/>
        <v/>
      </c>
    </row>
    <row r="19" spans="1:23" customFormat="1" ht="18.75" customHeight="1" x14ac:dyDescent="0.3">
      <c r="A19" t="s">
        <v>377</v>
      </c>
      <c r="B19" t="s">
        <v>388</v>
      </c>
      <c r="C19" t="s">
        <v>1</v>
      </c>
      <c r="D19" t="str">
        <f t="shared" si="39"/>
        <v>ActualVat</v>
      </c>
      <c r="E19" t="str">
        <f t="shared" si="40"/>
        <v>decimal</v>
      </c>
      <c r="F19" s="6"/>
      <c r="G19" t="str">
        <f t="shared" si="41"/>
        <v>18,5</v>
      </c>
      <c r="H19" t="str">
        <f>+VLOOKUP(E19,'Data Type Mapping'!A:B,2,)</f>
        <v>decimal?</v>
      </c>
      <c r="I19" t="str">
        <f t="shared" si="42"/>
        <v/>
      </c>
      <c r="J19" t="str">
        <f t="shared" si="43"/>
        <v xml:space="preserve">		public virtual decimal? ActualVat { get; set; }
</v>
      </c>
      <c r="K19" s="6"/>
      <c r="L19" t="str">
        <f t="shared" si="44"/>
        <v/>
      </c>
      <c r="M19" t="str">
        <f t="shared" si="45"/>
        <v xml:space="preserve">		public virtual decimal? ActualVat { get; set; }
</v>
      </c>
      <c r="N19" t="str">
        <f t="shared" si="46"/>
        <v xml:space="preserve">		public virtual decimal? ActualVat { get; set; }
</v>
      </c>
      <c r="O19" t="str">
        <f t="shared" si="47"/>
        <v/>
      </c>
      <c r="P19" t="str">
        <f t="shared" si="48"/>
        <v xml:space="preserve">							ActualVat = o.ActualVat,</v>
      </c>
      <c r="T19" s="64" t="str">
        <f t="shared" si="49"/>
        <v xml:space="preserve">								("ActualVat"),</v>
      </c>
      <c r="V19" s="65" t="str">
        <f t="shared" si="50"/>
        <v xml:space="preserve">								_ =&gt; _.ActualVat,</v>
      </c>
      <c r="W19" s="64" t="str">
        <f t="shared" si="51"/>
        <v/>
      </c>
    </row>
    <row r="20" spans="1:23" customFormat="1" ht="18.75" customHeight="1" x14ac:dyDescent="0.3">
      <c r="A20" t="s">
        <v>361</v>
      </c>
      <c r="B20" t="s">
        <v>364</v>
      </c>
      <c r="C20" t="s">
        <v>1</v>
      </c>
      <c r="D20" t="str">
        <f t="shared" si="39"/>
        <v>CustomsPort</v>
      </c>
      <c r="E20" t="str">
        <f t="shared" si="40"/>
        <v>varchar</v>
      </c>
      <c r="F20" s="6"/>
      <c r="G20" t="str">
        <f t="shared" si="41"/>
        <v>12</v>
      </c>
      <c r="H20" t="str">
        <f>+VLOOKUP(E20,'Data Type Mapping'!A:B,2,)</f>
        <v>string</v>
      </c>
      <c r="I20" t="str">
        <f t="shared" si="42"/>
        <v xml:space="preserve">		public const int MaxCustomsPortLength = 12;
</v>
      </c>
      <c r="J20" t="str">
        <f t="shared" si="43"/>
        <v xml:space="preserve">		[StringLength(MaxCustomsPortLength)]
		public virtual string CustomsPort { get; set; }
</v>
      </c>
      <c r="K20" s="6"/>
      <c r="L20" t="str">
        <f t="shared" si="44"/>
        <v/>
      </c>
      <c r="M20" t="str">
        <f t="shared" si="45"/>
        <v xml:space="preserve">		public virtual string CustomsPort { get; set; }
</v>
      </c>
      <c r="N20" t="str">
        <f t="shared" si="46"/>
        <v xml:space="preserve">		[StringLength(InvCkdPaymentDetailsConsts.MaxCustomsPortLength)]
		public virtual string CustomsPort { get; set; }
</v>
      </c>
      <c r="O20" t="str">
        <f t="shared" si="47"/>
        <v xml:space="preserve">		public virtual string CustomsPort { get; set; }
</v>
      </c>
      <c r="P20" t="str">
        <f t="shared" si="48"/>
        <v xml:space="preserve">							CustomsPort = o.CustomsPort,</v>
      </c>
      <c r="T20" s="64" t="str">
        <f t="shared" si="49"/>
        <v xml:space="preserve">								("CustomsPort"),</v>
      </c>
      <c r="V20" s="65" t="str">
        <f t="shared" si="50"/>
        <v xml:space="preserve">								_ =&gt; _.CustomsPort,</v>
      </c>
      <c r="W20" s="64" t="str">
        <f t="shared" si="51"/>
        <v xml:space="preserve">				.WhereIf(!string.IsNullOrWhiteSpace(input.CustomsPort), e =&gt; e.CustomsPort.Contains(input.CustomsPort))</v>
      </c>
    </row>
    <row r="21" spans="1:23" customFormat="1" ht="18.75" customHeight="1" x14ac:dyDescent="0.3">
      <c r="A21" t="s">
        <v>378</v>
      </c>
      <c r="B21" t="s">
        <v>390</v>
      </c>
      <c r="C21" t="s">
        <v>1</v>
      </c>
      <c r="D21" t="str">
        <f t="shared" si="39"/>
        <v>TaxNote</v>
      </c>
      <c r="E21" t="str">
        <f t="shared" si="40"/>
        <v>varchar</v>
      </c>
      <c r="F21" s="6"/>
      <c r="G21" t="str">
        <f t="shared" si="41"/>
        <v>500</v>
      </c>
      <c r="H21" t="str">
        <f>+VLOOKUP(E21,'Data Type Mapping'!A:B,2,)</f>
        <v>string</v>
      </c>
      <c r="I21" t="str">
        <f t="shared" si="42"/>
        <v xml:space="preserve">		public const int MaxTaxNoteLength = 500;
</v>
      </c>
      <c r="J21" t="str">
        <f t="shared" si="43"/>
        <v xml:space="preserve">		[StringLength(MaxTaxNoteLength)]
		public virtual string TaxNote { get; set; }
</v>
      </c>
      <c r="K21" s="6"/>
      <c r="L21" t="str">
        <f t="shared" si="44"/>
        <v/>
      </c>
      <c r="M21" t="str">
        <f t="shared" si="45"/>
        <v xml:space="preserve">		public virtual string TaxNote { get; set; }
</v>
      </c>
      <c r="N21" t="str">
        <f t="shared" si="46"/>
        <v xml:space="preserve">		[StringLength(InvCkdPaymentDetailsConsts.MaxTaxNoteLength)]
		public virtual string TaxNote { get; set; }
</v>
      </c>
      <c r="O21" t="str">
        <f t="shared" si="47"/>
        <v xml:space="preserve">		public virtual string TaxNote { get; set; }
</v>
      </c>
      <c r="P21" t="str">
        <f t="shared" si="48"/>
        <v xml:space="preserve">							TaxNote = o.TaxNote,</v>
      </c>
      <c r="T21" s="64" t="str">
        <f t="shared" si="49"/>
        <v xml:space="preserve">								("TaxNote"),</v>
      </c>
      <c r="V21" s="65" t="str">
        <f t="shared" si="50"/>
        <v xml:space="preserve">								_ =&gt; _.TaxNote,</v>
      </c>
      <c r="W21" s="64" t="str">
        <f t="shared" si="51"/>
        <v xml:space="preserve">				.WhereIf(!string.IsNullOrWhiteSpace(input.TaxNote), e =&gt; e.TaxNote.Contains(input.TaxNote))</v>
      </c>
    </row>
    <row r="22" spans="1:23" customFormat="1" ht="18.75" customHeight="1" x14ac:dyDescent="0.3">
      <c r="A22" t="s">
        <v>379</v>
      </c>
      <c r="B22" t="s">
        <v>362</v>
      </c>
      <c r="C22" t="s">
        <v>1</v>
      </c>
      <c r="D22" t="str">
        <f t="shared" si="39"/>
        <v>InputDate</v>
      </c>
      <c r="E22" t="str">
        <f t="shared" si="40"/>
        <v>DateTime</v>
      </c>
      <c r="F22" s="6"/>
      <c r="G22" t="str">
        <f t="shared" si="41"/>
        <v/>
      </c>
      <c r="H22" t="str">
        <f>+VLOOKUP(E22,'Data Type Mapping'!A:B,2,)</f>
        <v>DateTime?</v>
      </c>
      <c r="I22" t="str">
        <f t="shared" si="42"/>
        <v/>
      </c>
      <c r="J22" t="str">
        <f t="shared" si="43"/>
        <v xml:space="preserve">		public virtual DateTime? InputDate { get; set; }
</v>
      </c>
      <c r="K22" s="6"/>
      <c r="L22" t="str">
        <f t="shared" si="44"/>
        <v/>
      </c>
      <c r="M22" t="str">
        <f t="shared" si="45"/>
        <v xml:space="preserve">		public virtual DateTime? InputDate { get; set; }
</v>
      </c>
      <c r="N22" t="str">
        <f t="shared" si="46"/>
        <v xml:space="preserve">		public virtual DateTime? InputDate { get; set; }
</v>
      </c>
      <c r="O22" t="str">
        <f t="shared" si="47"/>
        <v/>
      </c>
      <c r="P22" t="str">
        <f t="shared" si="48"/>
        <v xml:space="preserve">							InputDate = o.InputDate,</v>
      </c>
      <c r="T22" s="64" t="str">
        <f t="shared" si="49"/>
        <v xml:space="preserve">								("InputDate"),</v>
      </c>
      <c r="V22" s="65" t="str">
        <f t="shared" si="50"/>
        <v xml:space="preserve">								_ =&gt; _.InputDate,</v>
      </c>
      <c r="W22" s="64" t="str">
        <f t="shared" si="51"/>
        <v/>
      </c>
    </row>
    <row r="23" spans="1:23" customFormat="1" ht="18.75" customHeight="1" x14ac:dyDescent="0.3">
      <c r="A23" t="s">
        <v>380</v>
      </c>
      <c r="B23" t="s">
        <v>362</v>
      </c>
      <c r="C23" t="s">
        <v>1</v>
      </c>
      <c r="D23" t="str">
        <f t="shared" si="39"/>
        <v>ActualPaymentDate</v>
      </c>
      <c r="E23" t="str">
        <f t="shared" si="40"/>
        <v>DateTime</v>
      </c>
      <c r="F23" s="6" t="s">
        <v>363</v>
      </c>
      <c r="G23" t="str">
        <f t="shared" si="41"/>
        <v/>
      </c>
      <c r="H23" t="str">
        <f>+VLOOKUP(E23,'Data Type Mapping'!A:B,2,)</f>
        <v>DateTime?</v>
      </c>
      <c r="I23" t="str">
        <f t="shared" si="42"/>
        <v/>
      </c>
      <c r="J23" t="str">
        <f t="shared" si="43"/>
        <v xml:space="preserve">		[Column(TypeName="Date")]
		public virtual DateTime? ActualPaymentDate { get; set; }
</v>
      </c>
      <c r="K23" s="6"/>
      <c r="L23" t="str">
        <f t="shared" si="44"/>
        <v/>
      </c>
      <c r="M23" t="str">
        <f t="shared" si="45"/>
        <v xml:space="preserve">		public virtual DateTime? ActualPaymentDate { get; set; }
</v>
      </c>
      <c r="N23" t="str">
        <f t="shared" si="46"/>
        <v xml:space="preserve">		public virtual DateTime? ActualPaymentDate { get; set; }
</v>
      </c>
      <c r="O23" t="str">
        <f t="shared" si="47"/>
        <v/>
      </c>
      <c r="P23" t="str">
        <f t="shared" si="48"/>
        <v xml:space="preserve">							ActualPaymentDate = o.ActualPaymentDate,</v>
      </c>
      <c r="T23" s="64" t="str">
        <f t="shared" si="49"/>
        <v xml:space="preserve">								("ActualPaymentDate"),</v>
      </c>
      <c r="V23" s="65" t="str">
        <f t="shared" si="50"/>
        <v xml:space="preserve">								_ =&gt; _.ActualPaymentDate,</v>
      </c>
      <c r="W23" s="64" t="str">
        <f t="shared" si="51"/>
        <v/>
      </c>
    </row>
    <row r="24" spans="1:23" customFormat="1" ht="18.75" customHeight="1" x14ac:dyDescent="0.3">
      <c r="A24" t="s">
        <v>381</v>
      </c>
      <c r="B24" t="s">
        <v>353</v>
      </c>
      <c r="C24" t="s">
        <v>1</v>
      </c>
      <c r="D24" t="str">
        <f t="shared" si="39"/>
        <v>BillofladingNo</v>
      </c>
      <c r="E24" t="str">
        <f t="shared" si="40"/>
        <v>varchar</v>
      </c>
      <c r="F24" s="6"/>
      <c r="G24" t="str">
        <f t="shared" si="41"/>
        <v>20</v>
      </c>
      <c r="H24" t="str">
        <f>+VLOOKUP(E24,'Data Type Mapping'!A:B,2,)</f>
        <v>string</v>
      </c>
      <c r="I24" t="str">
        <f t="shared" si="42"/>
        <v xml:space="preserve">		public const int MaxBillofladingNoLength = 20;
</v>
      </c>
      <c r="J24" t="str">
        <f t="shared" si="43"/>
        <v xml:space="preserve">		[StringLength(MaxBillofladingNoLength)]
		public virtual string BillofladingNo { get; set; }
</v>
      </c>
      <c r="K24" s="6"/>
      <c r="L24" t="str">
        <f t="shared" si="44"/>
        <v/>
      </c>
      <c r="M24" t="str">
        <f t="shared" si="45"/>
        <v xml:space="preserve">		public virtual string BillofladingNo { get; set; }
</v>
      </c>
      <c r="N24" t="str">
        <f t="shared" si="46"/>
        <v xml:space="preserve">		[StringLength(InvCkdPaymentDetailsConsts.MaxBillofladingNoLength)]
		public virtual string BillofladingNo { get; set; }
</v>
      </c>
      <c r="O24" t="str">
        <f t="shared" si="47"/>
        <v xml:space="preserve">		public virtual string BillofladingNo { get; set; }
</v>
      </c>
      <c r="P24" t="str">
        <f t="shared" si="48"/>
        <v xml:space="preserve">							BillofladingNo = o.BillofladingNo,</v>
      </c>
      <c r="T24" s="64" t="str">
        <f t="shared" si="49"/>
        <v xml:space="preserve">								("BillofladingNo"),</v>
      </c>
      <c r="V24" s="65" t="str">
        <f t="shared" si="50"/>
        <v xml:space="preserve">								_ =&gt; _.BillofladingNo,</v>
      </c>
      <c r="W24" s="64" t="str">
        <f t="shared" si="51"/>
        <v xml:space="preserve">				.WhereIf(!string.IsNullOrWhiteSpace(input.BillofladingNo), e =&gt; e.BillofladingNo.Contains(input.BillofladingNo))</v>
      </c>
    </row>
    <row r="25" spans="1:23" customFormat="1" ht="18.75" customHeight="1" x14ac:dyDescent="0.3">
      <c r="A25" t="s">
        <v>382</v>
      </c>
      <c r="B25" t="s">
        <v>391</v>
      </c>
      <c r="C25" t="s">
        <v>1</v>
      </c>
      <c r="D25" t="str">
        <f t="shared" si="26"/>
        <v>StatusCustoms</v>
      </c>
      <c r="E25" t="str">
        <f t="shared" si="27"/>
        <v>varchar</v>
      </c>
      <c r="F25" s="6"/>
      <c r="G25" t="str">
        <f t="shared" si="28"/>
        <v>4</v>
      </c>
      <c r="H25" t="str">
        <f>+VLOOKUP(E25,'Data Type Mapping'!A:B,2,)</f>
        <v>string</v>
      </c>
      <c r="I25" t="str">
        <f t="shared" si="29"/>
        <v xml:space="preserve">		public const int MaxStatusCustomsLength = 4;
</v>
      </c>
      <c r="J25" t="str">
        <f t="shared" si="30"/>
        <v xml:space="preserve">		[StringLength(MaxStatusCustomsLength)]
		public virtual string StatusCustoms { get; set; }
</v>
      </c>
      <c r="K25" s="6"/>
      <c r="L25" t="str">
        <f t="shared" si="31"/>
        <v/>
      </c>
      <c r="M25" t="str">
        <f t="shared" si="32"/>
        <v xml:space="preserve">		public virtual string StatusCustoms { get; set; }
</v>
      </c>
      <c r="N25" t="str">
        <f t="shared" si="33"/>
        <v xml:space="preserve">		[StringLength(InvCkdPaymentDetailsConsts.MaxStatusCustomsLength)]
		public virtual string StatusCustoms { get; set; }
</v>
      </c>
      <c r="O25" t="str">
        <f t="shared" si="34"/>
        <v xml:space="preserve">		public virtual string StatusCustoms { get; set; }
</v>
      </c>
      <c r="P25" t="str">
        <f t="shared" si="35"/>
        <v xml:space="preserve">							StatusCustoms = o.StatusCustoms,</v>
      </c>
      <c r="T25" s="64" t="str">
        <f t="shared" si="36"/>
        <v xml:space="preserve">								("StatusCustoms"),</v>
      </c>
      <c r="V25" s="65" t="str">
        <f t="shared" si="37"/>
        <v xml:space="preserve">								_ =&gt; _.StatusCustoms,</v>
      </c>
      <c r="W25" s="64" t="str">
        <f t="shared" si="38"/>
        <v xml:space="preserve">				.WhereIf(!string.IsNullOrWhiteSpace(input.StatusCustoms), e =&gt; e.StatusCustoms.Contains(input.StatusCustoms))</v>
      </c>
    </row>
    <row r="26" spans="1:23" customFormat="1" ht="18.75" customHeight="1" x14ac:dyDescent="0.3">
      <c r="A26" t="s">
        <v>351</v>
      </c>
      <c r="B26" t="s">
        <v>354</v>
      </c>
      <c r="C26" t="s">
        <v>1</v>
      </c>
      <c r="D26" t="str">
        <f t="shared" si="26"/>
        <v>Status</v>
      </c>
      <c r="E26" t="str">
        <f t="shared" si="27"/>
        <v>varchar</v>
      </c>
      <c r="F26" s="6"/>
      <c r="G26" t="str">
        <f t="shared" si="28"/>
        <v>2</v>
      </c>
      <c r="H26" t="str">
        <f>+VLOOKUP(E26,'Data Type Mapping'!A:B,2,)</f>
        <v>string</v>
      </c>
      <c r="I26" t="str">
        <f t="shared" si="29"/>
        <v xml:space="preserve">		public const int MaxStatusLength = 2;
</v>
      </c>
      <c r="J26" t="str">
        <f t="shared" si="30"/>
        <v xml:space="preserve">		[StringLength(MaxStatusLength)]
		public virtual string Status { get; set; }
</v>
      </c>
      <c r="K26" s="6"/>
      <c r="L26" t="str">
        <f t="shared" si="31"/>
        <v/>
      </c>
      <c r="M26" t="str">
        <f t="shared" si="32"/>
        <v xml:space="preserve">		public virtual string Status { get; set; }
</v>
      </c>
      <c r="N26" t="str">
        <f t="shared" si="33"/>
        <v xml:space="preserve">		[StringLength(InvCkdPaymentDetailsConsts.MaxStatusLength)]
		public virtual string Status { get; set; }
</v>
      </c>
      <c r="O26" t="str">
        <f t="shared" si="34"/>
        <v xml:space="preserve">		public virtual string Status { get; set; }
</v>
      </c>
      <c r="P26" t="str">
        <f t="shared" si="35"/>
        <v xml:space="preserve">							Status = o.Status,</v>
      </c>
      <c r="T26" s="64" t="str">
        <f t="shared" si="36"/>
        <v xml:space="preserve">								("Status"),</v>
      </c>
      <c r="V26" s="65" t="str">
        <f t="shared" si="37"/>
        <v xml:space="preserve">								_ =&gt; _.Status,</v>
      </c>
      <c r="W26" s="64" t="str">
        <f t="shared" si="38"/>
        <v xml:space="preserve">				.WhereIf(!string.IsNullOrWhiteSpace(input.Status), e =&gt; e.Status.Contains(input.Status))</v>
      </c>
    </row>
    <row r="27" spans="1:23" customFormat="1" ht="18.75" customHeight="1" x14ac:dyDescent="0.3">
      <c r="A27" t="s">
        <v>383</v>
      </c>
      <c r="B27" t="s">
        <v>0</v>
      </c>
      <c r="C27" t="s">
        <v>1</v>
      </c>
      <c r="D27" t="str">
        <f t="shared" si="26"/>
        <v>PaymentReqId</v>
      </c>
      <c r="E27" t="str">
        <f t="shared" si="27"/>
        <v>bigint</v>
      </c>
      <c r="F27" s="6"/>
      <c r="G27" t="str">
        <f t="shared" si="28"/>
        <v/>
      </c>
      <c r="H27" t="str">
        <f>+VLOOKUP(E27,'Data Type Mapping'!A:B,2,)</f>
        <v>long?</v>
      </c>
      <c r="I27" t="str">
        <f t="shared" si="29"/>
        <v/>
      </c>
      <c r="J27" t="str">
        <f t="shared" si="30"/>
        <v xml:space="preserve">		public virtual long? PaymentReqId { get; set; }
</v>
      </c>
      <c r="K27" s="6"/>
      <c r="L27" t="str">
        <f t="shared" si="31"/>
        <v/>
      </c>
      <c r="M27" t="str">
        <f t="shared" si="32"/>
        <v xml:space="preserve">		public virtual long? PaymentReqId { get; set; }
</v>
      </c>
      <c r="N27" t="str">
        <f t="shared" si="33"/>
        <v xml:space="preserve">		public virtual long? PaymentReqId { get; set; }
</v>
      </c>
      <c r="O27" t="str">
        <f t="shared" si="34"/>
        <v/>
      </c>
      <c r="P27" t="str">
        <f t="shared" si="35"/>
        <v xml:space="preserve">							PaymentReqId = o.PaymentReqId,</v>
      </c>
      <c r="T27" s="64" t="str">
        <f t="shared" si="36"/>
        <v xml:space="preserve">								("PaymentReqId"),</v>
      </c>
      <c r="V27" s="65" t="str">
        <f t="shared" si="37"/>
        <v xml:space="preserve">								_ =&gt; _.PaymentReqId,</v>
      </c>
      <c r="W27" s="64" t="str">
        <f t="shared" si="38"/>
        <v/>
      </c>
    </row>
    <row r="28" spans="1:23" customFormat="1" ht="18.75" customHeight="1" x14ac:dyDescent="0.3">
      <c r="A28" t="s">
        <v>384</v>
      </c>
      <c r="B28" t="s">
        <v>0</v>
      </c>
      <c r="C28" t="s">
        <v>1</v>
      </c>
      <c r="D28" t="str">
        <f t="shared" si="26"/>
        <v>CompleteTax</v>
      </c>
      <c r="E28" t="str">
        <f t="shared" si="27"/>
        <v>bigint</v>
      </c>
      <c r="F28" s="6"/>
      <c r="G28" t="str">
        <f t="shared" si="28"/>
        <v/>
      </c>
      <c r="H28" t="str">
        <f>+VLOOKUP(E28,'Data Type Mapping'!A:B,2,)</f>
        <v>long?</v>
      </c>
      <c r="I28" t="str">
        <f t="shared" si="29"/>
        <v/>
      </c>
      <c r="J28" t="str">
        <f t="shared" si="30"/>
        <v xml:space="preserve">		public virtual long? CompleteTax { get; set; }
</v>
      </c>
      <c r="K28" s="6"/>
      <c r="L28" t="str">
        <f t="shared" si="31"/>
        <v/>
      </c>
      <c r="M28" t="str">
        <f t="shared" si="32"/>
        <v xml:space="preserve">		public virtual long? CompleteTax { get; set; }
</v>
      </c>
      <c r="N28" t="str">
        <f t="shared" si="33"/>
        <v xml:space="preserve">		public virtual long? CompleteTax { get; set; }
</v>
      </c>
      <c r="O28" t="str">
        <f t="shared" si="34"/>
        <v/>
      </c>
      <c r="P28" t="str">
        <f t="shared" si="35"/>
        <v xml:space="preserve">							CompleteTax = o.CompleteTax,</v>
      </c>
      <c r="T28" s="64" t="str">
        <f t="shared" si="36"/>
        <v xml:space="preserve">								("CompleteTax"),</v>
      </c>
      <c r="V28" s="65" t="str">
        <f t="shared" si="37"/>
        <v xml:space="preserve">								_ =&gt; _.CompleteTax,</v>
      </c>
      <c r="W28" s="64" t="str">
        <f t="shared" si="38"/>
        <v/>
      </c>
    </row>
    <row r="29" spans="1:23" customFormat="1" ht="18.75" customHeight="1" x14ac:dyDescent="0.3">
      <c r="A29" t="s">
        <v>385</v>
      </c>
      <c r="B29" t="s">
        <v>0</v>
      </c>
      <c r="C29" t="s">
        <v>1</v>
      </c>
      <c r="D29" t="str">
        <f t="shared" si="26"/>
        <v>CompleteVat</v>
      </c>
      <c r="E29" t="str">
        <f t="shared" si="27"/>
        <v>bigint</v>
      </c>
      <c r="F29" s="6"/>
      <c r="G29" t="str">
        <f t="shared" si="28"/>
        <v/>
      </c>
      <c r="H29" t="str">
        <f>+VLOOKUP(E29,'Data Type Mapping'!A:B,2,)</f>
        <v>long?</v>
      </c>
      <c r="I29" t="str">
        <f t="shared" si="29"/>
        <v/>
      </c>
      <c r="J29" t="str">
        <f t="shared" si="30"/>
        <v xml:space="preserve">		public virtual long? CompleteVat { get; set; }
</v>
      </c>
      <c r="K29" s="6"/>
      <c r="L29" t="str">
        <f t="shared" si="31"/>
        <v/>
      </c>
      <c r="M29" t="str">
        <f t="shared" si="32"/>
        <v xml:space="preserve">		public virtual long? CompleteVat { get; set; }
</v>
      </c>
      <c r="N29" t="str">
        <f t="shared" si="33"/>
        <v xml:space="preserve">		public virtual long? CompleteVat { get; set; }
</v>
      </c>
      <c r="O29" t="str">
        <f t="shared" si="34"/>
        <v/>
      </c>
      <c r="P29" t="str">
        <f t="shared" si="35"/>
        <v xml:space="preserve">							CompleteVat = o.CompleteVat,</v>
      </c>
      <c r="T29" s="64" t="str">
        <f t="shared" si="36"/>
        <v xml:space="preserve">								("CompleteVat"),</v>
      </c>
      <c r="V29" s="65" t="str">
        <f t="shared" si="37"/>
        <v xml:space="preserve">								_ =&gt; _.CompleteVat,</v>
      </c>
      <c r="W29" s="64" t="str">
        <f t="shared" si="38"/>
        <v/>
      </c>
    </row>
    <row r="30" spans="1:23" customFormat="1" ht="18.75" customHeight="1" x14ac:dyDescent="0.3">
      <c r="A30" t="s">
        <v>352</v>
      </c>
      <c r="B30" t="s">
        <v>354</v>
      </c>
      <c r="C30" t="s">
        <v>1</v>
      </c>
      <c r="D30" t="str">
        <f t="shared" si="26"/>
        <v>OrdertypeCode</v>
      </c>
      <c r="E30" t="str">
        <f t="shared" si="27"/>
        <v>varchar</v>
      </c>
      <c r="F30" s="6"/>
      <c r="G30" t="str">
        <f t="shared" si="28"/>
        <v>2</v>
      </c>
      <c r="H30" t="str">
        <f>+VLOOKUP(E30,'Data Type Mapping'!A:B,2,)</f>
        <v>string</v>
      </c>
      <c r="I30" t="str">
        <f t="shared" si="29"/>
        <v xml:space="preserve">		public const int MaxOrdertypeCodeLength = 2;
</v>
      </c>
      <c r="J30" t="str">
        <f t="shared" si="30"/>
        <v xml:space="preserve">		[StringLength(MaxOrdertypeCodeLength)]
		public virtual string OrdertypeCode { get; set; }
</v>
      </c>
      <c r="K30" s="6"/>
      <c r="L30" t="str">
        <f t="shared" si="31"/>
        <v/>
      </c>
      <c r="M30" t="str">
        <f t="shared" si="32"/>
        <v xml:space="preserve">		public virtual string OrdertypeCode { get; set; }
</v>
      </c>
      <c r="N30" t="str">
        <f t="shared" si="33"/>
        <v xml:space="preserve">		[StringLength(InvCkdPaymentDetailsConsts.MaxOrdertypeCodeLength)]
		public virtual string OrdertypeCode { get; set; }
</v>
      </c>
      <c r="O30" t="str">
        <f t="shared" si="34"/>
        <v xml:space="preserve">		public virtual string OrdertypeCode { get; set; }
</v>
      </c>
      <c r="P30" t="str">
        <f t="shared" si="35"/>
        <v xml:space="preserve">							OrdertypeCode = o.OrdertypeCode,</v>
      </c>
      <c r="T30" s="64" t="str">
        <f t="shared" si="36"/>
        <v xml:space="preserve">								("OrdertypeCode"),</v>
      </c>
      <c r="V30" s="65" t="str">
        <f t="shared" si="37"/>
        <v xml:space="preserve">								_ =&gt; _.OrdertypeCode,</v>
      </c>
      <c r="W30" s="64" t="str">
        <f t="shared" si="38"/>
        <v xml:space="preserve">				.WhereIf(!string.IsNullOrWhiteSpace(input.OrdertypeCode), e =&gt; e.OrdertypeCode.Contains(input.OrdertypeCode))</v>
      </c>
    </row>
    <row r="31" spans="1:23" customFormat="1" ht="18.75" customHeight="1" x14ac:dyDescent="0.3">
      <c r="A31" t="s">
        <v>386</v>
      </c>
      <c r="B31" t="s">
        <v>392</v>
      </c>
      <c r="C31" t="s">
        <v>1</v>
      </c>
      <c r="D31" t="str">
        <f t="shared" si="26"/>
        <v>Forwarder</v>
      </c>
      <c r="E31" t="str">
        <f t="shared" si="27"/>
        <v>varchar</v>
      </c>
      <c r="F31" s="6"/>
      <c r="G31" t="str">
        <f t="shared" si="28"/>
        <v>10</v>
      </c>
      <c r="H31" t="str">
        <f>+VLOOKUP(E31,'Data Type Mapping'!A:B,2,)</f>
        <v>string</v>
      </c>
      <c r="I31" t="str">
        <f t="shared" si="29"/>
        <v xml:space="preserve">		public const int MaxForwarderLength = 10;
</v>
      </c>
      <c r="J31" t="str">
        <f t="shared" si="30"/>
        <v xml:space="preserve">		[StringLength(MaxForwarderLength)]
		public virtual string Forwarder { get; set; }
</v>
      </c>
      <c r="K31" s="6"/>
      <c r="L31" t="str">
        <f t="shared" si="31"/>
        <v/>
      </c>
      <c r="M31" t="str">
        <f t="shared" si="32"/>
        <v xml:space="preserve">		public virtual string Forwarder { get; set; }
</v>
      </c>
      <c r="N31" t="str">
        <f t="shared" si="33"/>
        <v xml:space="preserve">		[StringLength(InvCkdPaymentDetailsConsts.MaxForwarderLength)]
		public virtual string Forwarder { get; set; }
</v>
      </c>
      <c r="O31" t="str">
        <f t="shared" si="34"/>
        <v xml:space="preserve">		public virtual string Forwarder { get; set; }
</v>
      </c>
      <c r="P31" t="str">
        <f t="shared" si="35"/>
        <v xml:space="preserve">							Forwarder = o.Forwarder,</v>
      </c>
      <c r="T31" s="64" t="str">
        <f t="shared" si="36"/>
        <v xml:space="preserve">								("Forwarder"),</v>
      </c>
      <c r="V31" s="65" t="str">
        <f t="shared" si="37"/>
        <v xml:space="preserve">								_ =&gt; _.Forwarder,</v>
      </c>
      <c r="W31" s="64" t="str">
        <f t="shared" si="38"/>
        <v xml:space="preserve">				.WhereIf(!string.IsNullOrWhiteSpace(input.Forwarder), e =&gt; e.Forwarder.Contains(input.Forwarder))</v>
      </c>
    </row>
    <row r="32" spans="1:23" customFormat="1" ht="22.5" customHeight="1" x14ac:dyDescent="0.3">
      <c r="A32" t="s">
        <v>319</v>
      </c>
      <c r="B32" t="s">
        <v>320</v>
      </c>
      <c r="C32" t="s">
        <v>1</v>
      </c>
      <c r="D32" t="str">
        <f>SUBSTITUTE(PROPER(A32),"_","")</f>
        <v>IsActive</v>
      </c>
      <c r="E32" t="str">
        <f t="shared" ref="E32" si="52">IFERROR(LEFT(B32, FIND("(",B32)-1),B32)</f>
        <v>varchar</v>
      </c>
      <c r="F32" s="6"/>
      <c r="G32" t="str">
        <f t="shared" ref="G32" si="53">IFERROR(MID(B32,FIND("(",B32) +1, FIND(")",B32) - FIND("(",B32) - 1),"")</f>
        <v>1</v>
      </c>
      <c r="H32" t="str">
        <f>+VLOOKUP(E32,'Data Type Mapping'!A:B,2,)</f>
        <v>string</v>
      </c>
      <c r="I32" t="str">
        <f t="shared" ref="I32" si="54">IF(H32="string",REPT(CHAR(9),2)&amp;"public const int Max"&amp;D32&amp;"Length = "&amp;G32&amp;";"&amp;$E$3,"" )</f>
        <v xml:space="preserve">		public const int MaxIsActiveLength = 1;
</v>
      </c>
      <c r="J32" t="str">
        <f t="shared" ref="J32" si="55"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[StringLength(MaxIsActiveLength)]
		public virtual string IsActive { get; set; }
</v>
      </c>
      <c r="K32" s="6"/>
      <c r="L32" t="str">
        <f>IF(K32="","",REPT(CHAR(9),1)&amp;"[Index(nameof("&amp;IF(D32="","",""&amp;D32)&amp;")"&amp;", Name="&amp;"""IX_"&amp;$B$7&amp;"_"&amp;D32&amp;""")]")</f>
        <v/>
      </c>
      <c r="M32" t="str">
        <f t="shared" ref="M32" si="56">REPT(CHAR(9),2)&amp;"public virtual "&amp;IF(OR(H32="DateTime",H32="TimeSpan"),H32&amp;"?",H32)&amp;IF(C32="?","? "," ")&amp;D32&amp;" { get; set; }" &amp; "
"</f>
        <v xml:space="preserve">		public virtual string IsActive { get; set; }
</v>
      </c>
      <c r="N32" t="str">
        <f t="shared" ref="N32" si="57"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[StringLength(InvCkdPaymentDetailsConsts.MaxIsActiveLength)]
		public virtual string IsActive { get; set; }
</v>
      </c>
      <c r="O32" t="str">
        <f t="shared" ref="O32" si="58">IF(OR(H32="string",H32="DateTime",H32="int"),REPT(CHAR(9),2)&amp;"public virtual "&amp;IF(OR(H32="DateTime",H32="TimeSpan"),H32&amp;"?",H32)&amp;IF(C32="?","? "," ")&amp;D32&amp;" { get; set; }"&amp;$E$3,"")</f>
        <v xml:space="preserve">		public virtual string IsActive { get; set; }
</v>
      </c>
      <c r="P32" t="str">
        <f t="shared" ref="P32" si="59">REPT(CHAR(9),7)&amp;D32&amp;" = o." &amp;D32 &amp;","</f>
        <v xml:space="preserve">							IsActive = o.IsActive,</v>
      </c>
      <c r="T32" s="64" t="str">
        <f t="shared" ref="T32" si="60">REPT(CHAR(9),8)&amp;"("""&amp;D32&amp;"""),"</f>
        <v xml:space="preserve">								("IsActive"),</v>
      </c>
      <c r="V32" s="65" t="str">
        <f t="shared" ref="V32" si="61">REPT(CHAR(9),8)&amp;"_ =&gt; _."&amp;D32&amp;","</f>
        <v xml:space="preserve">								_ =&gt; _.IsActive,</v>
      </c>
      <c r="W32" s="64" t="str">
        <f t="shared" ref="W32" si="62"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 xml:space="preserve">				.WhereIf(!string.IsNullOrWhiteSpace(input.IsActive), e =&gt; e.IsActive.Contains(input.IsActive))</v>
      </c>
    </row>
    <row r="34" spans="8:23" ht="45.75" customHeight="1" x14ac:dyDescent="0.3">
      <c r="H34" s="11"/>
      <c r="I34" s="31" t="str">
        <f ca="1">TEXTJOIN2("
", TRUE,INDIRECT( $H$1):INDIRECT( $H$3))</f>
        <v xml:space="preserve">		public const int MaxCustomsDeclareNoLength = 30;
		public const int MaxCustomsPortLength = 12;
		public const int MaxTaxNoteLength = 500;
		public const int MaxBillofladingNoLength = 20;
		public const int MaxStatusCustomsLength = 4;
		public const int MaxStatusLength = 2;
		public const int MaxOrdertypeCodeLength = 2;
		public const int MaxForwarderLength = 10;
		public const int MaxIsActiveLength = 1;
</v>
      </c>
      <c r="J34" s="30" t="str">
        <f ca="1">TEXTJOIN2("
", TRUE,INDIRECT( $F$1):INDIRECT( $F$3))</f>
        <v xml:space="preserve">		[StringLength(MaxCustomsDeclareNoLength)]
		public virtual string CustomsDeclareNo { get; set; }
		public virtual decimal? TotalcifCept { get; set; }
		public virtual decimal? TotalcifNoncept { get; set; }
		public virtual decimal? TotaltaxCept { get; set; }
		public virtual decimal? TotaltaxNoncept { get; set; }
		public virtual decimal? TotalvatCept { get; set; }
		public virtual decimal? TotalvatNoncept { get; set; }
		public virtual decimal? ExchangRate { get; set; }
		public virtual DateTime? DeclareDate { get; set; }
		public virtual decimal? ActualTax { get; set; }
		public virtual decimal? ActualVat { get; set; }
		[StringLength(MaxCustomsPortLength)]
		public virtual string CustomsPort { get; set; }
		[StringLength(MaxTaxNoteLength)]
		public virtual string TaxNote { get; set; }
		public virtual DateTime? InputDate { get; set; }
		[Column(TypeName="Date")]
		public virtual DateTime? ActualPaymentDate { get; set; }
		[StringLength(MaxBillofladingNoLength)]
		public virtual string BillofladingNo { get; set; }
		[StringLength(MaxStatusCustomsLength)]
		public virtual string StatusCustoms { get; set; }
		[StringLength(MaxStatusLength)]
		public virtual string Status { get; set; }
		public virtual long? PaymentReqId { get; set; }
		public virtual long? CompleteTax { get; set; }
		public virtual long? CompleteVat { get; set; }
		[StringLength(MaxOrdertypeCodeLength)]
		public virtual string OrdertypeCode { get; set; }
		[StringLength(MaxForwarderLength)]
		public virtual string Forwarder { get; set; }
		[StringLength(MaxIsActiveLength)]
		public virtual string IsActive { get; set; }
</v>
      </c>
      <c r="K34" s="32" t="str">
        <f ca="1">TEXTJOIN2("
", TRUE,INDIRECT( $J$1):INDIRECT( $J$3))</f>
        <v/>
      </c>
      <c r="L34" s="12" t="s">
        <v>57</v>
      </c>
      <c r="M34" s="33" t="str">
        <f ca="1">TEXTJOIN2("
",TRUE,INDIRECT( $L$1):INDIRECT($L$3))</f>
        <v xml:space="preserve">		public virtual string CustomsDeclareNo { get; set; }
		public virtual decimal? TotalcifCept { get; set; }
		public virtual decimal? TotalcifNoncept { get; set; }
		public virtual decimal? TotaltaxCept { get; set; }
		public virtual decimal? TotaltaxNoncept { get; set; }
		public virtual decimal? TotalvatCept { get; set; }
		public virtual decimal? TotalvatNoncept { get; set; }
		public virtual decimal? ExchangRate { get; set; }
		public virtual DateTime? DeclareDate { get; set; }
		public virtual decimal? ActualTax { get; set; }
		public virtual decimal? ActualVat { get; set; }
		public virtual string CustomsPort { get; set; }
		public virtual string TaxNote { get; set; }
		public virtual DateTime? InputDate { get; set; }
		public virtual DateTime? ActualPaymentDate { get; set; }
		public virtual string BillofladingNo { get; set; }
		public virtual string StatusCustoms { get; set; }
		public virtual string Status { get; set; }
		public virtual long? PaymentReqId { get; set; }
		public virtual long? CompleteTax { get; set; }
		public virtual long? CompleteVat { get; set; }
		public virtual string OrdertypeCode { get; set; }
		public virtual string Forwarder { get; set; }
		public virtual string IsActive { get; set; }
</v>
      </c>
      <c r="N34" s="30" t="str">
        <f ca="1">TEXTJOIN2("
",TRUE,INDIRECT( $M$1):INDIRECT($M$3))</f>
        <v xml:space="preserve">		[StringLength(InvCkdPaymentDetailsConsts.MaxCustomsDeclareNoLength)]
		public virtual string CustomsDeclareNo { get; set; }
		public virtual decimal? TotalcifCept { get; set; }
		public virtual decimal? TotalcifNoncept { get; set; }
		public virtual decimal? TotaltaxCept { get; set; }
		public virtual decimal? TotaltaxNoncept { get; set; }
		public virtual decimal? TotalvatCept { get; set; }
		public virtual decimal? TotalvatNoncept { get; set; }
		public virtual decimal? ExchangRate { get; set; }
		public virtual DateTime? DeclareDate { get; set; }
		public virtual decimal? ActualTax { get; set; }
		public virtual decimal? ActualVat { get; set; }
		[StringLength(InvCkdPaymentDetailsConsts.MaxCustomsPortLength)]
		public virtual string CustomsPort { get; set; }
		[StringLength(InvCkdPaymentDetailsConsts.MaxTaxNoteLength)]
		public virtual string TaxNote { get; set; }
		public virtual DateTime? InputDate { get; set; }
		public virtual DateTime? ActualPaymentDate { get; set; }
		[StringLength(InvCkdPaymentDetailsConsts.MaxBillofladingNoLength)]
		public virtual string BillofladingNo { get; set; }
		[StringLength(InvCkdPaymentDetailsConsts.MaxStatusCustomsLength)]
		public virtual string StatusCustoms { get; set; }
		[StringLength(InvCkdPaymentDetailsConsts.MaxStatusLength)]
		public virtual string Status { get; set; }
		public virtual long? PaymentReqId { get; set; }
		public virtual long? CompleteTax { get; set; }
		public virtual long? CompleteVat { get; set; }
		[StringLength(InvCkdPaymentDetailsConsts.MaxOrdertypeCodeLength)]
		public virtual string OrdertypeCode { get; set; }
		[StringLength(InvCkdPaymentDetailsConsts.MaxForwarderLength)]
		public virtual string Forwarder { get; set; }
		[StringLength(InvCkdPaymentDetailsConsts.MaxIsActiveLength)]
		public virtual string IsActive { get; set; }
</v>
      </c>
      <c r="O34" s="30" t="str">
        <f ca="1">TEXTJOIN2("
",TRUE,INDIRECT( $N$1):INDIRECT($N$3))</f>
        <v xml:space="preserve">		public virtual string CustomsDeclareNo { get; set; }
		public virtual string CustomsPort { get; set; }
		public virtual string TaxNote { get; set; }
		public virtual string BillofladingNo { get; set; }
		public virtual string StatusCustoms { get; set; }
		public virtual string Status { get; set; }
		public virtual string OrdertypeCode { get; set; }
		public virtual string Forwarder { get; set; }
		public virtual string IsActive { get; set; }
</v>
      </c>
      <c r="P34" s="8" t="str">
        <f ca="1">TEXTJOIN2("
",TRUE,INDIRECT( $O$1):INDIRECT($O$3))</f>
        <v xml:space="preserve">							CustomsDeclareNo = o.CustomsDeclareNo,
							TotalcifCept = o.TotalcifCept,
							TotalcifNoncept = o.TotalcifNoncept,
							TotaltaxCept = o.TotaltaxCept,
							TotaltaxNoncept = o.TotaltaxNoncept,
							TotalvatCept = o.TotalvatCept,
							TotalvatNoncept = o.TotalvatNoncept,
							ExchangRate = o.ExchangRate,
							DeclareDate = o.DeclareDate,
							ActualTax = o.ActualTax,
							ActualVat = o.ActualVat,
							CustomsPort = o.CustomsPort,
							TaxNote = o.TaxNote,
							InputDate = o.InputDate,
							ActualPaymentDate = o.ActualPaymentDate,
							BillofladingNo = o.BillofladingNo,
							StatusCustoms = o.StatusCustoms,
							Status = o.Status,
							PaymentReqId = o.PaymentReqId,
							CompleteTax = o.CompleteTax,
							CompleteVat = o.CompleteVat,
							OrdertypeCode = o.OrdertypeCode,
							Forwarder = o.Forwarder,
							IsActive = o.IsActive,</v>
      </c>
      <c r="T34" s="8" t="str">
        <f ca="1">TEXTJOIN2("
",TRUE,INDIRECT( $T$2):INDIRECT($T$3))</f>
        <v xml:space="preserve">								("CustomsDeclareNo"),
								("TotalcifCept"),
								("TotalcifNoncept"),
								("TotaltaxCept"),
								("TotaltaxNoncept"),
								("TotalvatCept"),
								("TotalvatNoncept"),
								("ExchangRate"),
								("DeclareDate"),
								("ActualTax"),
								("ActualVat"),
								("CustomsPort"),
								("TaxNote"),
								("InputDate"),
								("ActualPaymentDate"),
								("BillofladingNo"),
								("StatusCustoms"),
								("Status"),
								("PaymentReqId"),
								("CompleteTax"),
								("CompleteVat"),
								("OrdertypeCode"),
								("Forwarder"),
								("IsActive"),</v>
      </c>
      <c r="V34" s="8" t="str">
        <f ca="1">TEXTJOIN2("
",TRUE,INDIRECT( $V$2):INDIRECT($V$3))</f>
        <v xml:space="preserve">								_ =&gt; _.CustomsDeclareNo,
								_ =&gt; _.TotalcifCept,
								_ =&gt; _.TotalcifNoncept,
								_ =&gt; _.TotaltaxCept,
								_ =&gt; _.TotaltaxNoncept,
								_ =&gt; _.TotalvatCept,
								_ =&gt; _.TotalvatNoncept,
								_ =&gt; _.ExchangRate,
								_ =&gt; _.DeclareDate,
								_ =&gt; _.ActualTax,
								_ =&gt; _.ActualVat,
								_ =&gt; _.CustomsPort,
								_ =&gt; _.TaxNote,
								_ =&gt; _.InputDate,
								_ =&gt; _.ActualPaymentDate,
								_ =&gt; _.BillofladingNo,
								_ =&gt; _.StatusCustoms,
								_ =&gt; _.Status,
								_ =&gt; _.PaymentReqId,
								_ =&gt; _.CompleteTax,
								_ =&gt; _.CompleteVat,
								_ =&gt; _.OrdertypeCode,
								_ =&gt; _.Forwarder,
								_ =&gt; _.IsActive,</v>
      </c>
      <c r="W34" s="8" t="str">
        <f ca="1">TEXTJOIN2("
",TRUE,INDIRECT( $W$2):INDIRECT($W$3))</f>
        <v xml:space="preserve">				.WhereIf(!string.IsNullOrWhiteSpace(input.CustomsDeclareNo), e =&gt; e.CustomsDeclareNo.Contains(input.CustomsDeclareNo))
				.WhereIf(!string.IsNullOrWhiteSpace(input.CustomsPort), e =&gt; e.CustomsPort.Contains(input.CustomsPort))
				.WhereIf(!string.IsNullOrWhiteSpace(input.TaxNote), e =&gt; e.TaxNote.Contains(input.TaxNote))
				.WhereIf(!string.IsNullOrWhiteSpace(input.BillofladingNo), e =&gt; e.BillofladingNo.Contains(input.BillofladingNo))
				.WhereIf(!string.IsNullOrWhiteSpace(input.StatusCustoms), e =&gt; e.StatusCustoms.Contains(input.StatusCustoms))
				.WhereIf(!string.IsNullOrWhiteSpace(input.Status), e =&gt; e.Status.Contains(input.Status))
				.WhereIf(!string.IsNullOrWhiteSpace(input.OrdertypeCode), e =&gt; e.OrdertypeCode.Contains(input.OrdertypeCode))
				.WhereIf(!string.IsNullOrWhiteSpace(input.Forwarder), e =&gt; e.Forwarder.Contains(input.Forwarder))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0"/>
  <sheetViews>
    <sheetView workbookViewId="0">
      <selection activeCell="C5" sqref="C5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x14ac:dyDescent="0.3">
      <c r="A1" s="38" t="s">
        <v>208</v>
      </c>
      <c r="B1" s="39" t="s">
        <v>366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InvCkdPaymentDetails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Payment Details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payment details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InvCkdPaymentDetailsDto, InvCkdPaymentDetailsServiceProxy } from '@shared/service-proxies/service-proxies';
import { finalize } from 'rxjs/internal/operators/finalize';
import { CreateOrEditPayment DetailsModalComponent } from './create-or-edit-payment details-modal.component';
import { DatePipe } from '@angular/common';
import { FileDownloadService } from '@shared/utils/file-download.service';
import ceil from 'lodash-es/ceil';
import { Paginator } from 'primeng/paginator';
@Component({
    templateUrl: './payment details.component.html',
    styleUrls: ['./payment details.component.less'],
})
export class Payment DetailsComponent extends AppComponentBase implements OnInit {
    @ViewChild('createOrEditModalPayment Details', { static: true }) createOrEditModalPayment Details:| CreateOrEditPayment 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InvCkdPaymentDetailsDto = new InvCkdPaymentDetailsDto();
    saveSelectedRow: InvCkdPaymentDetailsDto = new InvCkdPaymentDetailsDto();
    datas: InvCkdPaymentDetailsDto = new InvCkdPaymentDetailsDto();
    isLoading: boolean = false;
    dataParams: GridParams | undefined;
    rowData: any[] = [];
    gridApi!: GridApi;
    rowSelection = 'multiple';
    filter: string = '';
	pipe = new DatePipe('en-US');
	frameworkComponents: FrameworkComponent;
    	customsDeclareNo : string = '' ; 
	totalcifCept
	totalcifNoncept
	totaltaxCept
	totaltaxNoncept
	totalvatCept
	totalvatNoncept
	exchangRate
	declareDate
	actualTax
	actualVat
	customsPort : string = '' ; 
	taxNote : string = '' ; 
	inputDate
	actualPaymentDate
	billofladingNo : string = '' ; 
	statusCustoms : string = '' ; 
	status : string = '' ; 
	paymentReqId
	completeTax
	completeVat
	ordertypeCode : string = '' ; 
	forwarder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InvCkdPaymentDetailsServiceProxy,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this.l('Customs Declare No'),headerTooltip: this.l('Customs Declare No'),field: 'customsDeclareNo',flex: 1},
			{headerName: this.l('Totalcif Cept'),headerTooltip: this.l('Totalcif Cept'),field: 'totalcifCept',flex: 1},
			{headerName: this.l('Totalcif Noncept'),headerTooltip: this.l('Totalcif Noncept'),field: 'totalcifNoncept',flex: 1},
			{headerName: this.l('Totaltax Cept'),headerTooltip: this.l('Totaltax Cept'),field: 'totaltaxCept',flex: 1},
			{headerName: this.l('Totaltax Noncept'),headerTooltip: this.l('Totaltax Noncept'),field: 'totaltaxNoncept',flex: 1},
			{headerName: this.l('Totalvat Cept'),headerTooltip: this.l('Totalvat Cept'),field: 'totalvatCept',flex: 1},
			{headerName: this.l('Totalvat Noncept'),headerTooltip: this.l('Totalvat Noncept'),field: 'totalvatNoncept',flex: 1},
			{headerName: this.l('Exchang Rate'),headerTooltip: this.l('Exchang Rate'),field: 'exchangRate',flex: 1},
			{headerName: this.l('Declare Date'),headerTooltip: this.l('Declare Date'),field: 'declareDate',flex: 1},
			{headerName: this.l('Actual Tax'),headerTooltip: this.l('Actual Tax'),field: 'actualTax',flex: 1},
			{headerName: this.l('Actual Vat'),headerTooltip: this.l('Actual Vat'),field: 'actualVat',flex: 1},
			{headerName: this.l('Customs Port'),headerTooltip: this.l('Customs Port'),field: 'customsPort',flex: 1},
			{headerName: this.l('Tax Note'),headerTooltip: this.l('Tax Note'),field: 'taxNote',flex: 1},
			{headerName: this.l('Input Date'),headerTooltip: this.l('Input Date'),field: 'inputDate',flex: 1},
			{headerName: this.l('Actual Payment Date'),headerTooltip: this.l('Actual Payment Date'),field: 'actualPaymentDate',flex: 1},
			{headerName: this.l('Billoflading No'),headerTooltip: this.l('Billoflading No'),field: 'billofladingNo',flex: 1},
			{headerName: this.l('Status Customs'),headerTooltip: this.l('Status Customs'),field: 'statusCustoms',flex: 1},
			{headerName: this.l('Status'),headerTooltip: this.l('Status'),field: 'status',flex: 1},
			{headerName: this.l('Payment Req Id'),headerTooltip: this.l('Payment Req Id'),field: 'paymentReqId',flex: 1},
			{headerName: this.l('Complete Tax'),headerTooltip: this.l('Complete Tax'),field: 'completeTax',flex: 1},
			{headerName: this.l('Complete Vat'),headerTooltip: this.l('Complete Vat'),field: 'completeVat',flex: 1},
			{headerName: this.l('Ordertype Code'),headerTooltip: this.l('Ordertype Code'),field: 'ordertypeCode',flex: 1},
			{headerName: this.l('Forwarder'),headerTooltip: this.l('Forwarder'),field: 'forwarder',flex: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this.customsDeclareNo,
			this.totalcifCept,
			this.totalcifNoncept,
			this.totaltaxCept,
			this.totaltaxNoncept,
			this.totalvatCept,
			this.totalvatNoncept,
			this.exchangRate,
			this.declareDate,
			this.actualTax,
			this.actualVat,
			this.customsPort,
			this.taxNote,
			this.inputDate,
			this.actualPaymentDate,
			this.billofladingNo,
			this.statusCustoms,
			this.status,
			this.paymentReqId,
			this.completeTax,
			this.completeVat,
			this.ordertypeCode,
			this.forwarder,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this.customsDeclareNo = '',
		this.totalcifCept = '',
		this.totalcifNoncept = '',
		this.totaltaxCept = '',
		this.totaltaxNoncept = '',
		this.totalvatCept = '',
		this.totalvatNoncept = '',
		this.exchangRate = '',
		this.declareDate = '',
		this.actualTax = '',
		this.actualVat = '',
		this.customsPort = '',
		this.taxNote = '',
		this.inputDate = '',
		this.actualPaymentDate = '',
		this.billofladingNo = '',
		this.statusCustoms = '',
		this.status = '',
		this.paymentReqId = '',
		this.completeTax = '',
		this.completeVat = '',
		this.ordertypeCode = '',
		this.forwarder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this.customsDeclareNo,
			this.totalcifCept,
			this.totalcifNoncept,
			this.totaltaxCept,
			this.totaltaxNoncept,
			this.totalvatCept,
			this.totalvatNoncept,
			this.exchangRate,
			this.declareDate,
			this.actualTax,
			this.actualVat,
			this.customsPort,
			this.taxNote,
			this.inputDate,
			this.actualPaymentDate,
			this.billofladingNo,
			this.statusCustoms,
			this.status,
			this.paymentReqId,
			this.completeTax,
			this.completeVat,
			this.ordertypeCode,
			this.forwarder,
			this.isActive,
			'',
            this.paginationParams.skipCount,
            this.paginationParams.pageSize
        );
    }
    onChangeRowSelection(params: { api: { getSelectedRows: () =&gt; InvCkdPaymentDetailsDto[] } }) {
        this.saveSelectedRow = params.api.getSelectedRows()[0] ?? new InvCkdPaymentDetailsDto();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InvCkdPaymentDetailsDto):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this._service.getPayment DetailsToExcel(
			this.customsDeclareNo,
			this.totalcifCept,
			this.totalcifNoncept,
			this.totaltaxCept,
			this.totaltaxNoncept,
			this.totalvatCept,
			this.totalvatNoncept,
			this.exchangRate,
			this.declareDate,
			this.actualTax,
			this.actualVat,
			this.customsPort,
			this.taxNote,
			this.inputDate,
			this.actualPaymentDate,
			this.billofladingNo,
			this.statusCustoms,
			this.status,
			this.paymentReqId,
			this.completeTax,
			this.completeVat,
			this.ordertypeCode,
			this.forwarder,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Payment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[(ngModel)]='customsDeclareNo' name='customsDeclareNo'
									class='form-control' [placeholder]="l('Customs Declare No')"
									type='text' (keyup.enter)='searchDatas()'&gt;
								&lt;/div&gt;
								&lt;div class='input-search'&gt;
									&lt;input [(ngModel)]='customsPort' name='customsPort'
									class='form-control' [placeholder]="l('Customs Port')"
									type='text' (keyup.enter)='searchDatas()'&gt;
								&lt;/div&gt;
								&lt;div class='input-search'&gt;
									&lt;input [(ngModel)]='taxNote' name='taxNote'
									class='form-control' [placeholder]="l('Tax Note')"
									type='text' (keyup.enter)='searchDatas()'&gt;
								&lt;/div&gt;
								&lt;div class='input-search'&gt;
									&lt;input [(ngModel)]='billofladingNo' name='billofladingNo'
									class='form-control' [placeholder]="l('Billoflading No')"
									type='text' (keyup.enter)='searchDatas()'&gt;
								&lt;/div&gt;
								&lt;div class='input-search'&gt;
									&lt;input [(ngModel)]='statusCustoms' name='statusCustoms'
									class='form-control' [placeholder]="l('Status Customs')"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[(ngModel)]='ordertypeCode' name='ordertypeCode'
									class='form-control' [placeholder]="l('Ordertype Code')"
									type='text' (keyup.enter)='searchDatas()'&gt;
								&lt;/div&gt;
								&lt;div class='input-search'&gt;
									&lt;input [(ngModel)]='forwarder' name='forwarder'
									class='form-control' [placeholder]="l('Forwarder')"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(click)="createOrEditModalPayment 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(click)="createOrEditModalPayment 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&lt;create-or-edit-payment details-modal
    #createOrEditModalPayment Details
    (modalSave)="callBackDataGrid(dataParams)"
    (modalClose)="onChangeRowSelection(dataParams)"
&gt;
&lt;/create-or-edit-payment details-modal&gt;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#createOrEditModalPayment 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Payment Details')}}&lt;/h3&gt;
                    &lt;h3 *ngIf="!rowdata.id"&gt;{{('Create New Payment 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title'&gt;Customs Declare No&lt;/label&gt;
						&lt;input type='text' class='col-md-10 form-control input-text' name='CustomsDeclareNo' [(ngModel)]='rowdata.customsDeclareNo'&gt;
					&lt;/div&gt;
					&lt;div class='col-md-12 form-group row'&gt;
						&lt;label class='col-md-2 form-control title'&gt;Customs Port&lt;/label&gt;
						&lt;input type='text' class='col-md-10 form-control input-text' name='CustomsPort' [(ngModel)]='rowdata.customsPort'&gt;
					&lt;/div&gt;
					&lt;div class='col-md-12 form-group row'&gt;
						&lt;label class='col-md-2 form-control title'&gt;Tax Note&lt;/label&gt;
						&lt;input type='text' class='col-md-10 form-control input-text' name='TaxNote' [(ngModel)]='rowdata.taxNote'&gt;
					&lt;/div&gt;
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title'&gt;Status Customs&lt;/label&gt;
						&lt;input type='text' class='col-md-10 form-control input-text' name='StatusCustoms' [(ngModel)]='rowdata.statusCustoms'&gt;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
					&lt;div class='col-md-12 form-group row'&gt;
						&lt;label class='col-md-2 form-control title'&gt;Forwarder&lt;/label&gt;
						&lt;input type='text' class='col-md-10 form-control input-text' name='Forwarder' [(ngModel)]='rowdata.forwarder'&gt;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CreateOrEditInvCkdPaymentDetailsDto, InvCkdPaymentDetailsServiceProxy } from '@shared/service-proxies/service-proxies';
import { BsDatepickerDirective } from 'ngx-bootstrap/datepicker';
@Component({
    selector: 'create-or-edit-payment details-modal',
    templateUrl: './create-or-edit-payment details-modal.component.html',
    styleUrls: ['./create-or-edit-payment details-modal.component.less']
    })
export class CreateOrEditPayment DetailsModalComponent extends AppComponentBase {
    @ViewChild('createOrEditModalPayment 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CreateOrEditInvCkdPaymentDetailsDto = new CreateOrEditInvCkdPaymentDetailsDto();
    active: boolean = false;
    saving: boolean = false;
    _isActive: boolean;
    constructor(
        injector: Injector,
        private _mstwptPayment DetailsService: InvCkdPaymentDetailsServiceProxy,
    ) 
    {
        super(injector);
    }
    show(rowdata?: CreateOrEditInvCkdPaymentDetailsDto): void {
        if (!rowdata) this.rowdata = new CreateOrEditInvCkdPaymentDetailsDto();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this._mstwptPayment 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Payment DetailsRoutingModule } from './payment details-routing.module';
import { Payment DetailsComponent } from './payment details.component';
import { CreateOrEditPayment DetailsModalComponent } from './create-or-edit-payment details-modal.component';
@NgModule({
    declarations: [
       Payment DetailsComponent, 
        CreateOrEditPayment DetailsModalComponent
    ],
    imports: [
        AppSharedModule, Payment DetailsRoutingModule]
})
export class Payment DetailsModule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Payment DetailsComponent } from './payment details.component';
const routes: Routes = [{
    path: '',
    component: Payment DetailsComponent,
    pathMatch: 'full'
}];
@NgModule({
    imports: [RouterModule.forChild(routes)],
    exports: [RouterModule],
})
export class Payment DetailsRoutingModule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AppMenuItem("Payment Details", "Pages.Inventory.CKD.Payment Details", "flaticon-book",   "/app/main/inventory/ckd/payment details"),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'inventory/ckd/payment details',
    loadChildren: () =&gt; import('./inventory/ckd/payment details/payment details.module').then(m =&gt; m.Payment DetailsModule),
    data: { permission: 'Pages.Inventory.CKD.Payment Details' }
},</v>
      </c>
      <c r="R10" s="47" t="str">
        <f>SUBSTITUTE(R9,"MstWptCalendar",$B$6)</f>
        <v>ApiServiceProxies.InvCkdPaymentDetailsServiceProxy,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H38</v>
      </c>
      <c r="I12" s="28" t="str">
        <f>"I"&amp;COUNTA($A:$A)</f>
        <v>I38</v>
      </c>
      <c r="J12" s="28"/>
      <c r="K12" s="28" t="str">
        <f>"K"&amp;COUNTA($A:$A)</f>
        <v>K38</v>
      </c>
      <c r="L12" s="28" t="str">
        <f>"L"&amp;COUNTA($A:$A)</f>
        <v>L38</v>
      </c>
      <c r="M12" s="28"/>
      <c r="N12" s="28"/>
      <c r="O12" s="28"/>
      <c r="P12" s="28"/>
      <c r="Q12" s="28"/>
      <c r="R12" s="28"/>
      <c r="S12" s="28" t="str">
        <f>"S"&amp;COUNTA($A:$A)</f>
        <v>S38</v>
      </c>
      <c r="T12" s="28" t="str">
        <f>"T"&amp;COUNTA($A:$A)</f>
        <v>T38</v>
      </c>
      <c r="U12" s="28" t="str">
        <f>"U"&amp;COUNTA($A:$A)</f>
        <v>U38</v>
      </c>
      <c r="V12" s="28" t="str">
        <f>"V"&amp;COUNTA($A:$A)</f>
        <v>V38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this.l('Customs Declare No'),headerTooltip: this.l('Customs Declare No'),field: 'customsDeclareNo',flex: 1},
			{headerName: this.l('Totalcif Cept'),headerTooltip: this.l('Totalcif Cept'),field: 'totalcifCept',flex: 1},
			{headerName: this.l('Totalcif Noncept'),headerTooltip: this.l('Totalcif Noncept'),field: 'totalcifNoncept',flex: 1},
			{headerName: this.l('Totaltax Cept'),headerTooltip: this.l('Totaltax Cept'),field: 'totaltaxCept',flex: 1},
			{headerName: this.l('Totaltax Noncept'),headerTooltip: this.l('Totaltax Noncept'),field: 'totaltaxNoncept',flex: 1},
			{headerName: this.l('Totalvat Cept'),headerTooltip: this.l('Totalvat Cept'),field: 'totalvatCept',flex: 1},
			{headerName: this.l('Totalvat Noncept'),headerTooltip: this.l('Totalvat Noncept'),field: 'totalvatNoncept',flex: 1},
			{headerName: this.l('Exchang Rate'),headerTooltip: this.l('Exchang Rate'),field: 'exchangRate',flex: 1},
			{headerName: this.l('Declare Date'),headerTooltip: this.l('Declare Date'),field: 'declareDate',flex: 1},
			{headerName: this.l('Actual Tax'),headerTooltip: this.l('Actual Tax'),field: 'actualTax',flex: 1},
			{headerName: this.l('Actual Vat'),headerTooltip: this.l('Actual Vat'),field: 'actualVat',flex: 1},
			{headerName: this.l('Customs Port'),headerTooltip: this.l('Customs Port'),field: 'customsPort',flex: 1},
			{headerName: this.l('Tax Note'),headerTooltip: this.l('Tax Note'),field: 'taxNote',flex: 1},
			{headerName: this.l('Input Date'),headerTooltip: this.l('Input Date'),field: 'inputDate',flex: 1},
			{headerName: this.l('Actual Payment Date'),headerTooltip: this.l('Actual Payment Date'),field: 'actualPaymentDate',flex: 1},
			{headerName: this.l('Billoflading No'),headerTooltip: this.l('Billoflading No'),field: 'billofladingNo',flex: 1},
			{headerName: this.l('Status Customs'),headerTooltip: this.l('Status Customs'),field: 'statusCustoms',flex: 1},
			{headerName: this.l('Status'),headerTooltip: this.l('Status'),field: 'status',flex: 1},
			{headerName: this.l('Payment Req Id'),headerTooltip: this.l('Payment Req Id'),field: 'paymentReqId',flex: 1},
			{headerName: this.l('Complete Tax'),headerTooltip: this.l('Complete Tax'),field: 'completeTax',flex: 1},
			{headerName: this.l('Complete Vat'),headerTooltip: this.l('Complete Vat'),field: 'completeVat',flex: 1},
			{headerName: this.l('Ordertype Code'),headerTooltip: this.l('Ordertype Code'),field: 'ordertypeCode',flex: 1},
			{headerName: this.l('Forwarder'),headerTooltip: this.l('Forwarder'),field: 'forwarder',flex: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[(ngModel)]='customsDeclareNo' name='customsDeclareNo'
									class='form-control' [placeholder]="l('Customs Declare No')"
									type='text' (keyup.enter)='searchDatas()'&gt;
								&lt;/div&gt;
								&lt;div class='input-search'&gt;
									&lt;input [(ngModel)]='customsPort' name='customsPort'
									class='form-control' [placeholder]="l('Customs Port')"
									type='text' (keyup.enter)='searchDatas()'&gt;
								&lt;/div&gt;
								&lt;div class='input-search'&gt;
									&lt;input [(ngModel)]='taxNote' name='taxNote'
									class='form-control' [placeholder]="l('Tax Note')"
									type='text' (keyup.enter)='searchDatas()'&gt;
								&lt;/div&gt;
								&lt;div class='input-search'&gt;
									&lt;input [(ngModel)]='billofladingNo' name='billofladingNo'
									class='form-control' [placeholder]="l('Billoflading No')"
									type='text' (keyup.enter)='searchDatas()'&gt;
								&lt;/div&gt;
								&lt;div class='input-search'&gt;
									&lt;input [(ngModel)]='statusCustoms' name='statusCustoms'
									class='form-control' [placeholder]="l('Status Customs')"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[(ngModel)]='ordertypeCode' name='ordertypeCode'
									class='form-control' [placeholder]="l('Ordertype Code')"
									type='text' (keyup.enter)='searchDatas()'&gt;
								&lt;/div&gt;
								&lt;div class='input-search'&gt;
									&lt;input [(ngModel)]='forwarder' name='forwarder'
									class='form-control' [placeholder]="l('Forwarder')"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title'&gt;Customs Declare No&lt;/label&gt;
						&lt;input type='text' class='col-md-10 form-control input-text' name='CustomsDeclareNo' [(ngModel)]='rowdata.customsDeclareNo'&gt;
					&lt;/div&gt;
					&lt;div class='col-md-12 form-group row'&gt;
						&lt;label class='col-md-2 form-control title'&gt;Customs Port&lt;/label&gt;
						&lt;input type='text' class='col-md-10 form-control input-text' name='CustomsPort' [(ngModel)]='rowdata.customsPort'&gt;
					&lt;/div&gt;
					&lt;div class='col-md-12 form-group row'&gt;
						&lt;label class='col-md-2 form-control title'&gt;Tax Note&lt;/label&gt;
						&lt;input type='text' class='col-md-10 form-control input-text' name='TaxNote' [(ngModel)]='rowdata.taxNote'&gt;
					&lt;/div&gt;
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title'&gt;Status Customs&lt;/label&gt;
						&lt;input type='text' class='col-md-10 form-control input-text' name='StatusCustoms' [(ngModel)]='rowdata.statusCustoms'&gt;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
					&lt;div class='col-md-12 form-group row'&gt;
						&lt;label class='col-md-2 form-control title'&gt;Forwarder&lt;/label&gt;
						&lt;input type='text' class='col-md-10 form-control input-text' name='Forwarder' [(ngModel)]='rowdata.forwarder'&gt;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customsDeclareNo : string = '' ; 
	totalcifCept
	totalcifNoncept
	totaltaxCept
	totaltaxNoncept
	totalvatCept
	totalvatNoncept
	exchangRate
	declareDate
	actualTax
	actualVat
	customsPort : string = '' ; 
	taxNote : string = '' ; 
	inputDate
	actualPaymentDate
	billofladingNo : string = '' ; 
	statusCustoms : string = '' ; 
	status : string = '' ; 
	paymentReqId
	completeTax
	completeVat
	ordertypeCode : string = '' ; 
	forwarder : string = '' ; 
	isActive : string = '' ; </v>
      </c>
      <c r="T13" s="63" t="str">
        <f ca="1">TEXTJOIN2("
",TRUE,INDIRECT(T11):INDIRECT(T12))</f>
        <v xml:space="preserve">			this.customsDeclareNo,
			this.totalcifCept,
			this.totalcifNoncept,
			this.totaltaxCept,
			this.totaltaxNoncept,
			this.totalvatCept,
			this.totalvatNoncept,
			this.exchangRate,
			this.declareDate,
			this.actualTax,
			this.actualVat,
			this.customsPort,
			this.taxNote,
			this.inputDate,
			this.actualPaymentDate,
			this.billofladingNo,
			this.statusCustoms,
			this.status,
			this.paymentReqId,
			this.completeTax,
			this.completeVat,
			this.ordertypeCode,
			this.forwarder,
			this.isActive,</v>
      </c>
      <c r="U13" s="63" t="str">
        <f ca="1">TEXTJOIN2("
",TRUE,INDIRECT(U11):INDIRECT(U12))</f>
        <v xml:space="preserve">		this.customsDeclareNo = '',
		this.totalcifCept = '',
		this.totalcifNoncept = '',
		this.totaltaxCept = '',
		this.totaltaxNoncept = '',
		this.totalvatCept = '',
		this.totalvatNoncept = '',
		this.exchangRate = '',
		this.declareDate = '',
		this.actualTax = '',
		this.actualVat = '',
		this.customsPort = '',
		this.taxNote = '',
		this.inputDate = '',
		this.actualPaymentDate = '',
		this.billofladingNo = '',
		this.statusCustoms = '',
		this.status = '',
		this.paymentReqId = '',
		this.completeTax = '',
		this.completeVat = '',
		this.ordertypeCode = '',
		this.forwarder = '',
		this.isActive = '',</v>
      </c>
      <c r="V13" s="28" t="str">
        <f ca="1">TEXTJOIN2("
",TRUE,INDIRECT(V11):INDIRECT(V12))</f>
        <v>isActive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payment details.component.ts</v>
      </c>
      <c r="I14" s="37" t="str">
        <f>B8&amp;".component.html"</f>
        <v>payment details.component.html</v>
      </c>
      <c r="J14" s="36" t="str">
        <f>B8&amp;".component.less"</f>
        <v>payment details.component.less</v>
      </c>
      <c r="K14" s="37" t="str">
        <f>"create-or-edit-"&amp;B8&amp;"-modal.component.html"</f>
        <v>create-or-edit-payment details-modal.component.html</v>
      </c>
      <c r="L14" s="37" t="str">
        <f>"create-or-edit-"&amp;B8&amp;"-modal.component.ts"</f>
        <v>create-or-edit-payment details-modal.component.ts</v>
      </c>
      <c r="M14" s="37" t="str">
        <f>"create-or-edit-"&amp;B8&amp;"-modal.component.less"</f>
        <v>create-or-edit-payment details-modal.component.less</v>
      </c>
      <c r="N14" s="37" t="str">
        <f>B8&amp;".module.ts"</f>
        <v>payment details.module.ts</v>
      </c>
      <c r="O14" s="37" t="str">
        <f>B8&amp;"-routing.module.ts"</f>
        <v>payment details-routing.module.ts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367</v>
      </c>
      <c r="B15" s="28" t="str">
        <f t="shared" ref="B15:B19" si="0">SUBSTITUTE(PROPER(A15),"_","")</f>
        <v>CustomsDeclareNo</v>
      </c>
      <c r="C15" s="28" t="str">
        <f t="shared" ref="C15:C19" si="1">SUBSTITUTE(PROPER(A15),"_"," ")</f>
        <v>Customs Declare No</v>
      </c>
      <c r="D15" s="28" t="str">
        <f t="shared" ref="D15:D19" si="2">LOWER(LEFT(B15,1))&amp;RIGHT(B15,LEN(B15) - 1)</f>
        <v>customsDeclareNo</v>
      </c>
      <c r="E15" s="28" t="str">
        <f>A.Backend!H9</f>
        <v>string</v>
      </c>
      <c r="F15" s="28" t="str">
        <f>A.Backend!G9</f>
        <v>30</v>
      </c>
      <c r="G15" s="28" t="str">
        <f t="shared" ref="G15:G38" si="3">IF(E15="string"," : string = '' ; ",IF(OR(E15="DateTime",E15="TimeSpan")," : any ;",IF(E15="int"," : number = 0 ;","")))</f>
        <v xml:space="preserve"> : string = '' ; </v>
      </c>
      <c r="H15" s="35" t="str">
        <f t="shared" ref="H15:H3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this.l('Customs Declare No'),headerTooltip: this.l('Customs Declare No'),field: 'customsDeclareNo',flex: 1},</v>
      </c>
      <c r="I15" s="35" t="str">
        <f t="shared" ref="I15:I3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[(ngModel)]='customsDeclareNo' name='customsDeclareNo'
									class='form-control' [placeholder]="l('Customs Declare No')"
									type='text' (keyup.enter)='searchDatas()'&gt;
								&lt;/div&gt;</v>
      </c>
      <c r="J15" s="28"/>
      <c r="K15" s="35" t="str">
        <f t="shared" ref="K15:K3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title'&gt;Customs Declare No&lt;/label&gt;
						&lt;input type='text' class='col-md-10 form-control input-text' name='CustomsDeclareNo' [(ngModel)]='rowdata.customsDeclareNo'&gt;
					&lt;/div&gt;</v>
      </c>
      <c r="L15" s="56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customsDeclareNo : string = '' ; </v>
      </c>
      <c r="T15" s="28" t="str">
        <f>REPT(CHAR(9),3)&amp;"this."&amp;D15&amp;","</f>
        <v xml:space="preserve">			this.customsDeclareNo,</v>
      </c>
      <c r="U15" s="28" t="str">
        <f>IF(E15="int",REPT(CHAR(9),2)&amp;"this."&amp;D15&amp;" = 0,",REPT(CHAR(9),2)&amp;"this."&amp;D15&amp;" = '',")</f>
        <v xml:space="preserve">		this.customsDeclareNo = '',</v>
      </c>
      <c r="V15" s="28" t="str">
        <f t="shared" ref="V15:V38" si="8">IF(AND(E15="string",F15="1"),D15,"")</f>
        <v/>
      </c>
    </row>
    <row r="16" spans="1:22" ht="18" customHeight="1" x14ac:dyDescent="0.3">
      <c r="A16" t="s">
        <v>368</v>
      </c>
      <c r="B16" s="28" t="str">
        <f t="shared" ref="B16" si="9">SUBSTITUTE(PROPER(A16),"_","")</f>
        <v>TotalcifCept</v>
      </c>
      <c r="C16" s="28" t="str">
        <f t="shared" ref="C16" si="10">SUBSTITUTE(PROPER(A16),"_"," ")</f>
        <v>Totalcif Cept</v>
      </c>
      <c r="D16" s="28" t="str">
        <f t="shared" ref="D16:D38" si="11">LOWER(LEFT(B16,1))&amp;RIGHT(B16,LEN(B16) - 1)</f>
        <v>totalcifCept</v>
      </c>
      <c r="E16" s="28" t="str">
        <f>A.Backend!H10</f>
        <v>decimal?</v>
      </c>
      <c r="F16" s="28" t="str">
        <f>A.Backend!G10</f>
        <v>18,5</v>
      </c>
      <c r="G16" s="28" t="str">
        <f t="shared" si="3"/>
        <v/>
      </c>
      <c r="H16" s="35" t="str">
        <f t="shared" si="4"/>
        <v xml:space="preserve">			{headerName: this.l('Totalcif Cept'),headerTooltip: this.l('Totalcif Cept'),field: 'totalcifCept',flex: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8" si="13">REPT(CHAR(9),1)&amp;D16&amp;G16</f>
        <v xml:space="preserve">	totalcifCept</v>
      </c>
      <c r="T16" s="28" t="str">
        <f t="shared" ref="T16:T38" si="14">REPT(CHAR(9),3)&amp;"this."&amp;D16&amp;","</f>
        <v xml:space="preserve">			this.totalcifCept,</v>
      </c>
      <c r="U16" s="28" t="str">
        <f t="shared" ref="U16:U38" si="15">IF(E16="int",REPT(CHAR(9),2)&amp;"this."&amp;D16&amp;" = 0,",REPT(CHAR(9),2)&amp;"this."&amp;D16&amp;" = '',")</f>
        <v xml:space="preserve">		this.totalcifCept = '',</v>
      </c>
      <c r="V16" s="28" t="str">
        <f t="shared" si="8"/>
        <v/>
      </c>
    </row>
    <row r="17" spans="1:22" ht="18" customHeight="1" x14ac:dyDescent="0.3">
      <c r="A17" t="s">
        <v>369</v>
      </c>
      <c r="B17" s="28" t="str">
        <f>SUBSTITUTE(PROPER(A17),"_","")</f>
        <v>TotalcifNoncept</v>
      </c>
      <c r="C17" s="28" t="str">
        <f>SUBSTITUTE(PROPER(A17),"_"," ")</f>
        <v>Totalcif Noncept</v>
      </c>
      <c r="D17" s="28" t="str">
        <f t="shared" si="11"/>
        <v>totalcifNoncept</v>
      </c>
      <c r="E17" s="28" t="str">
        <f>A.Backend!H11</f>
        <v>decimal?</v>
      </c>
      <c r="F17" s="28" t="str">
        <f>A.Backend!G11</f>
        <v>18,5</v>
      </c>
      <c r="G17" s="28" t="str">
        <f t="shared" si="3"/>
        <v/>
      </c>
      <c r="H17" s="35" t="str">
        <f t="shared" si="4"/>
        <v xml:space="preserve">			{headerName: this.l('Totalcif Noncept'),headerTooltip: this.l('Totalcif Noncept'),field: 'totalcifNoncept',flex: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totalcifNoncept</v>
      </c>
      <c r="T17" s="28" t="str">
        <f t="shared" si="14"/>
        <v xml:space="preserve">			this.totalcifNoncept,</v>
      </c>
      <c r="U17" s="28" t="str">
        <f t="shared" si="15"/>
        <v xml:space="preserve">		this.totalcifNoncept = '',</v>
      </c>
      <c r="V17" s="28" t="str">
        <f t="shared" si="8"/>
        <v/>
      </c>
    </row>
    <row r="18" spans="1:22" ht="15" customHeight="1" x14ac:dyDescent="0.3">
      <c r="A18" t="s">
        <v>370</v>
      </c>
      <c r="B18" s="28" t="str">
        <f t="shared" ref="B18" si="16">SUBSTITUTE(PROPER(A18),"_","")</f>
        <v>TotaltaxCept</v>
      </c>
      <c r="C18" s="28" t="str">
        <f t="shared" ref="C18" si="17">SUBSTITUTE(PROPER(A18),"_"," ")</f>
        <v>Totaltax Cept</v>
      </c>
      <c r="D18" s="28" t="str">
        <f t="shared" si="11"/>
        <v>totaltaxCept</v>
      </c>
      <c r="E18" s="28" t="str">
        <f>A.Backend!H12</f>
        <v>decimal?</v>
      </c>
      <c r="F18" s="28" t="str">
        <f>A.Backend!G12</f>
        <v>18,5</v>
      </c>
      <c r="G18" s="28" t="str">
        <f t="shared" si="3"/>
        <v/>
      </c>
      <c r="H18" s="35" t="str">
        <f t="shared" si="4"/>
        <v xml:space="preserve">			{headerName: this.l('Totaltax Cept'),headerTooltip: this.l('Totaltax Cept'),field: 'totaltaxCept',flex: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" si="1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totaltaxCept</v>
      </c>
      <c r="T18" s="28" t="str">
        <f t="shared" si="14"/>
        <v xml:space="preserve">			this.totaltaxCept,</v>
      </c>
      <c r="U18" s="28" t="str">
        <f t="shared" si="15"/>
        <v xml:space="preserve">		this.totaltaxCept = '',</v>
      </c>
      <c r="V18" s="28" t="str">
        <f t="shared" si="8"/>
        <v/>
      </c>
    </row>
    <row r="19" spans="1:22" ht="18" customHeight="1" x14ac:dyDescent="0.3">
      <c r="A19" t="s">
        <v>371</v>
      </c>
      <c r="B19" s="28" t="str">
        <f t="shared" si="0"/>
        <v>TotaltaxNoncept</v>
      </c>
      <c r="C19" s="28" t="str">
        <f t="shared" si="1"/>
        <v>Totaltax Noncept</v>
      </c>
      <c r="D19" s="28" t="str">
        <f t="shared" si="11"/>
        <v>totaltaxNoncept</v>
      </c>
      <c r="E19" s="28" t="str">
        <f>A.Backend!H13</f>
        <v>decimal?</v>
      </c>
      <c r="F19" s="28" t="str">
        <f>A.Backend!G13</f>
        <v>18,5</v>
      </c>
      <c r="G19" s="28" t="str">
        <f t="shared" si="3"/>
        <v/>
      </c>
      <c r="H19" s="35" t="str">
        <f t="shared" si="4"/>
        <v xml:space="preserve">			{headerName: this.l('Totaltax Noncept'),headerTooltip: this.l('Totaltax Noncept'),field: 'totaltaxNoncept',flex: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7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totaltaxNoncept</v>
      </c>
      <c r="T19" s="28" t="str">
        <f t="shared" si="14"/>
        <v xml:space="preserve">			this.totaltaxNoncept,</v>
      </c>
      <c r="U19" s="28" t="str">
        <f t="shared" si="15"/>
        <v xml:space="preserve">		this.totaltaxNoncept = '',</v>
      </c>
      <c r="V19" s="28" t="str">
        <f t="shared" si="8"/>
        <v/>
      </c>
    </row>
    <row r="20" spans="1:22" ht="15" customHeight="1" x14ac:dyDescent="0.3">
      <c r="A20" t="s">
        <v>372</v>
      </c>
      <c r="B20" s="28" t="str">
        <f t="shared" ref="B20:B21" si="19">SUBSTITUTE(PROPER(A20),"_","")</f>
        <v>TotalvatCept</v>
      </c>
      <c r="C20" s="28" t="str">
        <f t="shared" ref="C20:C21" si="20">SUBSTITUTE(PROPER(A20),"_"," ")</f>
        <v>Totalvat Cept</v>
      </c>
      <c r="D20" s="28" t="str">
        <f t="shared" si="11"/>
        <v>totalvatCept</v>
      </c>
      <c r="E20" s="28" t="str">
        <f>A.Backend!H14</f>
        <v>decimal?</v>
      </c>
      <c r="F20" s="28" t="str">
        <f>A.Backend!G14</f>
        <v>18,5</v>
      </c>
      <c r="G20" s="28" t="str">
        <f t="shared" si="3"/>
        <v/>
      </c>
      <c r="H20" s="35" t="str">
        <f t="shared" si="4"/>
        <v xml:space="preserve">			{headerName: this.l('Totalvat Cept'),headerTooltip: this.l('Totalvat Cept'),field: 'totalvatCept',flex: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ref="L20:L21" si="21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totalvatCept</v>
      </c>
      <c r="T20" s="28" t="str">
        <f t="shared" si="14"/>
        <v xml:space="preserve">			this.totalvatCept,</v>
      </c>
      <c r="U20" s="28" t="str">
        <f t="shared" si="15"/>
        <v xml:space="preserve">		this.totalvatCept = '',</v>
      </c>
      <c r="V20" s="28" t="str">
        <f t="shared" si="8"/>
        <v/>
      </c>
    </row>
    <row r="21" spans="1:22" ht="18" customHeight="1" x14ac:dyDescent="0.3">
      <c r="A21" t="s">
        <v>373</v>
      </c>
      <c r="B21" s="28" t="str">
        <f t="shared" si="19"/>
        <v>TotalvatNoncept</v>
      </c>
      <c r="C21" s="28" t="str">
        <f t="shared" si="20"/>
        <v>Totalvat Noncept</v>
      </c>
      <c r="D21" s="28" t="str">
        <f t="shared" si="11"/>
        <v>totalvatNoncept</v>
      </c>
      <c r="E21" s="28" t="str">
        <f>A.Backend!H15</f>
        <v>decimal?</v>
      </c>
      <c r="F21" s="28" t="str">
        <f>A.Backend!G15</f>
        <v>18,5</v>
      </c>
      <c r="G21" s="28" t="str">
        <f t="shared" si="3"/>
        <v/>
      </c>
      <c r="H21" s="35" t="str">
        <f t="shared" si="4"/>
        <v xml:space="preserve">			{headerName: this.l('Totalvat Noncept'),headerTooltip: this.l('Totalvat Noncept'),field: 'totalvatNoncept',flex: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21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totalvatNoncept</v>
      </c>
      <c r="T21" s="28" t="str">
        <f t="shared" si="14"/>
        <v xml:space="preserve">			this.totalvatNoncept,</v>
      </c>
      <c r="U21" s="28" t="str">
        <f t="shared" si="15"/>
        <v xml:space="preserve">		this.totalvatNoncept = '',</v>
      </c>
      <c r="V21" s="28" t="str">
        <f t="shared" si="8"/>
        <v/>
      </c>
    </row>
    <row r="22" spans="1:22" ht="18" customHeight="1" x14ac:dyDescent="0.3">
      <c r="A22" t="s">
        <v>374</v>
      </c>
      <c r="B22" s="28" t="str">
        <f>SUBSTITUTE(PROPER(A22),"_","")</f>
        <v>ExchangRate</v>
      </c>
      <c r="C22" s="28" t="str">
        <f>SUBSTITUTE(PROPER(A22),"_"," ")</f>
        <v>Exchang Rate</v>
      </c>
      <c r="D22" s="28" t="str">
        <f t="shared" si="11"/>
        <v>exchangRate</v>
      </c>
      <c r="E22" s="28" t="str">
        <f>A.Backend!H16</f>
        <v>decimal?</v>
      </c>
      <c r="F22" s="28" t="str">
        <f>A.Backend!G16</f>
        <v>18,4</v>
      </c>
      <c r="G22" s="28" t="str">
        <f t="shared" si="3"/>
        <v/>
      </c>
      <c r="H22" s="35" t="str">
        <f t="shared" si="4"/>
        <v xml:space="preserve">			{headerName: this.l('Exchang Rate'),headerTooltip: this.l('Exchang Rate'),field: 'exchangRate',flex: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exchangRate</v>
      </c>
      <c r="T22" s="28" t="str">
        <f t="shared" si="14"/>
        <v xml:space="preserve">			this.exchangRate,</v>
      </c>
      <c r="U22" s="28" t="str">
        <f t="shared" si="15"/>
        <v xml:space="preserve">		this.exchangRate = '',</v>
      </c>
      <c r="V22" s="28" t="str">
        <f t="shared" ref="V22:V37" si="22">IF(AND(E22="string",F22="1"),D22,"")</f>
        <v/>
      </c>
    </row>
    <row r="23" spans="1:22" ht="15" customHeight="1" x14ac:dyDescent="0.3">
      <c r="A23" t="s">
        <v>375</v>
      </c>
      <c r="B23" s="28" t="str">
        <f t="shared" ref="B23:B24" si="23">SUBSTITUTE(PROPER(A23),"_","")</f>
        <v>DeclareDate</v>
      </c>
      <c r="C23" s="28" t="str">
        <f t="shared" ref="C23:C24" si="24">SUBSTITUTE(PROPER(A23),"_"," ")</f>
        <v>Declare Date</v>
      </c>
      <c r="D23" s="28" t="str">
        <f t="shared" si="11"/>
        <v>declareDate</v>
      </c>
      <c r="E23" s="28" t="str">
        <f>A.Backend!H17</f>
        <v>DateTime?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this.l('Declare Date'),headerTooltip: this.l('Declare Date'),field: 'declareDate',flex: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4" si="25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declareDate</v>
      </c>
      <c r="T23" s="28" t="str">
        <f t="shared" si="14"/>
        <v xml:space="preserve">			this.declareDate,</v>
      </c>
      <c r="U23" s="28" t="str">
        <f t="shared" si="15"/>
        <v xml:space="preserve">		this.declareDate = '',</v>
      </c>
      <c r="V23" s="28" t="str">
        <f t="shared" ref="V23:V35" si="26">IF(AND(E23="string",F23="1"),D23,"")</f>
        <v/>
      </c>
    </row>
    <row r="24" spans="1:22" ht="18" customHeight="1" x14ac:dyDescent="0.3">
      <c r="A24" t="s">
        <v>376</v>
      </c>
      <c r="B24" s="28" t="str">
        <f t="shared" si="23"/>
        <v>ActualTax</v>
      </c>
      <c r="C24" s="28" t="str">
        <f t="shared" si="24"/>
        <v>Actual Tax</v>
      </c>
      <c r="D24" s="28" t="str">
        <f t="shared" si="11"/>
        <v>actualTax</v>
      </c>
      <c r="E24" s="28" t="str">
        <f>A.Backend!H18</f>
        <v>decimal?</v>
      </c>
      <c r="F24" s="28" t="str">
        <f>A.Backend!G18</f>
        <v>18,5</v>
      </c>
      <c r="G24" s="28" t="str">
        <f t="shared" si="3"/>
        <v/>
      </c>
      <c r="H24" s="35" t="str">
        <f t="shared" si="4"/>
        <v xml:space="preserve">			{headerName: this.l('Actual Tax'),headerTooltip: this.l('Actual Tax'),field: 'actualTax',flex: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5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actualTax</v>
      </c>
      <c r="T24" s="28" t="str">
        <f t="shared" si="14"/>
        <v xml:space="preserve">			this.actualTax,</v>
      </c>
      <c r="U24" s="28" t="str">
        <f t="shared" si="15"/>
        <v xml:space="preserve">		this.actualTax = '',</v>
      </c>
      <c r="V24" s="28" t="str">
        <f t="shared" si="26"/>
        <v/>
      </c>
    </row>
    <row r="25" spans="1:22" ht="18" customHeight="1" x14ac:dyDescent="0.3">
      <c r="A25" t="s">
        <v>377</v>
      </c>
      <c r="B25" s="28" t="str">
        <f>SUBSTITUTE(PROPER(A25),"_","")</f>
        <v>ActualVat</v>
      </c>
      <c r="C25" s="28" t="str">
        <f>SUBSTITUTE(PROPER(A25),"_"," ")</f>
        <v>Actual Vat</v>
      </c>
      <c r="D25" s="28" t="str">
        <f t="shared" si="11"/>
        <v>actualVat</v>
      </c>
      <c r="E25" s="28" t="str">
        <f>A.Backend!H19</f>
        <v>decimal?</v>
      </c>
      <c r="F25" s="28" t="str">
        <f>A.Backend!G19</f>
        <v>18,5</v>
      </c>
      <c r="G25" s="28" t="str">
        <f t="shared" si="3"/>
        <v/>
      </c>
      <c r="H25" s="35" t="str">
        <f t="shared" si="4"/>
        <v xml:space="preserve">			{headerName: this.l('Actual Vat'),headerTooltip: this.l('Actual Vat'),field: 'actualVat',flex: 1},</v>
      </c>
      <c r="I25" s="35" t="str">
        <f t="shared" si="5"/>
        <v/>
      </c>
      <c r="J25" s="28"/>
      <c r="K25" s="35" t="str">
        <f t="shared" si="6"/>
        <v/>
      </c>
      <c r="L25" s="56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actualVat</v>
      </c>
      <c r="T25" s="28" t="str">
        <f t="shared" si="14"/>
        <v xml:space="preserve">			this.actualVat,</v>
      </c>
      <c r="U25" s="28" t="str">
        <f t="shared" si="15"/>
        <v xml:space="preserve">		this.actualVat = '',</v>
      </c>
      <c r="V25" s="28" t="str">
        <f t="shared" ref="V25:V32" si="27">IF(AND(E25="string",F25="1"),D25,"")</f>
        <v/>
      </c>
    </row>
    <row r="26" spans="1:22" ht="15" customHeight="1" x14ac:dyDescent="0.3">
      <c r="A26" t="s">
        <v>361</v>
      </c>
      <c r="B26" s="28" t="str">
        <f t="shared" ref="B26:B29" si="28">SUBSTITUTE(PROPER(A26),"_","")</f>
        <v>CustomsPort</v>
      </c>
      <c r="C26" s="28" t="str">
        <f t="shared" ref="C26:C29" si="29">SUBSTITUTE(PROPER(A26),"_"," ")</f>
        <v>Customs Port</v>
      </c>
      <c r="D26" s="28" t="str">
        <f t="shared" si="11"/>
        <v>customsPort</v>
      </c>
      <c r="E26" s="28" t="str">
        <f>A.Backend!H20</f>
        <v>string</v>
      </c>
      <c r="F26" s="28" t="str">
        <f>A.Backend!G20</f>
        <v>12</v>
      </c>
      <c r="G26" s="28" t="str">
        <f t="shared" si="3"/>
        <v xml:space="preserve"> : string = '' ; </v>
      </c>
      <c r="H26" s="35" t="str">
        <f t="shared" si="4"/>
        <v xml:space="preserve">			{headerName: this.l('Customs Port'),headerTooltip: this.l('Customs Port'),field: 'customsPort',flex: 1},</v>
      </c>
      <c r="I26" s="35" t="str">
        <f t="shared" si="5"/>
        <v xml:space="preserve">								&lt;div class='input-search'&gt;
									&lt;input [(ngModel)]='customsPort' name='customsPort'
									class='form-control' [placeholder]="l('Customs Port')"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title'&gt;Customs Port&lt;/label&gt;
						&lt;input type='text' class='col-md-10 form-control input-text' name='CustomsPort' [(ngModel)]='rowdata.customsPort'&gt;
					&lt;/div&gt;</v>
      </c>
      <c r="L26" s="56" t="str">
        <f t="shared" ref="L26:L29" si="30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customsPort : string = '' ; </v>
      </c>
      <c r="T26" s="28" t="str">
        <f t="shared" si="14"/>
        <v xml:space="preserve">			this.customsPort,</v>
      </c>
      <c r="U26" s="28" t="str">
        <f t="shared" si="15"/>
        <v xml:space="preserve">		this.customsPort = '',</v>
      </c>
      <c r="V26" s="28" t="str">
        <f t="shared" si="27"/>
        <v/>
      </c>
    </row>
    <row r="27" spans="1:22" ht="18" customHeight="1" x14ac:dyDescent="0.3">
      <c r="A27" t="s">
        <v>378</v>
      </c>
      <c r="B27" s="28" t="str">
        <f t="shared" si="28"/>
        <v>TaxNote</v>
      </c>
      <c r="C27" s="28" t="str">
        <f t="shared" si="29"/>
        <v>Tax Note</v>
      </c>
      <c r="D27" s="28" t="str">
        <f t="shared" si="11"/>
        <v>taxNote</v>
      </c>
      <c r="E27" s="28" t="str">
        <f>A.Backend!H21</f>
        <v>string</v>
      </c>
      <c r="F27" s="28" t="str">
        <f>A.Backend!G21</f>
        <v>500</v>
      </c>
      <c r="G27" s="28" t="str">
        <f t="shared" si="3"/>
        <v xml:space="preserve"> : string = '' ; </v>
      </c>
      <c r="H27" s="35" t="str">
        <f t="shared" si="4"/>
        <v xml:space="preserve">			{headerName: this.l('Tax Note'),headerTooltip: this.l('Tax Note'),field: 'taxNote',flex: 1},</v>
      </c>
      <c r="I27" s="35" t="str">
        <f t="shared" si="5"/>
        <v xml:space="preserve">								&lt;div class='input-search'&gt;
									&lt;input [(ngModel)]='taxNote' name='taxNote'
									class='form-control' [placeholder]="l('Tax Note')"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title'&gt;Tax Note&lt;/label&gt;
						&lt;input type='text' class='col-md-10 form-control input-text' name='TaxNote' [(ngModel)]='rowdata.taxNote'&gt;
					&lt;/div&gt;</v>
      </c>
      <c r="L27" s="56" t="str">
        <f t="shared" si="30"/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taxNote : string = '' ; </v>
      </c>
      <c r="T27" s="28" t="str">
        <f t="shared" si="14"/>
        <v xml:space="preserve">			this.taxNote,</v>
      </c>
      <c r="U27" s="28" t="str">
        <f t="shared" si="15"/>
        <v xml:space="preserve">		this.taxNote = '',</v>
      </c>
      <c r="V27" s="28" t="str">
        <f t="shared" si="27"/>
        <v/>
      </c>
    </row>
    <row r="28" spans="1:22" ht="15" customHeight="1" x14ac:dyDescent="0.3">
      <c r="A28" t="s">
        <v>379</v>
      </c>
      <c r="B28" s="28" t="str">
        <f t="shared" si="28"/>
        <v>InputDate</v>
      </c>
      <c r="C28" s="28" t="str">
        <f t="shared" si="29"/>
        <v>Input Date</v>
      </c>
      <c r="D28" s="28" t="str">
        <f t="shared" si="11"/>
        <v>inputDate</v>
      </c>
      <c r="E28" s="28" t="str">
        <f>A.Backend!H22</f>
        <v>DateTime?</v>
      </c>
      <c r="F28" s="28" t="str">
        <f>A.Backend!G22</f>
        <v/>
      </c>
      <c r="G28" s="28" t="str">
        <f t="shared" si="3"/>
        <v/>
      </c>
      <c r="H28" s="35" t="str">
        <f t="shared" si="4"/>
        <v xml:space="preserve">			{headerName: this.l('Input Date'),headerTooltip: this.l('Input Date'),field: 'inputDate',flex: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si="30"/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inputDate</v>
      </c>
      <c r="T28" s="28" t="str">
        <f t="shared" si="14"/>
        <v xml:space="preserve">			this.inputDate,</v>
      </c>
      <c r="U28" s="28" t="str">
        <f t="shared" si="15"/>
        <v xml:space="preserve">		this.inputDate = '',</v>
      </c>
      <c r="V28" s="28" t="str">
        <f t="shared" si="27"/>
        <v/>
      </c>
    </row>
    <row r="29" spans="1:22" ht="18" customHeight="1" x14ac:dyDescent="0.3">
      <c r="A29" t="s">
        <v>380</v>
      </c>
      <c r="B29" s="28" t="str">
        <f t="shared" si="28"/>
        <v>ActualPaymentDate</v>
      </c>
      <c r="C29" s="28" t="str">
        <f t="shared" si="29"/>
        <v>Actual Payment Date</v>
      </c>
      <c r="D29" s="28" t="str">
        <f t="shared" si="11"/>
        <v>actualPaymentDate</v>
      </c>
      <c r="E29" s="28" t="str">
        <f>A.Backend!H23</f>
        <v>DateTime?</v>
      </c>
      <c r="F29" s="28" t="str">
        <f>A.Backend!G23</f>
        <v/>
      </c>
      <c r="G29" s="28" t="str">
        <f t="shared" si="3"/>
        <v/>
      </c>
      <c r="H29" s="35" t="str">
        <f t="shared" si="4"/>
        <v xml:space="preserve">			{headerName: this.l('Actual Payment Date'),headerTooltip: this.l('Actual Payment Date'),field: 'actualPaymentDate',flex: 1},</v>
      </c>
      <c r="I29" s="35" t="str">
        <f t="shared" si="5"/>
        <v/>
      </c>
      <c r="J29" s="28"/>
      <c r="K29" s="35" t="str">
        <f t="shared" si="6"/>
        <v/>
      </c>
      <c r="L29" s="56" t="str">
        <f t="shared" si="30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actualPaymentDate</v>
      </c>
      <c r="T29" s="28" t="str">
        <f t="shared" si="14"/>
        <v xml:space="preserve">			this.actualPaymentDate,</v>
      </c>
      <c r="U29" s="28" t="str">
        <f t="shared" si="15"/>
        <v xml:space="preserve">		this.actualPaymentDate = '',</v>
      </c>
      <c r="V29" s="28" t="str">
        <f t="shared" si="27"/>
        <v/>
      </c>
    </row>
    <row r="30" spans="1:22" ht="18" customHeight="1" x14ac:dyDescent="0.3">
      <c r="A30" t="s">
        <v>381</v>
      </c>
      <c r="B30" s="28" t="str">
        <f>SUBSTITUTE(PROPER(A30),"_","")</f>
        <v>BillofladingNo</v>
      </c>
      <c r="C30" s="28" t="str">
        <f>SUBSTITUTE(PROPER(A30),"_"," ")</f>
        <v>Billoflading No</v>
      </c>
      <c r="D30" s="28" t="str">
        <f t="shared" si="11"/>
        <v>billofladingNo</v>
      </c>
      <c r="E30" s="28" t="str">
        <f>A.Backend!H24</f>
        <v>string</v>
      </c>
      <c r="F30" s="28" t="str">
        <f>A.Backend!G24</f>
        <v>20</v>
      </c>
      <c r="G30" s="28" t="str">
        <f t="shared" si="3"/>
        <v xml:space="preserve"> : string = '' ; </v>
      </c>
      <c r="H30" s="35" t="str">
        <f t="shared" si="4"/>
        <v xml:space="preserve">			{headerName: this.l('Billoflading No'),headerTooltip: this.l('Billoflading No'),field: 'billofladingNo',flex: 1},</v>
      </c>
      <c r="I30" s="35" t="str">
        <f t="shared" si="5"/>
        <v xml:space="preserve">								&lt;div class='input-search'&gt;
									&lt;input [(ngModel)]='billofladingNo' name='billofladingNo'
									class='form-control' [placeholder]="l('Billoflading No')"
									type='text' (keyup.enter)='searchDatas()'&gt;
								&lt;/div&gt;</v>
      </c>
      <c r="J30" s="28"/>
      <c r="K30" s="35" t="str">
        <f t="shared" si="6"/>
        <v xml:space="preserve">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</v>
      </c>
      <c r="L30" s="56" t="str">
        <f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billofladingNo : string = '' ; </v>
      </c>
      <c r="T30" s="28" t="str">
        <f t="shared" si="14"/>
        <v xml:space="preserve">			this.billofladingNo,</v>
      </c>
      <c r="U30" s="28" t="str">
        <f t="shared" si="15"/>
        <v xml:space="preserve">		this.billofladingNo = '',</v>
      </c>
      <c r="V30" s="28" t="str">
        <f t="shared" si="27"/>
        <v/>
      </c>
    </row>
    <row r="31" spans="1:22" ht="15" customHeight="1" x14ac:dyDescent="0.3">
      <c r="A31" t="s">
        <v>382</v>
      </c>
      <c r="B31" s="28" t="str">
        <f t="shared" ref="B31:B32" si="31">SUBSTITUTE(PROPER(A31),"_","")</f>
        <v>StatusCustoms</v>
      </c>
      <c r="C31" s="28" t="str">
        <f t="shared" ref="C31:C32" si="32">SUBSTITUTE(PROPER(A31),"_"," ")</f>
        <v>Status Customs</v>
      </c>
      <c r="D31" s="28" t="str">
        <f t="shared" si="11"/>
        <v>statusCustoms</v>
      </c>
      <c r="E31" s="28" t="str">
        <f>A.Backend!H25</f>
        <v>string</v>
      </c>
      <c r="F31" s="28" t="str">
        <f>A.Backend!G25</f>
        <v>4</v>
      </c>
      <c r="G31" s="28" t="str">
        <f t="shared" si="3"/>
        <v xml:space="preserve"> : string = '' ; </v>
      </c>
      <c r="H31" s="35" t="str">
        <f t="shared" si="4"/>
        <v xml:space="preserve">			{headerName: this.l('Status Customs'),headerTooltip: this.l('Status Customs'),field: 'statusCustoms',flex: 1},</v>
      </c>
      <c r="I31" s="35" t="str">
        <f t="shared" si="5"/>
        <v xml:space="preserve">								&lt;div class='input-search'&gt;
									&lt;input [(ngModel)]='statusCustoms' name='statusCustoms'
									class='form-control' [placeholder]="l('Status Customs')"
									type='text' (keyup.enter)='searchDatas()'&gt;
								&lt;/div&gt;</v>
      </c>
      <c r="J31" s="28"/>
      <c r="K31" s="35" t="str">
        <f t="shared" si="6"/>
        <v xml:space="preserve">					&lt;div class='col-md-12 form-group row'&gt;
						&lt;label class='col-md-2 form-control title'&gt;Status Customs&lt;/label&gt;
						&lt;input type='text' class='col-md-10 form-control input-text' name='StatusCustoms' [(ngModel)]='rowdata.statusCustoms'&gt;
					&lt;/div&gt;</v>
      </c>
      <c r="L31" s="56" t="str">
        <f t="shared" ref="L31:L32" si="33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statusCustoms : string = '' ; </v>
      </c>
      <c r="T31" s="28" t="str">
        <f t="shared" si="14"/>
        <v xml:space="preserve">			this.statusCustoms,</v>
      </c>
      <c r="U31" s="28" t="str">
        <f t="shared" si="15"/>
        <v xml:space="preserve">		this.statusCustoms = '',</v>
      </c>
      <c r="V31" s="28" t="str">
        <f t="shared" si="27"/>
        <v/>
      </c>
    </row>
    <row r="32" spans="1:22" ht="18" customHeight="1" x14ac:dyDescent="0.3">
      <c r="A32" t="s">
        <v>351</v>
      </c>
      <c r="B32" s="28" t="str">
        <f t="shared" si="31"/>
        <v>Status</v>
      </c>
      <c r="C32" s="28" t="str">
        <f t="shared" si="32"/>
        <v>Status</v>
      </c>
      <c r="D32" s="28" t="str">
        <f t="shared" si="11"/>
        <v>status</v>
      </c>
      <c r="E32" s="28" t="str">
        <f>A.Backend!H26</f>
        <v>string</v>
      </c>
      <c r="F32" s="28" t="str">
        <f>A.Backend!G26</f>
        <v>2</v>
      </c>
      <c r="G32" s="28" t="str">
        <f t="shared" si="3"/>
        <v xml:space="preserve"> : string = '' ; </v>
      </c>
      <c r="H32" s="35" t="str">
        <f t="shared" si="4"/>
        <v xml:space="preserve">			{headerName: this.l('Status'),headerTooltip: this.l('Status'),field: 'status',flex: 1},</v>
      </c>
      <c r="I32" s="35" t="str">
        <f t="shared" si="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32" s="28"/>
      <c r="K32" s="35" t="str">
        <f t="shared" si="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32" s="56" t="str">
        <f t="shared" si="33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status : string = '' ; </v>
      </c>
      <c r="T32" s="28" t="str">
        <f t="shared" si="14"/>
        <v xml:space="preserve">			this.status,</v>
      </c>
      <c r="U32" s="28" t="str">
        <f t="shared" si="15"/>
        <v xml:space="preserve">		this.status = '',</v>
      </c>
      <c r="V32" s="28" t="str">
        <f t="shared" si="27"/>
        <v/>
      </c>
    </row>
    <row r="33" spans="1:22" ht="18" customHeight="1" x14ac:dyDescent="0.3">
      <c r="A33" t="s">
        <v>383</v>
      </c>
      <c r="B33" s="28" t="str">
        <f>SUBSTITUTE(PROPER(A33),"_","")</f>
        <v>PaymentReqId</v>
      </c>
      <c r="C33" s="28" t="str">
        <f>SUBSTITUTE(PROPER(A33),"_"," ")</f>
        <v>Payment Req Id</v>
      </c>
      <c r="D33" s="28" t="str">
        <f t="shared" si="11"/>
        <v>paymentReqId</v>
      </c>
      <c r="E33" s="28" t="str">
        <f>A.Backend!H27</f>
        <v>long?</v>
      </c>
      <c r="F33" s="28" t="str">
        <f>A.Backend!G27</f>
        <v/>
      </c>
      <c r="G33" s="28" t="str">
        <f t="shared" si="3"/>
        <v/>
      </c>
      <c r="H33" s="35" t="str">
        <f t="shared" si="4"/>
        <v xml:space="preserve">			{headerName: this.l('Payment Req Id'),headerTooltip: this.l('Payment Req Id'),field: 'paymentReqId',flex: 1},</v>
      </c>
      <c r="I33" s="35" t="str">
        <f t="shared" si="5"/>
        <v/>
      </c>
      <c r="J33" s="28"/>
      <c r="K33" s="35" t="str">
        <f t="shared" si="6"/>
        <v/>
      </c>
      <c r="L33" s="56" t="str">
        <f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paymentReqId</v>
      </c>
      <c r="T33" s="28" t="str">
        <f t="shared" si="14"/>
        <v xml:space="preserve">			this.paymentReqId,</v>
      </c>
      <c r="U33" s="28" t="str">
        <f t="shared" si="15"/>
        <v xml:space="preserve">		this.paymentReqId = '',</v>
      </c>
      <c r="V33" s="28" t="str">
        <f t="shared" si="26"/>
        <v/>
      </c>
    </row>
    <row r="34" spans="1:22" ht="15" customHeight="1" x14ac:dyDescent="0.3">
      <c r="A34" t="s">
        <v>384</v>
      </c>
      <c r="B34" s="28" t="str">
        <f t="shared" ref="B34:B35" si="34">SUBSTITUTE(PROPER(A34),"_","")</f>
        <v>CompleteTax</v>
      </c>
      <c r="C34" s="28" t="str">
        <f t="shared" ref="C34:C35" si="35">SUBSTITUTE(PROPER(A34),"_"," ")</f>
        <v>Complete Tax</v>
      </c>
      <c r="D34" s="28" t="str">
        <f t="shared" si="11"/>
        <v>completeTax</v>
      </c>
      <c r="E34" s="28" t="str">
        <f>A.Backend!H28</f>
        <v>long?</v>
      </c>
      <c r="F34" s="28" t="str">
        <f>A.Backend!G28</f>
        <v/>
      </c>
      <c r="G34" s="28" t="str">
        <f t="shared" si="3"/>
        <v/>
      </c>
      <c r="H34" s="35" t="str">
        <f t="shared" si="4"/>
        <v xml:space="preserve">			{headerName: this.l('Complete Tax'),headerTooltip: this.l('Complete Tax'),field: 'completeTax',flex: 1},</v>
      </c>
      <c r="I34" s="35" t="str">
        <f t="shared" si="5"/>
        <v/>
      </c>
      <c r="J34" s="28"/>
      <c r="K34" s="35" t="str">
        <f t="shared" si="6"/>
        <v/>
      </c>
      <c r="L34" s="56" t="str">
        <f t="shared" ref="L34:L35" si="36">IF(E34="DateTime",
REPT(CHAR(9),2)&amp;"const dateValue =  this.rowdata."&amp;D34&amp;" ? new Date(this.rowdata."&amp;D34&amp;"?.toString()) : new Date();
"&amp;REPT(CHAR(9),2)&amp;"this.datepicker?.bsValueChange.emit(dateValue);","")</f>
        <v/>
      </c>
      <c r="M34" s="28"/>
      <c r="N34" s="28"/>
      <c r="O34" s="28"/>
      <c r="P34" s="28"/>
      <c r="Q34" s="28"/>
      <c r="R34" s="28"/>
      <c r="S34" s="28" t="str">
        <f t="shared" si="13"/>
        <v xml:space="preserve">	completeTax</v>
      </c>
      <c r="T34" s="28" t="str">
        <f t="shared" si="14"/>
        <v xml:space="preserve">			this.completeTax,</v>
      </c>
      <c r="U34" s="28" t="str">
        <f t="shared" si="15"/>
        <v xml:space="preserve">		this.completeTax = '',</v>
      </c>
      <c r="V34" s="28" t="str">
        <f t="shared" si="26"/>
        <v/>
      </c>
    </row>
    <row r="35" spans="1:22" ht="18" customHeight="1" x14ac:dyDescent="0.3">
      <c r="A35" t="s">
        <v>385</v>
      </c>
      <c r="B35" s="28" t="str">
        <f t="shared" si="34"/>
        <v>CompleteVat</v>
      </c>
      <c r="C35" s="28" t="str">
        <f t="shared" si="35"/>
        <v>Complete Vat</v>
      </c>
      <c r="D35" s="28" t="str">
        <f t="shared" si="11"/>
        <v>completeVat</v>
      </c>
      <c r="E35" s="28" t="str">
        <f>A.Backend!H29</f>
        <v>long?</v>
      </c>
      <c r="F35" s="28" t="str">
        <f>A.Backend!G29</f>
        <v/>
      </c>
      <c r="G35" s="28" t="str">
        <f t="shared" si="3"/>
        <v/>
      </c>
      <c r="H35" s="35" t="str">
        <f t="shared" si="4"/>
        <v xml:space="preserve">			{headerName: this.l('Complete Vat'),headerTooltip: this.l('Complete Vat'),field: 'completeVat',flex: 1},</v>
      </c>
      <c r="I35" s="35" t="str">
        <f t="shared" si="5"/>
        <v/>
      </c>
      <c r="J35" s="28"/>
      <c r="K35" s="35" t="str">
        <f t="shared" si="6"/>
        <v/>
      </c>
      <c r="L35" s="56" t="str">
        <f t="shared" si="36"/>
        <v/>
      </c>
      <c r="M35" s="28"/>
      <c r="N35" s="28"/>
      <c r="O35" s="28"/>
      <c r="P35" s="28"/>
      <c r="Q35" s="28"/>
      <c r="R35" s="28"/>
      <c r="S35" s="28" t="str">
        <f t="shared" si="13"/>
        <v xml:space="preserve">	completeVat</v>
      </c>
      <c r="T35" s="28" t="str">
        <f t="shared" si="14"/>
        <v xml:space="preserve">			this.completeVat,</v>
      </c>
      <c r="U35" s="28" t="str">
        <f t="shared" si="15"/>
        <v xml:space="preserve">		this.completeVat = '',</v>
      </c>
      <c r="V35" s="28" t="str">
        <f t="shared" si="26"/>
        <v/>
      </c>
    </row>
    <row r="36" spans="1:22" ht="15" customHeight="1" x14ac:dyDescent="0.3">
      <c r="A36" t="s">
        <v>352</v>
      </c>
      <c r="B36" s="28" t="str">
        <f t="shared" ref="B36:B37" si="37">SUBSTITUTE(PROPER(A36),"_","")</f>
        <v>OrdertypeCode</v>
      </c>
      <c r="C36" s="28" t="str">
        <f t="shared" ref="C36:C37" si="38">SUBSTITUTE(PROPER(A36),"_"," ")</f>
        <v>Ordertype Code</v>
      </c>
      <c r="D36" s="28" t="str">
        <f t="shared" si="11"/>
        <v>ordertypeCode</v>
      </c>
      <c r="E36" s="28" t="str">
        <f>A.Backend!H30</f>
        <v>string</v>
      </c>
      <c r="F36" s="28" t="str">
        <f>A.Backend!G30</f>
        <v>2</v>
      </c>
      <c r="G36" s="28" t="str">
        <f t="shared" si="3"/>
        <v xml:space="preserve"> : string = '' ; </v>
      </c>
      <c r="H36" s="35" t="str">
        <f t="shared" si="4"/>
        <v xml:space="preserve">			{headerName: this.l('Ordertype Code'),headerTooltip: this.l('Ordertype Code'),field: 'ordertypeCode',flex: 1},</v>
      </c>
      <c r="I36" s="35" t="str">
        <f t="shared" si="5"/>
        <v xml:space="preserve">								&lt;div class='input-search'&gt;
									&lt;input [(ngModel)]='ordertypeCode' name='ordertypeCode'
									class='form-control' [placeholder]="l('Ordertype Code')"
									type='text' (keyup.enter)='searchDatas()'&gt;
								&lt;/div&gt;</v>
      </c>
      <c r="J36" s="28"/>
      <c r="K36" s="35" t="str">
        <f t="shared" si="6"/>
        <v xml:space="preserve">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</v>
      </c>
      <c r="L36" s="56" t="str">
        <f t="shared" ref="L36:L37" si="39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13"/>
        <v xml:space="preserve">	ordertypeCode : string = '' ; </v>
      </c>
      <c r="T36" s="28" t="str">
        <f t="shared" si="14"/>
        <v xml:space="preserve">			this.ordertypeCode,</v>
      </c>
      <c r="U36" s="28" t="str">
        <f t="shared" si="15"/>
        <v xml:space="preserve">		this.ordertypeCode = '',</v>
      </c>
      <c r="V36" s="28" t="str">
        <f t="shared" si="22"/>
        <v/>
      </c>
    </row>
    <row r="37" spans="1:22" ht="18" customHeight="1" x14ac:dyDescent="0.3">
      <c r="A37" t="s">
        <v>386</v>
      </c>
      <c r="B37" s="28" t="str">
        <f t="shared" si="37"/>
        <v>Forwarder</v>
      </c>
      <c r="C37" s="28" t="str">
        <f t="shared" si="38"/>
        <v>Forwarder</v>
      </c>
      <c r="D37" s="28" t="str">
        <f t="shared" si="11"/>
        <v>forwarder</v>
      </c>
      <c r="E37" s="28" t="str">
        <f>A.Backend!H31</f>
        <v>string</v>
      </c>
      <c r="F37" s="28" t="str">
        <f>A.Backend!G31</f>
        <v>10</v>
      </c>
      <c r="G37" s="28" t="str">
        <f t="shared" si="3"/>
        <v xml:space="preserve"> : string = '' ; </v>
      </c>
      <c r="H37" s="35" t="str">
        <f t="shared" si="4"/>
        <v xml:space="preserve">			{headerName: this.l('Forwarder'),headerTooltip: this.l('Forwarder'),field: 'forwarder',flex: 1},</v>
      </c>
      <c r="I37" s="35" t="str">
        <f t="shared" si="5"/>
        <v xml:space="preserve">								&lt;div class='input-search'&gt;
									&lt;input [(ngModel)]='forwarder' name='forwarder'
									class='form-control' [placeholder]="l('Forwarder')"
									type='text' (keyup.enter)='searchDatas()'&gt;
								&lt;/div&gt;</v>
      </c>
      <c r="J37" s="28"/>
      <c r="K37" s="35" t="str">
        <f t="shared" si="6"/>
        <v xml:space="preserve">					&lt;div class='col-md-12 form-group row'&gt;
						&lt;label class='col-md-2 form-control title'&gt;Forwarder&lt;/label&gt;
						&lt;input type='text' class='col-md-10 form-control input-text' name='Forwarder' [(ngModel)]='rowdata.forwarder'&gt;
					&lt;/div&gt;</v>
      </c>
      <c r="L37" s="56" t="str">
        <f t="shared" si="39"/>
        <v/>
      </c>
      <c r="M37" s="28"/>
      <c r="N37" s="28"/>
      <c r="O37" s="28"/>
      <c r="P37" s="28"/>
      <c r="Q37" s="28"/>
      <c r="R37" s="28"/>
      <c r="S37" s="28" t="str">
        <f t="shared" si="13"/>
        <v xml:space="preserve">	forwarder : string = '' ; </v>
      </c>
      <c r="T37" s="28" t="str">
        <f t="shared" si="14"/>
        <v xml:space="preserve">			this.forwarder,</v>
      </c>
      <c r="U37" s="28" t="str">
        <f t="shared" si="15"/>
        <v xml:space="preserve">		this.forwarder = '',</v>
      </c>
      <c r="V37" s="28" t="str">
        <f t="shared" si="22"/>
        <v/>
      </c>
    </row>
    <row r="38" spans="1:22" ht="18" customHeight="1" x14ac:dyDescent="0.3">
      <c r="A38" s="28" t="s">
        <v>319</v>
      </c>
      <c r="B38" s="28" t="str">
        <f t="shared" ref="B38" si="40">SUBSTITUTE(PROPER(A38),"_","")</f>
        <v>IsActive</v>
      </c>
      <c r="C38" s="28" t="str">
        <f t="shared" ref="C38" si="41">SUBSTITUTE(PROPER(A38),"_"," ")</f>
        <v>Is Active</v>
      </c>
      <c r="D38" s="28" t="str">
        <f t="shared" si="11"/>
        <v>isActive</v>
      </c>
      <c r="E38" s="28" t="str">
        <f>A.Backend!H32</f>
        <v>string</v>
      </c>
      <c r="F38" s="28" t="str">
        <f>A.Backend!G32</f>
        <v>1</v>
      </c>
      <c r="G38" s="28" t="str">
        <f t="shared" si="3"/>
        <v xml:space="preserve"> : string = '' ; </v>
      </c>
      <c r="H38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8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8" s="28"/>
      <c r="K38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8" s="56" t="str">
        <f t="shared" ref="L38" si="42">IF(E38="DateTime",
REPT(CHAR(9),2)&amp;"const dateValue =  this.rowdata."&amp;D38&amp;" ? new Date(this.rowdata."&amp;D38&amp;"?.toString()) : new Date();
"&amp;REPT(CHAR(9),2)&amp;"this.datepicker?.bsValueChange.emit(dateValue);","")</f>
        <v/>
      </c>
      <c r="M38" s="28"/>
      <c r="N38" s="28"/>
      <c r="O38" s="28"/>
      <c r="P38" s="28"/>
      <c r="Q38" s="28"/>
      <c r="R38" s="28"/>
      <c r="S38" s="28" t="str">
        <f t="shared" si="13"/>
        <v xml:space="preserve">	isActive : string = '' ; </v>
      </c>
      <c r="T38" s="28" t="str">
        <f t="shared" si="14"/>
        <v xml:space="preserve">			this.isActive,</v>
      </c>
      <c r="U38" s="28" t="str">
        <f t="shared" si="15"/>
        <v xml:space="preserve">		this.isActive = '',</v>
      </c>
      <c r="V38" s="28" t="str">
        <f t="shared" si="8"/>
        <v>isActive</v>
      </c>
    </row>
    <row r="40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360</v>
      </c>
    </row>
    <row r="7" spans="1:2" x14ac:dyDescent="0.3">
      <c r="A7" t="s">
        <v>24</v>
      </c>
      <c r="B7" t="s">
        <v>355</v>
      </c>
    </row>
    <row r="8" spans="1:2" x14ac:dyDescent="0.3">
      <c r="A8" t="s">
        <v>4</v>
      </c>
      <c r="B8" t="s">
        <v>355</v>
      </c>
    </row>
    <row r="9" spans="1:2" x14ac:dyDescent="0.3">
      <c r="A9" t="s">
        <v>0</v>
      </c>
      <c r="B9" t="s">
        <v>356</v>
      </c>
    </row>
    <row r="10" spans="1:2" x14ac:dyDescent="0.3">
      <c r="A10" t="s">
        <v>25</v>
      </c>
      <c r="B10" t="s">
        <v>359</v>
      </c>
    </row>
    <row r="11" spans="1:2" x14ac:dyDescent="0.3">
      <c r="A11" t="s">
        <v>26</v>
      </c>
      <c r="B11" t="s">
        <v>359</v>
      </c>
    </row>
    <row r="12" spans="1:2" x14ac:dyDescent="0.3">
      <c r="A12" t="s">
        <v>27</v>
      </c>
      <c r="B12" t="s">
        <v>359</v>
      </c>
    </row>
    <row r="13" spans="1:2" x14ac:dyDescent="0.3">
      <c r="A13" t="s">
        <v>28</v>
      </c>
      <c r="B13" t="s">
        <v>359</v>
      </c>
    </row>
    <row r="14" spans="1:2" x14ac:dyDescent="0.3">
      <c r="A14" t="s">
        <v>29</v>
      </c>
      <c r="B14" t="s">
        <v>359</v>
      </c>
    </row>
    <row r="15" spans="1:2" x14ac:dyDescent="0.3">
      <c r="A15" t="s">
        <v>30</v>
      </c>
      <c r="B15" t="s">
        <v>359</v>
      </c>
    </row>
    <row r="16" spans="1:2" x14ac:dyDescent="0.3">
      <c r="A16" t="s">
        <v>31</v>
      </c>
      <c r="B16" t="s">
        <v>357</v>
      </c>
    </row>
    <row r="17" spans="1:2" x14ac:dyDescent="0.3">
      <c r="A17" t="s">
        <v>3</v>
      </c>
      <c r="B17" t="s">
        <v>357</v>
      </c>
    </row>
    <row r="18" spans="1:2" x14ac:dyDescent="0.3">
      <c r="A18" t="s">
        <v>33</v>
      </c>
      <c r="B18" t="s">
        <v>357</v>
      </c>
    </row>
    <row r="19" spans="1:2" x14ac:dyDescent="0.3">
      <c r="A19" t="s">
        <v>2</v>
      </c>
      <c r="B19" t="s">
        <v>357</v>
      </c>
    </row>
    <row r="20" spans="1:2" x14ac:dyDescent="0.3">
      <c r="A20" t="s">
        <v>263</v>
      </c>
      <c r="B20" t="s">
        <v>358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2023-05-27T07:20:10Z</dcterms:modified>
</cp:coreProperties>
</file>
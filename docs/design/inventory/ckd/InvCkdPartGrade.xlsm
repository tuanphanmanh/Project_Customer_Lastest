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Prod\docs\design\inventory\ckd\"/>
    </mc:Choice>
  </mc:AlternateContent>
  <bookViews>
    <workbookView xWindow="-120" yWindow="-120" windowWidth="19440" windowHeight="15000" activeTab="1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16" i="5" l="1"/>
  <c r="V17" i="5"/>
  <c r="V18" i="5"/>
  <c r="V19" i="5"/>
  <c r="V20" i="5"/>
  <c r="V21" i="5"/>
  <c r="V22" i="5"/>
  <c r="V23" i="5"/>
  <c r="V24" i="5"/>
  <c r="V25" i="5"/>
  <c r="V26" i="5"/>
  <c r="V27" i="5"/>
  <c r="V28" i="5"/>
  <c r="V29" i="5"/>
  <c r="V30" i="5"/>
  <c r="V31" i="5"/>
  <c r="V32" i="5"/>
  <c r="U16" i="5"/>
  <c r="U17" i="5"/>
  <c r="U18" i="5"/>
  <c r="U19" i="5"/>
  <c r="U20" i="5"/>
  <c r="U21" i="5"/>
  <c r="U22" i="5"/>
  <c r="U23" i="5"/>
  <c r="U24" i="5"/>
  <c r="U25" i="5"/>
  <c r="U26" i="5"/>
  <c r="U27" i="5"/>
  <c r="U28" i="5"/>
  <c r="U29" i="5"/>
  <c r="U30" i="5"/>
  <c r="U31" i="5"/>
  <c r="U32" i="5"/>
  <c r="T16" i="5"/>
  <c r="T17" i="5"/>
  <c r="T18" i="5"/>
  <c r="T19" i="5"/>
  <c r="T20" i="5"/>
  <c r="T21" i="5"/>
  <c r="T22" i="5"/>
  <c r="T23" i="5"/>
  <c r="T24" i="5"/>
  <c r="T25" i="5"/>
  <c r="T26" i="5"/>
  <c r="T27" i="5"/>
  <c r="T28" i="5"/>
  <c r="T29" i="5"/>
  <c r="T30" i="5"/>
  <c r="T31" i="5"/>
  <c r="T32" i="5"/>
  <c r="S16" i="5"/>
  <c r="S17" i="5"/>
  <c r="S18" i="5"/>
  <c r="S19" i="5"/>
  <c r="S20" i="5"/>
  <c r="S21" i="5"/>
  <c r="S22" i="5"/>
  <c r="S23" i="5"/>
  <c r="S24" i="5"/>
  <c r="S25" i="5"/>
  <c r="S26" i="5"/>
  <c r="S27" i="5"/>
  <c r="S28" i="5"/>
  <c r="S29" i="5"/>
  <c r="S30" i="5"/>
  <c r="S31" i="5"/>
  <c r="S32" i="5"/>
  <c r="K16" i="5"/>
  <c r="K17" i="5"/>
  <c r="K18" i="5"/>
  <c r="K19" i="5"/>
  <c r="K20" i="5"/>
  <c r="K21" i="5"/>
  <c r="K22" i="5"/>
  <c r="K23" i="5"/>
  <c r="K24" i="5"/>
  <c r="K25" i="5"/>
  <c r="K26" i="5"/>
  <c r="K27" i="5"/>
  <c r="K28" i="5"/>
  <c r="K29" i="5"/>
  <c r="K30" i="5"/>
  <c r="K31" i="5"/>
  <c r="K32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L13" i="1"/>
  <c r="G13" i="1"/>
  <c r="E13" i="1"/>
  <c r="H13" i="1" s="1"/>
  <c r="D13" i="1"/>
  <c r="V13" i="1" s="1"/>
  <c r="W13" i="1" l="1"/>
  <c r="J13" i="1"/>
  <c r="I13" i="1"/>
  <c r="O13" i="1"/>
  <c r="N13" i="1"/>
  <c r="M13" i="1"/>
  <c r="P13" i="1"/>
  <c r="T13" i="1"/>
  <c r="C30" i="5"/>
  <c r="B30" i="5"/>
  <c r="D30" i="5" s="1"/>
  <c r="C29" i="5"/>
  <c r="B29" i="5"/>
  <c r="D29" i="5" s="1"/>
  <c r="C28" i="5"/>
  <c r="B28" i="5"/>
  <c r="D28" i="5" s="1"/>
  <c r="C27" i="5"/>
  <c r="B27" i="5"/>
  <c r="D27" i="5" s="1"/>
  <c r="C26" i="5"/>
  <c r="B26" i="5"/>
  <c r="D26" i="5" s="1"/>
  <c r="C25" i="5"/>
  <c r="B25" i="5"/>
  <c r="D25" i="5" s="1"/>
  <c r="C24" i="5"/>
  <c r="B24" i="5"/>
  <c r="D24" i="5" s="1"/>
  <c r="C23" i="5"/>
  <c r="B23" i="5"/>
  <c r="D23" i="5" s="1"/>
  <c r="C22" i="5"/>
  <c r="B22" i="5"/>
  <c r="D22" i="5" s="1"/>
  <c r="C21" i="5"/>
  <c r="B21" i="5"/>
  <c r="D21" i="5" s="1"/>
  <c r="C20" i="5"/>
  <c r="B20" i="5"/>
  <c r="D20" i="5" s="1"/>
  <c r="C19" i="5"/>
  <c r="B19" i="5"/>
  <c r="D19" i="5" s="1"/>
  <c r="C18" i="5"/>
  <c r="B18" i="5"/>
  <c r="D18" i="5" s="1"/>
  <c r="L25" i="1"/>
  <c r="G25" i="1"/>
  <c r="E25" i="1"/>
  <c r="H25" i="1" s="1"/>
  <c r="D25" i="1"/>
  <c r="W25" i="1" l="1"/>
  <c r="L30" i="5"/>
  <c r="M25" i="1"/>
  <c r="O25" i="1"/>
  <c r="P25" i="1"/>
  <c r="T25" i="1"/>
  <c r="I25" i="1"/>
  <c r="V25" i="1"/>
  <c r="J25" i="1"/>
  <c r="N25" i="1"/>
  <c r="B7" i="5"/>
  <c r="B6" i="5"/>
  <c r="B2" i="5"/>
  <c r="B8" i="5" l="1"/>
  <c r="B3" i="5"/>
  <c r="C32" i="5"/>
  <c r="B32" i="5"/>
  <c r="D32" i="5" s="1"/>
  <c r="L26" i="1"/>
  <c r="G26" i="1"/>
  <c r="E26" i="1"/>
  <c r="H26" i="1" s="1"/>
  <c r="D26" i="1"/>
  <c r="T26" i="1" s="1"/>
  <c r="L24" i="1"/>
  <c r="G24" i="1"/>
  <c r="E24" i="1"/>
  <c r="H24" i="1" s="1"/>
  <c r="D24" i="1"/>
  <c r="V24" i="1" s="1"/>
  <c r="G23" i="1"/>
  <c r="E23" i="1"/>
  <c r="H23" i="1" s="1"/>
  <c r="D23" i="1"/>
  <c r="T23" i="1" s="1"/>
  <c r="L22" i="1"/>
  <c r="G22" i="1"/>
  <c r="E22" i="1"/>
  <c r="H22" i="1" s="1"/>
  <c r="D22" i="1"/>
  <c r="V22" i="1" s="1"/>
  <c r="L21" i="1"/>
  <c r="G21" i="1"/>
  <c r="E21" i="1"/>
  <c r="H21" i="1" s="1"/>
  <c r="D21" i="1"/>
  <c r="T21" i="1" s="1"/>
  <c r="L20" i="1"/>
  <c r="G20" i="1"/>
  <c r="E20" i="1"/>
  <c r="H20" i="1" s="1"/>
  <c r="D20" i="1"/>
  <c r="V20" i="1" s="1"/>
  <c r="G19" i="1"/>
  <c r="E19" i="1"/>
  <c r="H19" i="1" s="1"/>
  <c r="D19" i="1"/>
  <c r="T19" i="1" s="1"/>
  <c r="L18" i="1"/>
  <c r="G18" i="1"/>
  <c r="E18" i="1"/>
  <c r="H18" i="1" s="1"/>
  <c r="D18" i="1"/>
  <c r="V18" i="1" s="1"/>
  <c r="L17" i="1"/>
  <c r="G17" i="1"/>
  <c r="E17" i="1"/>
  <c r="H17" i="1" s="1"/>
  <c r="D17" i="1"/>
  <c r="T17" i="1" s="1"/>
  <c r="L16" i="1"/>
  <c r="G16" i="1"/>
  <c r="E16" i="1"/>
  <c r="H16" i="1" s="1"/>
  <c r="D16" i="1"/>
  <c r="V16" i="1" s="1"/>
  <c r="G15" i="1"/>
  <c r="E15" i="1"/>
  <c r="H15" i="1" s="1"/>
  <c r="D15" i="1"/>
  <c r="T15" i="1" s="1"/>
  <c r="L29" i="5" l="1"/>
  <c r="L28" i="5"/>
  <c r="L27" i="5"/>
  <c r="I21" i="1"/>
  <c r="L25" i="5"/>
  <c r="L23" i="5"/>
  <c r="L24" i="5"/>
  <c r="L22" i="5"/>
  <c r="L21" i="5"/>
  <c r="L20" i="5"/>
  <c r="L32" i="5"/>
  <c r="M26" i="1"/>
  <c r="M19" i="1"/>
  <c r="I19" i="1"/>
  <c r="M23" i="1"/>
  <c r="I23" i="1"/>
  <c r="P16" i="1"/>
  <c r="I26" i="1"/>
  <c r="P22" i="1"/>
  <c r="P24" i="1"/>
  <c r="W16" i="1"/>
  <c r="P20" i="1"/>
  <c r="M21" i="1"/>
  <c r="W20" i="1"/>
  <c r="O20" i="1"/>
  <c r="J20" i="1"/>
  <c r="N20" i="1"/>
  <c r="I20" i="1"/>
  <c r="M20" i="1"/>
  <c r="W24" i="1"/>
  <c r="O24" i="1"/>
  <c r="J24" i="1"/>
  <c r="N24" i="1"/>
  <c r="I24" i="1"/>
  <c r="M24" i="1"/>
  <c r="W22" i="1"/>
  <c r="O22" i="1"/>
  <c r="J22" i="1"/>
  <c r="N22" i="1"/>
  <c r="I22" i="1"/>
  <c r="M22" i="1"/>
  <c r="N19" i="1"/>
  <c r="V19" i="1"/>
  <c r="N21" i="1"/>
  <c r="V21" i="1"/>
  <c r="N23" i="1"/>
  <c r="V23" i="1"/>
  <c r="N26" i="1"/>
  <c r="V26" i="1"/>
  <c r="J19" i="1"/>
  <c r="O19" i="1"/>
  <c r="W19" i="1"/>
  <c r="T20" i="1"/>
  <c r="J21" i="1"/>
  <c r="O21" i="1"/>
  <c r="W21" i="1"/>
  <c r="T22" i="1"/>
  <c r="J23" i="1"/>
  <c r="O23" i="1"/>
  <c r="W23" i="1"/>
  <c r="T24" i="1"/>
  <c r="J26" i="1"/>
  <c r="O26" i="1"/>
  <c r="W26" i="1"/>
  <c r="P19" i="1"/>
  <c r="P21" i="1"/>
  <c r="P23" i="1"/>
  <c r="P26" i="1"/>
  <c r="P18" i="1"/>
  <c r="W18" i="1"/>
  <c r="O18" i="1"/>
  <c r="J18" i="1"/>
  <c r="N18" i="1"/>
  <c r="I18" i="1"/>
  <c r="M18" i="1"/>
  <c r="M17" i="1"/>
  <c r="N17" i="1"/>
  <c r="I17" i="1"/>
  <c r="W17" i="1"/>
  <c r="O17" i="1"/>
  <c r="J17" i="1"/>
  <c r="M15" i="1"/>
  <c r="N15" i="1"/>
  <c r="I15" i="1"/>
  <c r="W15" i="1"/>
  <c r="O15" i="1"/>
  <c r="J15" i="1"/>
  <c r="M16" i="1"/>
  <c r="T16" i="1"/>
  <c r="T18" i="1"/>
  <c r="V15" i="1"/>
  <c r="V17" i="1"/>
  <c r="I16" i="1"/>
  <c r="N16" i="1"/>
  <c r="P17" i="1"/>
  <c r="P15" i="1"/>
  <c r="J16" i="1"/>
  <c r="O16" i="1"/>
  <c r="C31" i="5"/>
  <c r="B31" i="5"/>
  <c r="D31" i="5" s="1"/>
  <c r="C17" i="5"/>
  <c r="B17" i="5"/>
  <c r="D17" i="5" s="1"/>
  <c r="C16" i="5"/>
  <c r="B16" i="5"/>
  <c r="D16" i="5" s="1"/>
  <c r="L26" i="5" l="1"/>
  <c r="B6" i="1"/>
  <c r="G14" i="1"/>
  <c r="E14" i="1"/>
  <c r="H14" i="1" s="1"/>
  <c r="D14" i="1"/>
  <c r="V14" i="1" s="1"/>
  <c r="L19" i="5" l="1"/>
  <c r="W14" i="1"/>
  <c r="N14" i="1"/>
  <c r="I14" i="1"/>
  <c r="M14" i="1"/>
  <c r="O14" i="1"/>
  <c r="J14" i="1"/>
  <c r="L14" i="1"/>
  <c r="P14" i="1"/>
  <c r="T14" i="1"/>
  <c r="C15" i="5"/>
  <c r="B15" i="5"/>
  <c r="D15" i="5" s="1"/>
  <c r="T15" i="5" s="1"/>
  <c r="L12" i="1"/>
  <c r="G12" i="1"/>
  <c r="E12" i="1"/>
  <c r="H12" i="1" s="1"/>
  <c r="D12" i="1"/>
  <c r="V12" i="1" s="1"/>
  <c r="G11" i="1"/>
  <c r="E11" i="1"/>
  <c r="H11" i="1" s="1"/>
  <c r="D11" i="1"/>
  <c r="T11" i="1" s="1"/>
  <c r="L18" i="5" l="1"/>
  <c r="L31" i="5"/>
  <c r="L17" i="5"/>
  <c r="M11" i="1"/>
  <c r="L11" i="1"/>
  <c r="P11" i="1"/>
  <c r="W12" i="1"/>
  <c r="O12" i="1"/>
  <c r="J12" i="1"/>
  <c r="I12" i="1"/>
  <c r="N12" i="1"/>
  <c r="M12" i="1"/>
  <c r="I11" i="1"/>
  <c r="N11" i="1"/>
  <c r="V11" i="1"/>
  <c r="P12" i="1"/>
  <c r="J11" i="1"/>
  <c r="O11" i="1"/>
  <c r="W11" i="1"/>
  <c r="T12" i="1"/>
  <c r="G9" i="1" l="1"/>
  <c r="F15" i="5" s="1"/>
  <c r="E9" i="1"/>
  <c r="H9" i="1" s="1"/>
  <c r="E15" i="5" s="1"/>
  <c r="D9" i="1"/>
  <c r="V9" i="1" s="1"/>
  <c r="U15" i="5" l="1"/>
  <c r="H15" i="5"/>
  <c r="G15" i="5"/>
  <c r="S15" i="5" s="1"/>
  <c r="V15" i="5"/>
  <c r="I15" i="5"/>
  <c r="L15" i="5"/>
  <c r="K15" i="5"/>
  <c r="W9" i="1"/>
  <c r="P9" i="1"/>
  <c r="T9" i="1"/>
  <c r="I9" i="1"/>
  <c r="N9" i="1"/>
  <c r="M9" i="1"/>
  <c r="J9" i="1"/>
  <c r="O9" i="1"/>
  <c r="Q3" i="1" l="1"/>
  <c r="B4" i="5" s="1"/>
  <c r="B5" i="5" s="1"/>
  <c r="G10" i="1" l="1"/>
  <c r="E10" i="1"/>
  <c r="H10" i="1" s="1"/>
  <c r="D10" i="1"/>
  <c r="T10" i="1" s="1"/>
  <c r="L16" i="5" l="1"/>
  <c r="P10" i="1"/>
  <c r="V10" i="1"/>
  <c r="W10" i="1"/>
  <c r="J10" i="1"/>
  <c r="I10" i="1"/>
  <c r="O10" i="1"/>
  <c r="N10" i="1"/>
  <c r="M10" i="1"/>
  <c r="W3" i="1" l="1"/>
  <c r="V3" i="1"/>
  <c r="U7" i="1" l="1"/>
  <c r="T3" i="1" l="1"/>
  <c r="F3" i="1"/>
  <c r="O7" i="1" l="1"/>
  <c r="N7" i="1"/>
  <c r="E68" i="3" s="1"/>
  <c r="K7" i="1"/>
  <c r="H6" i="1"/>
  <c r="R10" i="5" l="1"/>
  <c r="M75" i="3" s="1"/>
  <c r="N68" i="3" l="1"/>
  <c r="P10" i="5" l="1"/>
  <c r="K75" i="3" s="1"/>
  <c r="Q10" i="5"/>
  <c r="L75" i="3" s="1"/>
  <c r="B73" i="3"/>
  <c r="C73" i="3" s="1"/>
  <c r="M14" i="5"/>
  <c r="H74" i="3" s="1"/>
  <c r="L14" i="5"/>
  <c r="G74" i="3" s="1"/>
  <c r="K14" i="5"/>
  <c r="F74" i="3" s="1"/>
  <c r="L74" i="3"/>
  <c r="K74" i="3"/>
  <c r="O14" i="5"/>
  <c r="J74" i="3" s="1"/>
  <c r="N14" i="5"/>
  <c r="I74" i="3" s="1"/>
  <c r="J14" i="5"/>
  <c r="E74" i="3" s="1"/>
  <c r="I14" i="5"/>
  <c r="D74" i="3" s="1"/>
  <c r="H14" i="5"/>
  <c r="C74" i="3" s="1"/>
  <c r="O10" i="5"/>
  <c r="J75" i="3" s="1"/>
  <c r="N10" i="5"/>
  <c r="I75" i="3" s="1"/>
  <c r="M10" i="5"/>
  <c r="H75" i="3" s="1"/>
  <c r="J10" i="5"/>
  <c r="E75" i="3" s="1"/>
  <c r="N3" i="1" l="1"/>
  <c r="M3" i="1"/>
  <c r="O3" i="1"/>
  <c r="V28" i="1"/>
  <c r="K12" i="5" l="1"/>
  <c r="H12" i="5"/>
  <c r="V12" i="5"/>
  <c r="T12" i="5"/>
  <c r="U12" i="5"/>
  <c r="I12" i="5"/>
  <c r="L12" i="5"/>
  <c r="S12" i="5"/>
  <c r="R3" i="1" l="1"/>
  <c r="D1" i="1"/>
  <c r="F6" i="1"/>
  <c r="T13" i="5"/>
  <c r="T28" i="1"/>
  <c r="T7" i="1" l="1"/>
  <c r="W28" i="1"/>
  <c r="G6" i="1" l="1"/>
  <c r="H13" i="5"/>
  <c r="V13" i="5"/>
  <c r="L13" i="5"/>
  <c r="U13" i="5"/>
  <c r="I13" i="5"/>
  <c r="K13" i="5"/>
  <c r="S13" i="5"/>
  <c r="K10" i="5" l="1"/>
  <c r="F75" i="3" s="1"/>
  <c r="I10" i="5"/>
  <c r="D75" i="3" s="1"/>
  <c r="H10" i="5"/>
  <c r="C75" i="3" s="1"/>
  <c r="L10" i="5"/>
  <c r="G75" i="3" s="1"/>
  <c r="L68" i="3"/>
  <c r="D68" i="3"/>
  <c r="D6" i="1"/>
  <c r="L3" i="1" l="1"/>
  <c r="J3" i="1"/>
  <c r="H3" i="1"/>
  <c r="C6" i="1" l="1"/>
  <c r="P7" i="1" s="1"/>
  <c r="S3" i="1"/>
  <c r="S7" i="1" s="1"/>
  <c r="E6" i="1"/>
  <c r="F68" i="3"/>
  <c r="I3" i="1" l="1"/>
  <c r="B7" i="1"/>
  <c r="L19" i="1" l="1"/>
  <c r="L23" i="1"/>
  <c r="L15" i="1"/>
  <c r="L9" i="1"/>
  <c r="L10" i="1"/>
  <c r="C7" i="1"/>
  <c r="O28" i="1"/>
  <c r="N28" i="1"/>
  <c r="P28" i="1"/>
  <c r="I28" i="1"/>
  <c r="J28" i="1"/>
  <c r="Q7" i="1" l="1"/>
  <c r="M68" i="3" s="1"/>
  <c r="L7" i="1"/>
  <c r="G68" i="3" s="1"/>
  <c r="K68" i="3"/>
  <c r="J68" i="3"/>
  <c r="K28" i="1"/>
  <c r="M28" i="1"/>
  <c r="R7" i="1" l="1"/>
  <c r="I68" i="3" s="1"/>
  <c r="M7" i="1"/>
  <c r="H68" i="3" s="1"/>
  <c r="J7" i="1"/>
  <c r="C68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<sst xmlns="http://schemas.openxmlformats.org/spreadsheetml/2006/main" count="505" uniqueCount="386">
  <si>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</si>
  <si>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</si>
  <si>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</si>
  <si>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</si>
  <si>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</si>
  <si>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</si>
  <si>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</si>
  <si>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</si>
  <si>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</si>
  <si>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</si>
  <si>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</si>
  <si>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</si>
  <si>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</si>
  <si>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</si>
  <si>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</si>
  <si>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</si>
  <si>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</si>
  <si>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</si>
  <si>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</si>
  <si>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</si>
  <si>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</si>
  <si>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</si>
  <si>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</si>
  <si>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</si>
  <si>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</si>
  <si>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</si>
  <si>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</si>
  <si>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</si>
  <si>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</si>
  <si>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</si>
  <si>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</si>
  <si>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</si>
  <si>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string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</si>
  <si>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</si>
  <si>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</si>
  <si>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</si>
  <si>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</si>
  <si>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</si>
  <si>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</si>
  <si>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</si>
  <si>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</si>
  <si>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</si>
  <si>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</si>
  <si>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</si>
  <si>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</si>
  <si>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</si>
  <si>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</si>
  <si>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</si>
  <si>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</si>
  <si>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</si>
  <si>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</si>
  <si>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</si>
  <si>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</si>
  <si>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</si>
  <si>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</si>
  <si>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</si>
  <si>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</si>
  <si>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</si>
  <si>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</si>
  <si>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</si>
  <si>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</si>
  <si>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</si>
  <si>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</si>
  <si>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</si>
  <si>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</si>
  <si>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</si>
  <si>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</si>
  <si>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</si>
  <si>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</si>
  <si>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</si>
  <si>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</si>
  <si>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</si>
  <si>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</si>
  <si>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</si>
  <si>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</si>
  <si>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</si>
  <si>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</si>
  <si>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</si>
  <si>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</si>
  <si>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</si>
  <si>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</si>
  <si>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</si>
  <si>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</si>
  <si>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</si>
  <si>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</si>
  <si>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</si>
  <si>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</si>
  <si>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</si>
  <si>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</si>
  <si>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</si>
  <si>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</si>
  <si>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</si>
  <si>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</si>
  <si>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</si>
  <si>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</si>
  <si>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</si>
  <si>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</si>
  <si>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</si>
  <si>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</si>
  <si>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</si>
  <si>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</si>
  <si>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</si>
  <si>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</si>
  <si>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</si>
  <si>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</si>
  <si>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</si>
  <si>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</si>
  <si>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</si>
  <si>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</si>
  <si>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</si>
  <si>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</si>
  <si>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</si>
  <si>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</si>
  <si>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</si>
  <si>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</si>
  <si>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</si>
  <si>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</si>
  <si>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</si>
  <si>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</si>
  <si>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</si>
  <si>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</si>
  <si>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</si>
  <si>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</si>
  <si>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</si>
  <si>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</si>
  <si>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</si>
  <si>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</si>
  <si>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</si>
  <si>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</si>
  <si>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</si>
  <si>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</si>
  <si>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</si>
  <si>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</si>
  <si>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</si>
  <si>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</si>
  <si>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</si>
  <si>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</si>
  <si>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</si>
  <si>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</si>
  <si>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</si>
  <si>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</si>
  <si>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</si>
  <si>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</si>
  <si>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</si>
  <si>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</si>
  <si>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</si>
  <si>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</si>
  <si>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</si>
  <si>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</si>
  <si>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</si>
  <si>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</si>
  <si>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</si>
  <si>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</si>
  <si>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</si>
  <si>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</si>
  <si>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</si>
  <si>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</si>
  <si>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</si>
  <si>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</si>
  <si>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</si>
  <si>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</si>
  <si>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</si>
  <si>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</si>
  <si>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</si>
  <si>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</si>
  <si>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</si>
  <si>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</si>
  <si>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</si>
  <si>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</si>
  <si>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</si>
  <si>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</si>
  <si>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</si>
  <si>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</si>
  <si>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</si>
  <si>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</si>
  <si>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</si>
  <si>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</si>
  <si>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</si>
  <si>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</si>
  <si>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</si>
  <si>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</si>
  <si>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</si>
  <si>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</si>
  <si>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</si>
  <si>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</si>
  <si>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</si>
  <si>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</si>
  <si>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</si>
  <si>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</si>
  <si>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</si>
  <si>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</si>
  <si>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</si>
  <si>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</si>
  <si>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</si>
  <si>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</si>
  <si>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</si>
  <si>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</si>
  <si>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</si>
  <si>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</si>
  <si>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</si>
  <si>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</si>
  <si>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</si>
  <si>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</si>
  <si>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</si>
  <si>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</si>
  <si>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</si>
  <si>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</si>
  <si>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</si>
  <si>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</si>
  <si>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</si>
  <si>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</si>
  <si>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</si>
  <si>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</si>
  <si>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</si>
  <si>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</si>
  <si>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</si>
  <si>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</si>
  <si>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</si>
  <si>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</si>
  <si>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</si>
  <si>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</si>
  <si>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</si>
  <si>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</si>
  <si>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</si>
  <si>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</si>
  <si>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</si>
  <si>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</si>
  <si>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</si>
  <si>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</si>
  <si>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</si>
  <si>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</si>
  <si>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</si>
  <si>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</si>
  <si>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</si>
  <si>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</si>
  <si>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</si>
  <si>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</si>
  <si>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</si>
  <si>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</si>
  <si>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</si>
  <si>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</si>
  <si>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</si>
  <si>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</si>
  <si>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</si>
  <si>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</si>
  <si>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</si>
  <si>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</si>
  <si>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</si>
  <si>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</si>
  <si>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</si>
  <si>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</si>
  <si>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</si>
  <si>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</si>
  <si>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</si>
  <si>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</si>
  <si>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</si>
  <si>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</si>
  <si>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</si>
  <si>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</si>
  <si>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</si>
  <si>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</si>
  <si>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</si>
  <si>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</si>
  <si>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</si>
  <si>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</si>
  <si>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</si>
  <si>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</si>
  <si>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</si>
  <si>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</si>
  <si>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</si>
  <si>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</si>
  <si>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</si>
  <si>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</si>
  <si>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</si>
  <si>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</si>
  <si>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</si>
  <si>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</si>
  <si>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</si>
  <si>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</si>
  <si>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</si>
  <si>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</si>
  <si>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</si>
  <si>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</si>
  <si>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</si>
  <si>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</si>
  <si>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</si>
  <si>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</si>
  <si>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</si>
  <si>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</si>
  <si>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</si>
  <si>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</si>
  <si>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</si>
  <si>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</si>
  <si>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</si>
  <si>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</si>
  <si>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</si>
  <si>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</si>
  <si>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</si>
  <si>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</si>
  <si>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</si>
  <si>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</si>
  <si>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</si>
  <si>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</si>
  <si>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</si>
  <si>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</si>
  <si>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</si>
  <si>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</si>
  <si>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</si>
  <si>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</si>
  <si>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</si>
  <si>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</si>
  <si>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</si>
  <si>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</si>
  <si>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</si>
  <si>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</si>
  <si>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</si>
  <si>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</si>
  <si>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</si>
  <si>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</si>
  <si>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IS_ACTIVE</t>
  </si>
  <si>
    <t>Inventory</t>
  </si>
  <si>
    <t>CKD</t>
  </si>
  <si>
    <t>PIO</t>
  </si>
  <si>
    <t>GPS</t>
  </si>
  <si>
    <t>SPP</t>
  </si>
  <si>
    <t>Inhouse</t>
  </si>
  <si>
    <t>LSP</t>
  </si>
  <si>
    <t>Ckd</t>
  </si>
  <si>
    <t>Gps</t>
  </si>
  <si>
    <t>Pio</t>
  </si>
  <si>
    <t>Inh</t>
  </si>
  <si>
    <t>Lsp</t>
  </si>
  <si>
    <t>Spp</t>
  </si>
  <si>
    <t>Inv</t>
  </si>
  <si>
    <t>InvCkd</t>
  </si>
  <si>
    <t>InvGps</t>
  </si>
  <si>
    <t>InvPio</t>
  </si>
  <si>
    <t>InvInh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</si>
  <si>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</si>
  <si>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</si>
  <si>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</si>
  <si>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</si>
  <si>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</si>
  <si>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</si>
  <si>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</si>
  <si>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</si>
  <si>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</si>
  <si>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</si>
  <si>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</si>
  <si>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Inventory.CKD</t>
  </si>
  <si>
    <t>int?</t>
  </si>
  <si>
    <t>long?</t>
  </si>
  <si>
    <t>DateTime?</t>
  </si>
  <si>
    <t>TimeSpan?</t>
  </si>
  <si>
    <t>decimal?</t>
  </si>
  <si>
    <t>byte?</t>
  </si>
  <si>
    <t>PART_NO</t>
  </si>
  <si>
    <t>VARCHAR(10)</t>
  </si>
  <si>
    <t>VARCHAR(4)</t>
  </si>
  <si>
    <t>USAGE_QTY</t>
  </si>
  <si>
    <t>DECIMAL(18,4)</t>
  </si>
  <si>
    <t>DATE</t>
  </si>
  <si>
    <t>VARCHAR(1)</t>
  </si>
  <si>
    <t>PART_ID</t>
  </si>
  <si>
    <t>VARCHAR(50)</t>
  </si>
  <si>
    <t>CFC</t>
  </si>
  <si>
    <t>ID_LINE</t>
  </si>
  <si>
    <t>BODY_COLOR</t>
  </si>
  <si>
    <t>VARCHAR(100)</t>
  </si>
  <si>
    <t>DATETIME</t>
  </si>
  <si>
    <t>GRADE</t>
  </si>
  <si>
    <t>VARCHAR(3)</t>
  </si>
  <si>
    <t>REMARK</t>
  </si>
  <si>
    <t>NVARCHAR(5000)</t>
  </si>
  <si>
    <t>InvCkdPartGrade</t>
  </si>
  <si>
    <t>PartGrade</t>
  </si>
  <si>
    <t>Part Grade</t>
  </si>
  <si>
    <t>MODEL</t>
  </si>
  <si>
    <t>SHOP</t>
  </si>
  <si>
    <t>START_LOT</t>
  </si>
  <si>
    <t>END_LOT</t>
  </si>
  <si>
    <t>START_RUN</t>
  </si>
  <si>
    <t>END_RUN</t>
  </si>
  <si>
    <t>EF_FROM_PART</t>
  </si>
  <si>
    <t>EF_TO_PART</t>
  </si>
  <si>
    <t>ORDER_PATTERN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</si>
</sst>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/>
    <xf numFmtId="0" fontId="0" fillId="10" borderId="3" xfId="0" applyFill="1" applyBorder="1" applyAlignment="1">
      <alignment wrapText="1"/>
    </xf>
    <xf numFmtId="0" fontId="0" fillId="10" borderId="1" xfId="0" applyFill="1" applyBorder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16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8" borderId="0" xfId="0" applyFill="1" applyBorder="1" applyAlignment="1">
      <alignment wrapText="1"/>
    </xf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77"/>
  <sheetViews>
    <sheetView topLeftCell="A13" zoomScaleNormal="100" workbookViewId="0">
      <selection activeCell="C68" sqref="C68"/>
    </sheetView>
  </sheetViews>
  <sheetFormatPr defaultColWidth="8.77734375" defaultRowHeight="14.4" x14ac:dyDescent="0.3"/>
  <cols>
    <col min="1" max="1" width="3.44140625" customWidth="1"/>
    <col min="2" max="2" width="18.44140625" customWidth="1"/>
    <col min="3" max="5" width="26.21875" customWidth="1"/>
    <col min="6" max="6" width="29.44140625" customWidth="1"/>
    <col min="7" max="10" width="26.21875" customWidth="1"/>
    <col min="11" max="11" width="26.44140625" customWidth="1"/>
    <col min="12" max="12" width="27.77734375" customWidth="1"/>
    <col min="13" max="13" width="25.44140625" customWidth="1"/>
    <col min="14" max="18" width="18.44140625" customWidth="1"/>
  </cols>
  <sheetData>
    <row r="1" spans="1:7" ht="23.4" x14ac:dyDescent="0.45">
      <c r="A1" s="14" t="s">
        <v>71</v>
      </c>
    </row>
    <row r="2" spans="1:7" ht="15.6" x14ac:dyDescent="0.3">
      <c r="A2" s="1"/>
      <c r="B2" s="25" t="s">
        <v>193</v>
      </c>
    </row>
    <row r="3" spans="1:7" x14ac:dyDescent="0.3">
      <c r="A3" s="1"/>
      <c r="B3" s="1" t="s">
        <v>74</v>
      </c>
    </row>
    <row r="4" spans="1:7" x14ac:dyDescent="0.3">
      <c r="A4" s="1"/>
      <c r="B4" t="s">
        <v>73</v>
      </c>
    </row>
    <row r="5" spans="1:7" x14ac:dyDescent="0.3">
      <c r="A5" s="1"/>
      <c r="B5" t="s">
        <v>76</v>
      </c>
    </row>
    <row r="6" spans="1:7" x14ac:dyDescent="0.3">
      <c r="A6" s="1"/>
      <c r="B6" t="s">
        <v>84</v>
      </c>
    </row>
    <row r="7" spans="1:7" x14ac:dyDescent="0.3">
      <c r="A7" s="1"/>
      <c r="C7" s="2" t="s">
        <v>94</v>
      </c>
      <c r="D7" s="2"/>
      <c r="E7" s="2"/>
      <c r="F7" s="2" t="s">
        <v>102</v>
      </c>
      <c r="G7" s="2" t="s">
        <v>280</v>
      </c>
    </row>
    <row r="8" spans="1:7" x14ac:dyDescent="0.3">
      <c r="A8" s="1"/>
      <c r="C8" t="s">
        <v>86</v>
      </c>
      <c r="F8" s="1" t="s">
        <v>230</v>
      </c>
      <c r="G8" t="s">
        <v>230</v>
      </c>
    </row>
    <row r="9" spans="1:7" x14ac:dyDescent="0.3">
      <c r="A9" s="1"/>
      <c r="C9" t="s">
        <v>85</v>
      </c>
      <c r="F9" s="1" t="s">
        <v>95</v>
      </c>
      <c r="G9" t="s">
        <v>95</v>
      </c>
    </row>
    <row r="10" spans="1:7" x14ac:dyDescent="0.3">
      <c r="A10" s="1"/>
      <c r="D10" t="s">
        <v>86</v>
      </c>
      <c r="F10" s="1" t="s">
        <v>230</v>
      </c>
      <c r="G10" t="s">
        <v>281</v>
      </c>
    </row>
    <row r="11" spans="1:7" x14ac:dyDescent="0.3">
      <c r="A11" s="1"/>
      <c r="D11" t="s">
        <v>87</v>
      </c>
      <c r="F11" s="1" t="s">
        <v>96</v>
      </c>
      <c r="G11" t="s">
        <v>282</v>
      </c>
    </row>
    <row r="12" spans="1:7" x14ac:dyDescent="0.3">
      <c r="A12" s="1"/>
      <c r="D12" t="s">
        <v>88</v>
      </c>
      <c r="F12" s="1" t="s">
        <v>97</v>
      </c>
      <c r="G12" t="s">
        <v>283</v>
      </c>
    </row>
    <row r="13" spans="1:7" x14ac:dyDescent="0.3">
      <c r="A13" s="1"/>
      <c r="D13" t="s">
        <v>89</v>
      </c>
      <c r="F13" s="1" t="s">
        <v>98</v>
      </c>
      <c r="G13" t="s">
        <v>284</v>
      </c>
    </row>
    <row r="14" spans="1:7" x14ac:dyDescent="0.3">
      <c r="A14" s="1"/>
      <c r="D14" t="s">
        <v>90</v>
      </c>
      <c r="F14" s="1" t="s">
        <v>99</v>
      </c>
      <c r="G14" t="s">
        <v>285</v>
      </c>
    </row>
    <row r="15" spans="1:7" x14ac:dyDescent="0.3">
      <c r="A15" s="1"/>
      <c r="D15" t="s">
        <v>91</v>
      </c>
      <c r="F15" s="1" t="s">
        <v>100</v>
      </c>
      <c r="G15" t="s">
        <v>286</v>
      </c>
    </row>
    <row r="16" spans="1:7" ht="12" customHeight="1" x14ac:dyDescent="0.3">
      <c r="A16" s="1"/>
      <c r="D16" t="s">
        <v>266</v>
      </c>
      <c r="F16" s="1" t="s">
        <v>267</v>
      </c>
      <c r="G16" t="s">
        <v>287</v>
      </c>
    </row>
    <row r="17" spans="1:7" ht="12" customHeight="1" x14ac:dyDescent="0.3">
      <c r="A17" s="1"/>
      <c r="D17" t="s">
        <v>301</v>
      </c>
      <c r="F17" s="1" t="s">
        <v>302</v>
      </c>
      <c r="G17" t="s">
        <v>303</v>
      </c>
    </row>
    <row r="18" spans="1:7" x14ac:dyDescent="0.3">
      <c r="A18" s="1"/>
      <c r="D18" t="s">
        <v>346</v>
      </c>
      <c r="F18" s="1" t="s">
        <v>348</v>
      </c>
      <c r="G18" t="s">
        <v>347</v>
      </c>
    </row>
    <row r="19" spans="1:7" x14ac:dyDescent="0.3">
      <c r="A19" s="1"/>
      <c r="C19" t="s">
        <v>88</v>
      </c>
      <c r="F19" s="1" t="s">
        <v>97</v>
      </c>
      <c r="G19" t="s">
        <v>97</v>
      </c>
    </row>
    <row r="20" spans="1:7" x14ac:dyDescent="0.3">
      <c r="A20" s="1"/>
      <c r="D20" t="s">
        <v>92</v>
      </c>
      <c r="F20" s="1" t="s">
        <v>111</v>
      </c>
      <c r="G20" t="s">
        <v>288</v>
      </c>
    </row>
    <row r="21" spans="1:7" x14ac:dyDescent="0.3">
      <c r="A21" s="1"/>
      <c r="D21" t="s">
        <v>93</v>
      </c>
      <c r="F21" s="1" t="s">
        <v>101</v>
      </c>
      <c r="G21" t="s">
        <v>289</v>
      </c>
    </row>
    <row r="22" spans="1:7" x14ac:dyDescent="0.3">
      <c r="A22" s="1"/>
      <c r="C22" t="s">
        <v>89</v>
      </c>
      <c r="F22" s="1" t="s">
        <v>98</v>
      </c>
      <c r="G22" t="s">
        <v>98</v>
      </c>
    </row>
    <row r="23" spans="1:7" x14ac:dyDescent="0.3">
      <c r="A23" s="1"/>
      <c r="D23" t="s">
        <v>92</v>
      </c>
      <c r="F23" s="1" t="s">
        <v>111</v>
      </c>
      <c r="G23" t="s">
        <v>298</v>
      </c>
    </row>
    <row r="24" spans="1:7" x14ac:dyDescent="0.3">
      <c r="A24" s="1"/>
      <c r="C24" t="s">
        <v>87</v>
      </c>
      <c r="F24" s="1" t="s">
        <v>96</v>
      </c>
      <c r="G24" t="s">
        <v>96</v>
      </c>
    </row>
    <row r="25" spans="1:7" x14ac:dyDescent="0.3">
      <c r="A25" s="1"/>
      <c r="D25" t="s">
        <v>92</v>
      </c>
      <c r="F25" s="1" t="s">
        <v>111</v>
      </c>
      <c r="G25" t="s">
        <v>297</v>
      </c>
    </row>
    <row r="26" spans="1:7" x14ac:dyDescent="0.3">
      <c r="A26" s="1"/>
      <c r="C26" t="s">
        <v>90</v>
      </c>
      <c r="F26" s="1" t="s">
        <v>99</v>
      </c>
      <c r="G26" t="s">
        <v>99</v>
      </c>
    </row>
    <row r="27" spans="1:7" x14ac:dyDescent="0.3">
      <c r="A27" s="1"/>
      <c r="C27" t="s">
        <v>266</v>
      </c>
      <c r="F27" s="1" t="s">
        <v>267</v>
      </c>
      <c r="G27" t="s">
        <v>267</v>
      </c>
    </row>
    <row r="28" spans="1:7" x14ac:dyDescent="0.3">
      <c r="A28" s="1"/>
      <c r="D28" t="s">
        <v>268</v>
      </c>
      <c r="F28" s="1" t="s">
        <v>270</v>
      </c>
      <c r="G28" t="s">
        <v>290</v>
      </c>
    </row>
    <row r="29" spans="1:7" x14ac:dyDescent="0.3">
      <c r="A29" s="1"/>
      <c r="D29" t="s">
        <v>271</v>
      </c>
      <c r="F29" s="1" t="s">
        <v>269</v>
      </c>
      <c r="G29" t="s">
        <v>291</v>
      </c>
    </row>
    <row r="30" spans="1:7" x14ac:dyDescent="0.3">
      <c r="A30" s="1"/>
      <c r="D30" t="s">
        <v>272</v>
      </c>
      <c r="F30" s="1" t="s">
        <v>275</v>
      </c>
      <c r="G30" t="s">
        <v>292</v>
      </c>
    </row>
    <row r="31" spans="1:7" x14ac:dyDescent="0.3">
      <c r="A31" s="1"/>
      <c r="D31" t="s">
        <v>273</v>
      </c>
      <c r="F31" s="1" t="s">
        <v>276</v>
      </c>
      <c r="G31" t="s">
        <v>293</v>
      </c>
    </row>
    <row r="32" spans="1:7" x14ac:dyDescent="0.3">
      <c r="A32" s="1"/>
      <c r="D32" t="s">
        <v>274</v>
      </c>
      <c r="F32" s="1" t="s">
        <v>277</v>
      </c>
      <c r="G32" t="s">
        <v>294</v>
      </c>
    </row>
    <row r="33" spans="1:8" x14ac:dyDescent="0.3">
      <c r="A33" s="1"/>
      <c r="D33" t="s">
        <v>279</v>
      </c>
      <c r="F33" s="1" t="s">
        <v>278</v>
      </c>
      <c r="G33" t="s">
        <v>295</v>
      </c>
    </row>
    <row r="34" spans="1:8" x14ac:dyDescent="0.3">
      <c r="A34" s="1"/>
      <c r="C34" t="s">
        <v>301</v>
      </c>
      <c r="F34" s="1" t="s">
        <v>302</v>
      </c>
      <c r="G34" t="s">
        <v>302</v>
      </c>
    </row>
    <row r="35" spans="1:8" x14ac:dyDescent="0.3">
      <c r="A35" s="1"/>
      <c r="D35" t="s">
        <v>304</v>
      </c>
      <c r="F35" s="1" t="s">
        <v>305</v>
      </c>
      <c r="G35" t="s">
        <v>306</v>
      </c>
    </row>
    <row r="36" spans="1:8" x14ac:dyDescent="0.3">
      <c r="A36" s="1"/>
      <c r="D36" t="s">
        <v>93</v>
      </c>
      <c r="F36" s="1" t="s">
        <v>101</v>
      </c>
      <c r="G36" t="s">
        <v>307</v>
      </c>
    </row>
    <row r="37" spans="1:8" x14ac:dyDescent="0.3">
      <c r="A37" s="1"/>
      <c r="D37" t="s">
        <v>308</v>
      </c>
      <c r="F37" s="1" t="s">
        <v>309</v>
      </c>
      <c r="G37" t="s">
        <v>310</v>
      </c>
    </row>
    <row r="38" spans="1:8" x14ac:dyDescent="0.3">
      <c r="A38" s="1"/>
      <c r="D38" t="s">
        <v>311</v>
      </c>
      <c r="F38" s="1" t="s">
        <v>312</v>
      </c>
      <c r="G38" t="s">
        <v>313</v>
      </c>
    </row>
    <row r="39" spans="1:8" x14ac:dyDescent="0.3">
      <c r="A39" s="1"/>
      <c r="D39" t="s">
        <v>315</v>
      </c>
      <c r="F39" s="1" t="s">
        <v>316</v>
      </c>
      <c r="G39" t="s">
        <v>317</v>
      </c>
    </row>
    <row r="40" spans="1:8" x14ac:dyDescent="0.3">
      <c r="A40" s="1"/>
      <c r="C40" t="s">
        <v>314</v>
      </c>
      <c r="F40" s="1" t="s">
        <v>296</v>
      </c>
      <c r="G40" t="s">
        <v>296</v>
      </c>
    </row>
    <row r="41" spans="1:8" x14ac:dyDescent="0.3">
      <c r="A41" s="1"/>
      <c r="D41" t="s">
        <v>299</v>
      </c>
      <c r="F41" s="1" t="s">
        <v>299</v>
      </c>
      <c r="G41" t="s">
        <v>300</v>
      </c>
      <c r="H41" t="s">
        <v>318</v>
      </c>
    </row>
    <row r="42" spans="1:8" x14ac:dyDescent="0.3">
      <c r="A42" s="1"/>
      <c r="C42" t="s">
        <v>320</v>
      </c>
      <c r="F42" s="1" t="s">
        <v>333</v>
      </c>
      <c r="G42" t="s">
        <v>333</v>
      </c>
    </row>
    <row r="43" spans="1:8" x14ac:dyDescent="0.3">
      <c r="A43" s="1"/>
      <c r="D43" t="s">
        <v>321</v>
      </c>
      <c r="F43" s="1" t="s">
        <v>327</v>
      </c>
      <c r="G43" t="s">
        <v>334</v>
      </c>
    </row>
    <row r="44" spans="1:8" x14ac:dyDescent="0.3">
      <c r="A44" s="1"/>
      <c r="D44" t="s">
        <v>323</v>
      </c>
      <c r="F44" s="1" t="s">
        <v>328</v>
      </c>
      <c r="G44" t="s">
        <v>335</v>
      </c>
    </row>
    <row r="45" spans="1:8" x14ac:dyDescent="0.3">
      <c r="A45" s="1"/>
      <c r="D45" t="s">
        <v>322</v>
      </c>
      <c r="F45" s="1" t="s">
        <v>329</v>
      </c>
      <c r="G45" t="s">
        <v>336</v>
      </c>
    </row>
    <row r="46" spans="1:8" x14ac:dyDescent="0.3">
      <c r="A46" s="1"/>
      <c r="D46" t="s">
        <v>325</v>
      </c>
      <c r="F46" s="1" t="s">
        <v>330</v>
      </c>
      <c r="G46" t="s">
        <v>337</v>
      </c>
    </row>
    <row r="47" spans="1:8" x14ac:dyDescent="0.3">
      <c r="A47" s="1"/>
      <c r="D47" t="s">
        <v>343</v>
      </c>
      <c r="F47" s="1" t="s">
        <v>344</v>
      </c>
      <c r="G47" t="s">
        <v>345</v>
      </c>
    </row>
    <row r="48" spans="1:8" x14ac:dyDescent="0.3">
      <c r="A48" s="1"/>
      <c r="D48" t="s">
        <v>326</v>
      </c>
      <c r="F48" s="1" t="s">
        <v>331</v>
      </c>
      <c r="G48" t="s">
        <v>338</v>
      </c>
    </row>
    <row r="49" spans="1:7" x14ac:dyDescent="0.3">
      <c r="A49" s="1"/>
      <c r="D49" t="s">
        <v>324</v>
      </c>
      <c r="F49" s="1" t="s">
        <v>332</v>
      </c>
      <c r="G49" t="s">
        <v>339</v>
      </c>
    </row>
    <row r="50" spans="1:7" x14ac:dyDescent="0.3">
      <c r="A50" s="1"/>
      <c r="D50" t="s">
        <v>340</v>
      </c>
      <c r="F50" s="1" t="s">
        <v>341</v>
      </c>
      <c r="G50" t="s">
        <v>342</v>
      </c>
    </row>
    <row r="51" spans="1:7" x14ac:dyDescent="0.3">
      <c r="A51" s="1"/>
    </row>
    <row r="52" spans="1:7" x14ac:dyDescent="0.3">
      <c r="A52" s="1"/>
      <c r="B52" t="s">
        <v>83</v>
      </c>
    </row>
    <row r="53" spans="1:7" x14ac:dyDescent="0.3">
      <c r="A53" s="1"/>
      <c r="B53" t="s">
        <v>80</v>
      </c>
    </row>
    <row r="54" spans="1:7" x14ac:dyDescent="0.3">
      <c r="A54" s="1"/>
      <c r="C54" s="17" t="s">
        <v>77</v>
      </c>
    </row>
    <row r="55" spans="1:7" x14ac:dyDescent="0.3">
      <c r="A55" s="1"/>
      <c r="C55" s="16" t="s">
        <v>78</v>
      </c>
    </row>
    <row r="56" spans="1:7" x14ac:dyDescent="0.3">
      <c r="A56" s="1"/>
      <c r="C56" s="16" t="s">
        <v>79</v>
      </c>
    </row>
    <row r="57" spans="1:7" x14ac:dyDescent="0.3">
      <c r="A57" s="1"/>
      <c r="B57" t="s">
        <v>103</v>
      </c>
      <c r="C57" s="16"/>
    </row>
    <row r="58" spans="1:7" x14ac:dyDescent="0.3">
      <c r="A58" s="1"/>
      <c r="C58" s="16" t="s">
        <v>104</v>
      </c>
    </row>
    <row r="59" spans="1:7" x14ac:dyDescent="0.3">
      <c r="A59" s="1"/>
      <c r="C59" s="16" t="s">
        <v>105</v>
      </c>
    </row>
    <row r="60" spans="1:7" x14ac:dyDescent="0.3">
      <c r="A60" s="1"/>
      <c r="C60" s="16" t="s">
        <v>106</v>
      </c>
    </row>
    <row r="61" spans="1:7" x14ac:dyDescent="0.3">
      <c r="A61" s="1"/>
      <c r="C61" s="16" t="s">
        <v>108</v>
      </c>
    </row>
    <row r="62" spans="1:7" x14ac:dyDescent="0.3">
      <c r="A62" s="1"/>
      <c r="C62" s="16" t="s">
        <v>110</v>
      </c>
    </row>
    <row r="63" spans="1:7" x14ac:dyDescent="0.3">
      <c r="A63" s="1"/>
      <c r="C63" s="16" t="s">
        <v>109</v>
      </c>
    </row>
    <row r="64" spans="1:7" x14ac:dyDescent="0.3">
      <c r="A64" s="1"/>
      <c r="C64" s="16" t="s">
        <v>107</v>
      </c>
    </row>
    <row r="65" spans="2:14" ht="21" customHeight="1" x14ac:dyDescent="0.3">
      <c r="B65" s="19" t="s">
        <v>75</v>
      </c>
    </row>
    <row r="66" spans="2:14" ht="21" customHeight="1" x14ac:dyDescent="0.3">
      <c r="B66" s="59" t="s">
        <v>227</v>
      </c>
    </row>
    <row r="67" spans="2:14" ht="15" thickBot="1" x14ac:dyDescent="0.35">
      <c r="C67" s="1" t="s">
        <v>69</v>
      </c>
      <c r="D67" s="1" t="s">
        <v>203</v>
      </c>
      <c r="E67" s="1" t="s">
        <v>204</v>
      </c>
      <c r="F67" s="1" t="s">
        <v>195</v>
      </c>
      <c r="G67" s="1" t="s">
        <v>196</v>
      </c>
      <c r="H67" s="1" t="s">
        <v>197</v>
      </c>
      <c r="I67" s="1" t="s">
        <v>198</v>
      </c>
      <c r="J67" s="1" t="s">
        <v>202</v>
      </c>
      <c r="K67" s="1" t="s">
        <v>205</v>
      </c>
      <c r="L67" s="1" t="s">
        <v>206</v>
      </c>
      <c r="M67" s="1" t="s">
        <v>207</v>
      </c>
      <c r="N67" s="1" t="s">
        <v>223</v>
      </c>
    </row>
    <row r="68" spans="2:14" s="15" customFormat="1" ht="21.75" customHeight="1" thickBot="1" x14ac:dyDescent="0.35">
      <c r="B68" s="49" t="s">
        <v>222</v>
      </c>
      <c r="C68" s="48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prod.Inventory.CKD
{
	[Table("InvCkdPartGrade")]
	public class InvCkdPartGrade: FullAuditedEntity&lt;long&gt;, IEntity&lt;long&gt;	
	{
		public const int MaxPartNoLength = 50;
		public const int MaxModelLength = 10;
		public const int MaxCfcLength = 4;
		public const int MaxGradeLength = 3;
		public const int MaxIdLineLength = 10;
		public const int MaxShopLength = 1;
		public const int MaxBodyColorLength = 100;
		public const int MaxStartLotLength = 10;
		public const int MaxEndLotLength = 10;
		public const int MaxStartRunLength = 10;
		public const int MaxEndRunLength = 10;
		public const int MaxOrderPatternLength = 10;
		public const int MaxRemarkLength = 5000;
		public const int MaxIsActiveLength = 1;
		[StringLength(MaxPartNoLength)]
		public virtual string PartNo { get; set; }
		public virtual long? PartId { get; set; }
		[StringLength(MaxModelLength)]
		public virtual string Model { get; set; }
		[StringLength(MaxCfcLength)]
		public virtual string Cfc { get; set; }
		[StringLength(MaxGradeLength)]
		public virtual string Grade { get; set; }
		[StringLength(MaxIdLineLength)]
		public virtual string IdLine { get; set; }
		[StringLength(MaxShopLength)]
		public virtual string Shop { get; set; }
		[StringLength(MaxBodyColorLength)]
		public virtual string BodyColor { get; set; }
		public virtual decimal? UsageQty { get; set; }
		[StringLength(MaxStartLotLength)]
		public virtual string StartLot { get; set; }
		[StringLength(MaxEndLotLength)]
		public virtual string EndLot { get; set; }
		[StringLength(MaxStartRunLength)]
		public virtual string StartRun { get; set; }
		[StringLength(MaxEndRunLength)]
		public virtual string EndRun { get; set; }
		[Column(TypeName="DATE")]
		public virtual DateTime? EfFromPart { get; set; }
		[Column(TypeName="DATE")]
		public virtual DateTime? EfToPart { get; set; }
		[StringLength(MaxOrderPatternLength)]
		public virtual string OrderPattern { get; set; }
		[StringLength(MaxRemarkLength)]
		public virtual string Remark { get; set; }
		[StringLength(MaxIsActiveLength)]
		public virtual string IsActive { get; set; }
	}
}
</v>
      </c>
      <c r="D68" s="48" t="str">
        <f>A.Backend!O7</f>
        <v xml:space="preserve">		public const string Pages_Inventory_CKD_PartGrade = "Pages.Inventory.CKD.PartGrade";
		public const string Pages_Inventory_CKD_PartGrade_CreateEdit = "Pages.Inventory.CKD.PartGrade.CreateEdit";
		public const string Pages_Inventory_CKD_PartGrade_Delete = "Pages.Inventory.CKD.PartGrade.Delete";
</v>
      </c>
      <c r="E68" s="48" t="str">
        <f>A.Backend!N7</f>
        <v xml:space="preserve">		var perInvCkdPartGrade = PARENTS.CreateChildPermission(AppPermissions.Pages_Inventory_CKD_PartGrade, L( "InventoryCKDPartGrade"), multiTenancySides: MultiTenancySides.Tenant);
		perInvCkdPartGrade.CreateChildPermission(AppPermissions.Pages_Inventory_CKD_PartGrade_CreateEdit, L( "InventoryCKDPartGradeCreateEdit"), multiTenancySides: MultiTenancySides.Tenant);
		perInvCkdPartGrade.CreateChildPermission(AppPermissions.Pages_Inventory_CKD_PartGrade_Delete, L( "InventoryCKDPartGradeDelete"), multiTenancySides: MultiTenancySides.Tenant);</v>
      </c>
      <c r="F68" s="48" t="str">
        <f>A.Backend!K7</f>
        <v>public virtual DbSet&lt;InvCkdPartGrade&gt; InvCkdPartGrades { get; set; }</v>
      </c>
      <c r="G68" s="48" t="str">
        <f ca="1">A.Backend!L7</f>
        <v xml:space="preserve">namespace prod.Inventory.CKD
{
	public class InvCkdPartGradeConsts	
	{
		public const int MaxPartNoLength = 50;
		public const int MaxModelLength = 10;
		public const int MaxCfcLength = 4;
		public const int MaxGradeLength = 3;
		public const int MaxIdLineLength = 10;
		public const int MaxShopLength = 1;
		public const int MaxBodyColorLength = 100;
		public const int MaxStartLotLength = 10;
		public const int MaxEndLotLength = 10;
		public const int MaxStartRunLength = 10;
		public const int MaxEndRunLength = 10;
		public const int MaxOrderPatternLength = 10;
		public const int MaxRemarkLength = 5000;
		public const int MaxIsActiveLength = 1;
		// Define Store Name: Format SP_ + &lt;Store Name&gt; = &lt;Store Name&gt;
	}
}
</v>
      </c>
      <c r="H68" s="48" t="str">
        <f ca="1">A.Backend!M7</f>
        <v xml:space="preserve">using Abp.Application.Services.Dto;
using System;
using System.ComponentModel.DataAnnotations;
namespace prod.Inventory.CKD.Dto
{
	public class InvCkdPartGradeDto : EntityDto&lt;long?&gt;	
	{
		public virtual string PartNo { get; set; }
		public virtual long? PartId { get; set; }
		public virtual string Model { get; set; }
		public virtual string Cfc { get; set; }
		public virtual string Grade { get; set; }
		public virtual string IdLine { get; set; }
		public virtual string Shop { get; set; }
		public virtual string BodyColor { get; set; }
		public virtual decimal? UsageQty { get; set; }
		public virtual string StartLot { get; set; }
		public virtual string EndLot { get; set; }
		public virtual string StartRun { get; set; }
		public virtual string EndRun { get; set; }
		public virtual DateTime? EfFromPart { get; set; }
		public virtual DateTime? EfToPart { get; set; }
		public virtual string OrderPattern { get; set; }
		public virtual string Remark { get; set; }
		public virtual string IsActive { get; set; }
	}
	public class CreateOrEditInvCkdPartGradeDto : EntityDto&lt;long?&gt;	
	{
		[StringLength(InvCkdPartGradeConsts.MaxPartNoLength)]
		public virtual string PartNo { get; set; }
		public virtual long? PartId { get; set; }
		[StringLength(InvCkdPartGradeConsts.MaxModelLength)]
		public virtual string Model { get; set; }
		[StringLength(InvCkdPartGradeConsts.MaxCfcLength)]
		public virtual string Cfc { get; set; }
		[StringLength(InvCkdPartGradeConsts.MaxGradeLength)]
		public virtual string Grade { get; set; }
		[StringLength(InvCkdPartGradeConsts.MaxIdLineLength)]
		public virtual string IdLine { get; set; }
		[StringLength(InvCkdPartGradeConsts.MaxShopLength)]
		public virtual string Shop { get; set; }
		[StringLength(InvCkdPartGradeConsts.MaxBodyColorLength)]
		public virtual string BodyColor { get; set; }
		public virtual decimal? UsageQty { get; set; }
		[StringLength(InvCkdPartGradeConsts.MaxStartLotLength)]
		public virtual string StartLot { get; set; }
		[StringLength(InvCkdPartGradeConsts.MaxEndLotLength)]
		public virtual string EndLot { get; set; }
		[StringLength(InvCkdPartGradeConsts.MaxStartRunLength)]
		public virtual string StartRun { get; set; }
		[StringLength(InvCkdPartGradeConsts.MaxEndRunLength)]
		public virtual string EndRun { get; set; }
		public virtual DateTime? EfFromPart { get; set; }
		public virtual DateTime? EfToPart { get; set; }
		[StringLength(InvCkdPartGradeConsts.MaxOrderPatternLength)]
		public virtual string OrderPattern { get; set; }
		[StringLength(InvCkdPartGradeConsts.MaxRemarkLength)]
		public virtual string Remark { get; set; }
		[StringLength(InvCkdPartGradeConsts.MaxIsActiveLength)]
		public virtual string IsActive { get; set; }
	}
	public class GetInvCkdPartGradeInput : PagedAndSortedResultRequestDto	
	{
		public virtual string PartNo { get; set; }
		public virtual string Model { get; set; }
		public virtual string Cfc { get; set; }
		public virtual string Grade { get; set; }
		public virtual string IdLine { get; set; }
		public virtual string Shop { get; set; }
		public virtual string BodyColor { get; set; }
		public virtual string StartLot { get; set; }
		public virtual string EndLot { get; set; }
		public virtual string StartRun { get; set; }
		public virtual string EndRun { get; set; }
		public virtual string OrderPattern { get; set; }
		public virtual string Remark { get; set; }
		public virtual string IsActive { get; set; }
	}
}
</v>
      </c>
      <c r="I68" s="48" t="str">
        <f ca="1">A.Backend!R7</f>
        <v xml:space="preserve">using Abp.Application.Services.Dto;
using System;
using System.ComponentModel.DataAnnotations;
namespace prod.Inventory.CKD.Dto
{
	public class InvCkdPartGradeExportInput{
		public virtual string PartNo { get; set; }
		public virtual long? PartId { get; set; }
		public virtual string Model { get; set; }
		public virtual string Cfc { get; set; }
		public virtual string Grade { get; set; }
		public virtual string IdLine { get; set; }
		public virtual string Shop { get; set; }
		public virtual string BodyColor { get; set; }
		public virtual decimal? UsageQty { get; set; }
		public virtual string StartLot { get; set; }
		public virtual string EndLot { get; set; }
		public virtual string StartRun { get; set; }
		public virtual string EndRun { get; set; }
		public virtual DateTime? EfFromPart { get; set; }
		public virtual DateTime? EfToPart { get; set; }
		public virtual string OrderPattern { get; set; }
		public virtual string Remark { get; set; }
		public virtual string IsActive { get; set; }
	}
}
</v>
      </c>
      <c r="J68" s="48" t="str">
        <f>A.Backend!P7</f>
        <v xml:space="preserve">using Abp.Application.Services;
using Abp.Application.Services.Dto;
using System.Collections.Generic;using vovina.Dto;
using System.Threading.Tasks;
using vovina.Inventory.CKD.Dto;
namespace prod.Inventory.CKD
{
	public interface IInvCkdPartGradeAppService : IApplicationService
	{
		Task&lt;PagedResultDto&lt;InvCkdPartGradeDto&gt;&gt; GetAll(GetInvCkdPartGradeInput input);
		Task CreateOrEdit(CreateOrEditInvCkdPartGradeDto input);
		Task Delete(EntityDto input);
	}
}
</v>
      </c>
      <c r="K68" s="48" t="str">
        <f>A.Backend!S7</f>
        <v xml:space="preserve">using Abp.Application.Services;
using Abp.Application.Services.Dto;
using System.Collections.Generic;using vovina.Dto;
using System.Threading.Tasks;
using vovina.Inventory.CKD.Dto;
namespace prod.Inventory.CKD.Exporting
{
	public interface IInvCkdPartGradeExcelExporter : IApplicationService
	{
		FileDto ExportToFile(List&lt;InvCkdPartGradeDto&gt; invckdpartgrade);
	}
}
</v>
      </c>
      <c r="L68" s="48" t="str">
        <f ca="1">A.Backend!T7</f>
        <v>using System.Collections.Generic;
using vovina.DataExporting.Excel.NPOI;
using vovina.Dto;
using vovina.Inventory.CKD.Exporting;
using vovina.Inventory.CKD.Dto;
using vovina.Storage;
using vovina.Inventory.CKD.Dto;
namespace vovina.Inventory.CKD.Exporting
{
    public class InvCkdPartGradeExcelExporter : NpoiExcelExporterBase, IInvCkdPartGradeExcelExporter
    {
        public InvCkdPartGradeExcelExporter(ITempFileCacheManager tempFileCacheManager) : base(tempFileCacheManager) { }
        public FileDto ExportToFile(List&lt;InvCkdPartGradeDto&gt; partgrade)
        {
            return CreateExcelPackage(
				"InventoryCKDPartGrade.xlsx",
				excelPackage =&gt;
				 {
					var sheet = excelPackage.CreateSheet("PartGrade");
					AddHeader(
								sheet,
								("PartNo"),
								("PartId"),
								("Model"),
								("Cfc"),
								("Grade"),
								("IdLine"),
								("Shop"),
								("BodyColor"),
								("UsageQty"),
								("StartLot"),
								("EndLot"),
								("StartRun"),
								("EndRun"),
								("EfFromPart"),
								("EfToPart"),
								("OrderPattern"),
								("Remark"),
								("IsActive"),
							   );
					AddObjects(
						 sheet, 1, partgrade,                                       
								_ =&gt; _.PartNo,
								_ =&gt; _.PartId,
								_ =&gt; _.Model,
								_ =&gt; _.Cfc,
								_ =&gt; _.Grade,
								_ =&gt; _.IdLine,
								_ =&gt; _.Shop,
								_ =&gt; _.BodyColor,
								_ =&gt; _.UsageQty,
								_ =&gt; _.StartLot,
								_ =&gt; _.EndLot,
								_ =&gt; _.StartRun,
								_ =&gt; _.EndRun,
								_ =&gt; _.EfFromPart,
								_ =&gt; _.EfToPart,
								_ =&gt; _.OrderPattern,
								_ =&gt; _.Remark,
								_ =&gt; _.IsActive,
								);
			for (var i = 0; i &lt; 8; i++)
				{
					sheet.AutoSizeColumn(i);
				}
			});
        }
    }
}</v>
      </c>
      <c r="M68" s="55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vovina.Inventory.CKD.Dto;
using vovina.Inventory.CKD.Exporting;
namespace vovina.Inventory.CKD
{
    [AbpAuthorize(AppPermissions.Pages_Inventory_CKD_PartGrade)]
    public class InvCkdPartGradeAppService : vovinaAppServiceBase, IInvCkdPartGradeAppService
    {
        private readonly IDapperRepository&lt;InvCkdPartGrade, long&gt; _dapperRepo;
        private readonly IRepository&lt;InvCkdPartGrade, long&gt; _repo;
        private readonly IInvCkdPartGradeExcelExporter _calendarListExcelExporter;
        public InvCkdPartGradeAppService(IRepository&lt;InvCkdPartGrade,long&gt; repo, 
                                         IDapperRepository&lt;InvCkdPartGrade,long&gt; dapperRepo,
                                        IInvCkdPartGradeExcelExporter calendarListExcelExporter
            )
        {
            _repo = repo;
            _dapperRepo = dapperRepo;
            _calendarListExcelExporter = calendarListExcelExporter;
        }
        [AbpAuthorize(AppPermissions.Pages_Inventory_CKD_PartGrade_CreateEdit)]
        public async Task CreateOrEdit(CreateOrEditInvCkdPartGradeDto input)
        {
            if (input.Id == null) await Create(input);
            else await Update(input);
        }
        //CREATE
        private async Task Create(CreateOrEditInvCkdPartGradeDto input)
        {          
            var mainObj = ObjectMapper.Map&lt;InvCkdPartGrade&gt;(input);
            await CurrentUnitOfWork.GetDbContext&lt;vovinaDbContext&gt;().AddAsync(mainObj);
        }
        // EDIT
        private async Task Update(CreateOrEditInvCkdPartGradeDto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[AbpAuthorize(AppPermissions.Pages_Inventory_CKD_PartGrade_Delete)]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Task&lt;PagedResultDto&lt;InvCkdPartGradeDto&gt;&gt; GetAll(GetInvCkdPartGradeInput input)
        {
            var filtered = _repo.GetAll()
				.WhereIf(!string.IsNullOrWhiteSpace(input.PartNo), e =&gt; e.PartNo.Contains(input.PartNo))
				.WhereIf(!string.IsNullOrWhiteSpace(input.Model), e =&gt; e.Model.Contains(input.Model))
				.WhereIf(!string.IsNullOrWhiteSpace(input.Cfc), e =&gt; e.Cfc.Contains(input.Cfc))
				.WhereIf(!string.IsNullOrWhiteSpace(input.Grade), e =&gt; e.Grade.Contains(input.Grade))
				.WhereIf(!string.IsNullOrWhiteSpace(input.IdLine), e =&gt; e.IdLine.Contains(input.IdLine))
				.WhereIf(!string.IsNullOrWhiteSpace(input.Shop), e =&gt; e.Shop.Contains(input.Shop))
				.WhereIf(!string.IsNullOrWhiteSpace(input.BodyColor), e =&gt; e.BodyColor.Contains(input.BodyColor))
				.WhereIf(!string.IsNullOrWhiteSpace(input.StartLot), e =&gt; e.StartLot.Contains(input.StartLot))
				.WhereIf(!string.IsNullOrWhiteSpace(input.EndLot), e =&gt; e.EndLot.Contains(input.EndLot))
				.WhereIf(!string.IsNullOrWhiteSpace(input.StartRun), e =&gt; e.StartRun.Contains(input.StartRun))
				.WhereIf(!string.IsNullOrWhiteSpace(input.EndRun), e =&gt; e.EndRun.Contains(input.EndRun))
				.WhereIf(!string.IsNullOrWhiteSpace(input.OrderPattern), e =&gt; e.OrderPattern.Contains(input.OrderPattern))
				.WhereIf(!string.IsNullOrWhiteSpace(input.Remark), e =&gt; e.Remark.Contains(input.Remark))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InvCkdPartGradeDto
                        {
							Id = o.Id,
							PartNo = o.PartNo,
							PartId = o.PartId,
							Model = o.Model,
							Cfc = o.Cfc,
							Grade = o.Grade,
							IdLine = o.IdLine,
							Shop = o.Shop,
							BodyColor = o.BodyColor,
							UsageQty = o.UsageQty,
							StartLot = o.StartLot,
							EndLot = o.EndLot,
							StartRun = o.StartRun,
							EndRun = o.EndRun,
							EfFromPart = o.EfFromPart,
							EfToPart = o.EfToPart,
							OrderPattern = o.OrderPattern,
							Remark = o.Remark,
							IsActive = o.IsActive,
                        };
            var totalCount = await filtered.CountAsync();
			var paged = system.PageBy(input);
            return new PagedResultDto&lt;InvCkdPartGradeDto&gt;(
                totalCount,
                 await paged.ToListAsync()
            );
        }
        public async Task&lt;FileDto&gt; GetPartGradeToExcel(InvCkdPartGradeExportInput input)
        {
            var query = from o in _repo.GetAll()
                        select new InvCkdPartGradeDto
                        {
							Id = o.Id,
							PartNo = o.PartNo,
							PartId = o.PartId,
							Model = o.Model,
							Cfc = o.Cfc,
							Grade = o.Grade,
							IdLine = o.IdLine,
							Shop = o.Shop,
							BodyColor = o.BodyColor,
							UsageQty = o.UsageQty,
							StartLot = o.StartLot,
							EndLot = o.EndLot,
							StartRun = o.StartRun,
							EndRun = o.EndRun,
							EfFromPart = o.EfFromPart,
							EfToPart = o.EfToPart,
							OrderPattern = o.OrderPattern,
							Remark = o.Remark,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_dapperRepo.ExecuteAsync(InvCkdPartGradeConsts.SP_MST_WPT_CALENDAR_GENERATE);
       // }
    }
}</v>
      </c>
      <c r="N68" s="58" t="str">
        <f>A.Backend!U7</f>
        <v xml:space="preserve">  configuration.CreateMap&lt;InvCkdPartGradeDto, InvCkdPartGrade&gt;();
  configuration.CreateMap&lt;InvCkdPartGrade, InvCkdPartGradeDto&gt;();
  configuration.CreateMap&lt;CreateOrEditInvCkdPartGradeDto, InvCkdPartGrade&gt;();</v>
      </c>
    </row>
    <row r="69" spans="2:14" s="15" customFormat="1" ht="21.75" customHeight="1" x14ac:dyDescent="0.3">
      <c r="C69" s="60"/>
      <c r="H69" s="61"/>
      <c r="I69" s="61"/>
      <c r="M69" s="61"/>
    </row>
    <row r="70" spans="2:14" s="15" customFormat="1" ht="21.75" customHeight="1" x14ac:dyDescent="0.3"/>
    <row r="71" spans="2:14" s="15" customFormat="1" ht="21.75" customHeight="1" x14ac:dyDescent="0.3"/>
    <row r="72" spans="2:14" x14ac:dyDescent="0.3">
      <c r="B72" s="1" t="s">
        <v>70</v>
      </c>
    </row>
    <row r="73" spans="2:14" ht="21" x14ac:dyDescent="0.4">
      <c r="B73" t="str">
        <f>B.Frontend!B8</f>
        <v>partgrade</v>
      </c>
      <c r="C73" s="66" t="str">
        <f>"create folder " &amp;B73</f>
        <v>create folder partgrade</v>
      </c>
      <c r="D73" s="66"/>
      <c r="E73" s="66"/>
      <c r="F73" s="66"/>
      <c r="G73" s="66"/>
      <c r="H73" s="66"/>
      <c r="I73" s="66"/>
      <c r="J73" s="66"/>
      <c r="K73" s="67" t="s">
        <v>224</v>
      </c>
      <c r="L73" s="67"/>
      <c r="M73" s="28"/>
    </row>
    <row r="74" spans="2:14" s="26" customFormat="1" ht="18" customHeight="1" x14ac:dyDescent="0.3">
      <c r="B74" s="56" t="s">
        <v>225</v>
      </c>
      <c r="C74" s="28" t="str">
        <f>B.Frontend!H14</f>
        <v>partgrade.component.ts</v>
      </c>
      <c r="D74" s="28" t="str">
        <f>B.Frontend!I14</f>
        <v>partgrade.component.html</v>
      </c>
      <c r="E74" s="28" t="str">
        <f>B.Frontend!J14</f>
        <v>partgrade.component.less</v>
      </c>
      <c r="F74" s="28" t="str">
        <f>B.Frontend!K14</f>
        <v>create-or-edit-partgrade-modal.component.html</v>
      </c>
      <c r="G74" s="28" t="str">
        <f>B.Frontend!L14</f>
        <v>create-or-edit-partgrade-modal.component.ts</v>
      </c>
      <c r="H74" s="28" t="str">
        <f>B.Frontend!M14</f>
        <v>create-or-edit-partgrade-modal.component.less</v>
      </c>
      <c r="I74" s="28" t="str">
        <f>B.Frontend!N14</f>
        <v>partgrade.module.ts</v>
      </c>
      <c r="J74" s="28" t="str">
        <f>B.Frontend!O14</f>
        <v>partgrade-routing.module.ts</v>
      </c>
      <c r="K74" s="28" t="str">
        <f>B.Frontend!P14</f>
        <v>app.navigation.service.ts</v>
      </c>
      <c r="L74" s="28" t="str">
        <f>B.Frontend!Q14</f>
        <v>main.routing.module.ts</v>
      </c>
      <c r="M74" s="56" t="s">
        <v>228</v>
      </c>
    </row>
    <row r="75" spans="2:14" ht="21.75" customHeight="1" x14ac:dyDescent="0.3">
      <c r="B75" s="57" t="s">
        <v>222</v>
      </c>
      <c r="C75" s="46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InvCkdPartGradeDto, InvCkdPartGradeServiceProxy } from '@shared/service-proxies/service-proxies';
import { finalize } from 'rxjs/internal/operators/finalize';
import { CreateOrEditPartGradeModalComponent } from './create-or-edit-partgrade-modal.component';
import { DatePipe } from '@angular/common';
import { FileDownloadService } from '@shared/utils/file-download.service';
import ceil from 'lodash-es/ceil';
import { Paginator } from 'primeng/paginator';
@Component({
    templateUrl: './partgrade.component.html',
    styleUrls: ['./partgrade.component.less'],
})
export class PartGradeComponent extends AppComponentBase implements OnInit {
    @ViewChild('createOrEditModalPartGrade', { static: true }) createOrEditModalPartGrade:| CreateOrEditPartGradeModalComponent|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InvCkdPartGradeDto = new InvCkdPartGradeDto();
    saveSelectedRow: InvCkdPartGradeDto = new InvCkdPartGradeDto();
    datas: InvCkdPartGradeDto = new InvCkdPartGradeDto();
    isLoading: boolean = false;
    dataParams: GridParams | undefined;
    rowData: any[] = [];
    gridApi!: GridApi;
    rowSelection = 'multiple';
    filter: string = '';
	pipe = new DatePipe('en-US');
	frameworkComponents: FrameworkComponent;
    	partNo : string = '' ; 
	partId
	model : string = '' ; 
	cfc : string = '' ; 
	grade : string = '' ; 
	idLine : string = '' ; 
	shop : string = '' ; 
	bodyColor : string = '' ; 
	usageQty
	startLot : string = '' ; 
	endLot : string = '' ; 
	startRun : string = '' ; 
	endRun : string = '' ; 
	efFromPart
	efToPart
	orderPattern : string = '' ; 
	remark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InvCkdPartGradeServiceProxy,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this.l('Part No'),headerTooltip: this.l('Part No'),field: 'partNo',flex: 1},
			{headerName: this.l('Part Id'),headerTooltip: this.l('Part Id'),field: 'partId',flex: 1},
			{headerName: this.l('Model'),headerTooltip: this.l('Model'),field: 'model',flex: 1},
			{headerName: this.l('Cfc'),headerTooltip: this.l('Cfc'),field: 'cfc',flex: 1},
			{headerName: this.l('Grade'),headerTooltip: this.l('Grade'),field: 'grade',flex: 1},
			{headerName: this.l('Id Line'),headerTooltip: this.l('Id Line'),field: 'idLine',flex: 1},
			{headerName: this.l('Shop'),headerTooltip: this.l('Shop'),field:  'shop', cellClass: ['text-center'], width: 120, cellRenderer: 'agCellButtonComponent',
buttonDefTwo: { text: params =&gt; (params.data?.'shop' == 'Y') ? 'Active' : 'Inactive',iconName: 'fa fa-circle',className: params =&gt; (params.data?.'shop' == 'Y') ? 'btnActive' : 'btnInActive',},}
			{headerName: this.l('Body Color'),headerTooltip: this.l('Body Color'),field: 'bodyColor',flex: 1},
			{headerName: this.l('Usage Qty'),headerTooltip: this.l('Usage Qty'),field: 'usageQty',flex: 1},
			{headerName: this.l('Start Lot'),headerTooltip: this.l('Start Lot'),field: 'startLot',flex: 1},
			{headerName: this.l('End Lot'),headerTooltip: this.l('End Lot'),field: 'endLot',flex: 1},
			{headerName: this.l('Start Run'),headerTooltip: this.l('Start Run'),field: 'startRun',flex: 1},
			{headerName: this.l('End Run'),headerTooltip: this.l('End Run'),field: 'endRun',flex: 1},
			{headerName: this.l('Ef From Part'),headerTooltip: this.l('Ef From Part'),field: 'efFromPart',flex: 1},
			{headerName: this.l('Ef To Part'),headerTooltip: this.l('Ef To Part'),field: 'efToPart',flex: 1},
			{headerName: this.l('Order Pattern'),headerTooltip: this.l('Order Pattern'),field: 'orderPattern',flex: 1},
			{headerName: this.l('Remark'),headerTooltip: this.l('Remark'),field: 'remark',flex: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this.partNo,
			this.partId,
			this.model,
			this.cfc,
			this.grade,
			this.idLine,
			this.shop,
			this.bodyColor,
			this.usageQty,
			this.startLot,
			this.endLot,
			this.startRun,
			this.endRun,
			this.efFromPart,
			this.efToPart,
			this.orderPattern,
			this.remark,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this.partNo = '',
		this.partId = '',
		this.model = '',
		this.cfc = '',
		this.grade = '',
		this.idLine = '',
		this.shop = '',
		this.bodyColor = '',
		this.usageQty = '',
		this.startLot = '',
		this.endLot = '',
		this.startRun = '',
		this.endRun = '',
		this.efFromPart = '',
		this.efToPart = '',
		this.orderPattern = '',
		this.remark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this.partNo,
			this.partId,
			this.model,
			this.cfc,
			this.grade,
			this.idLine,
			this.shop,
			this.bodyColor,
			this.usageQty,
			this.startLot,
			this.endLot,
			this.startRun,
			this.endRun,
			this.efFromPart,
			this.efToPart,
			this.orderPattern,
			this.remark,
			this.isActive,
			'',
            this.paginationParams.skipCount,
            this.paginationParams.pageSize
        );
    }
    onChangeRowSelection(params: { api: { getSelectedRows: () =&gt; InvCkdPartGradeDto[] } }) {
        this.saveSelectedRow = params.api.getSelectedRows()[0] ?? new InvCkdPartGradeDto();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InvCkdPartGradeDto):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this._service.getPartGradeToExcel(
			this.partNo,
			this.partId,
			this.model,
			this.cfc,
			this.grade,
			this.idLine,
			this.shop,
			this.bodyColor,
			this.usageQty,
			this.startLot,
			this.endLot,
			this.startRun,
			this.endRun,
			this.efFromPart,
			this.efToPart,
			this.orderPattern,
			this.remark,
			this.isActive,
            )
            .subscribe((result) =&gt; {
                this._fileDownloadService.downloadTempFile(result);
        });
    }
}</v>
      </c>
      <c r="D75" s="46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Part Grade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[(ngModel)]='model' name='model'
									class='form-control' [placeholder]="l('Model')"
									type='text' (keyup.enter)='searchDatas()'&gt;
								&lt;/div&gt;
								&lt;div class='input-search'&gt;
									&lt;input [(ngModel)]='cfc' name='cfc'
									class='form-control' [placeholder]="l('Cfc')"
									type='text' (keyup.enter)='searchDatas()'&gt;
								&lt;/div&gt;
								&lt;div class='input-search'&gt;
									&lt;input [(ngModel)]='grade' name='grade'
									class='form-control' [placeholder]="l('Grade')"
									type='text' (keyup.enter)='searchDatas()'&gt;
								&lt;/div&gt;
								&lt;div class='input-search'&gt;
									&lt;input [(ngModel)]='idLine' name='idLine'
									class='form-control' [placeholder]="l('Id Line')"
									type='text' (keyup.enter)='searchDatas()'&gt;
								&lt;/div&gt;
								&lt;div class='input-search'&gt;
									&lt;input [(ngModel)]='shop' name='shop'
									class='form-control' [placeholder]="l('Shop')"
									type='text' (keyup.enter)='searchDatas()'&gt;
								&lt;/div&gt;
								&lt;div class='input-search'&gt;
									&lt;input [(ngModel)]='bodyColor' name='bodyColor'
									class='form-control' [placeholder]="l('Body Color')"
									type='text' (keyup.enter)='searchDatas()'&gt;
								&lt;/div&gt;
								&lt;div class='input-search'&gt;
									&lt;input [(ngModel)]='startLot' name='startLot'
									class='form-control' [placeholder]="l('Start Lot')"
									type='text' (keyup.enter)='searchDatas()'&gt;
								&lt;/div&gt;
								&lt;div class='input-search'&gt;
									&lt;input [(ngModel)]='endLot' name='endLot'
									class='form-control' [placeholder]="l('End Lot')"
									type='text' (keyup.enter)='searchDatas()'&gt;
								&lt;/div&gt;
								&lt;div class='input-search'&gt;
									&lt;input [(ngModel)]='startRun' name='startRun'
									class='form-control' [placeholder]="l('Start Run')"
									type='text' (keyup.enter)='searchDatas()'&gt;
								&lt;/div&gt;
								&lt;div class='input-search'&gt;
									&lt;input [(ngModel)]='endRun' name='endRun'
									class='form-control' [placeholder]="l('End Run')"
									type='text' (keyup.enter)='searchDatas()'&gt;
								&lt;/div&gt;
								&lt;div class='input-search'&gt;
									&lt;input [(ngModel)]='orderPattern' name='orderPattern'
									class='form-control' [placeholder]="l('Order Pattern')"
									type='text' (keyup.enter)='searchDatas()'&gt;
								&lt;/div&gt;
								&lt;div class='input-search'&gt;
									&lt;input [(ngModel)]='remark' name='remark'
									class='form-control' [placeholder]="l('Remark')"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(click)="createOrEditModalPartGrade.show()"&gt;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(click)="createOrEditModalPartGrade.show(selectedRow)"&gt;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&lt;create-or-edit-partgrade-modal
    #createOrEditModalPartGrade
    (modalSave)="callBackDataGrid(dataParams)"
    (modalClose)="onChangeRowSelection(dataParams)"
&gt;
&lt;/create-or-edit-partgrade-modal&gt;</v>
      </c>
      <c r="E75" s="46" t="str">
        <f>B.Frontend!J10</f>
        <v>.input-search{
    width: 250px;
    border-radius: 10px;
    margin-left: 10px;
}
.btn-search{
    width: 50px;
    margin-left: 10px;
}</v>
      </c>
      <c r="F75" s="46" t="str">
        <f ca="1">B.Frontend!K10</f>
        <v>&lt;div bsModal #createOrEditModalPartGrade="bs-modal"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PartGrade')}}&lt;/h3&gt;
                    &lt;h3 *ngIf="!rowdata.id"&gt;{{('Create New PartGrade')}}&lt;/h3&gt;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title'&gt;Model&lt;/label&gt;
						&lt;input type='text' class='col-md-10 form-control input-text' name='Model' [(ngModel)]='rowdata.model'&gt;
					&lt;/div&gt;
					&lt;div class='col-md-12 form-group row'&gt;
						&lt;label class='col-md-2 form-control title'&gt;Cfc&lt;/label&gt;
						&lt;input type='text' class='col-md-10 form-control input-text' name='Cfc' [(ngModel)]='rowdata.cfc'&gt;
					&lt;/div&gt;
					&lt;div class='col-md-12 form-group row'&gt;
						&lt;label class='col-md-2 form-control title'&gt;Grade&lt;/label&gt;
						&lt;input type='text' class='col-md-10 form-control input-text' name='Grade' [(ngModel)]='rowdata.grade'&gt;
					&lt;/div&gt;
					&lt;div class='col-md-12 form-group row'&gt;
						&lt;label class='col-md-2 form-control title'&gt;Id Line&lt;/label&gt;
						&lt;input type='text' class='col-md-10 form-control input-text' name='IdLine' [(ngModel)]='rowdata.idLine'&gt;
					&lt;/div&gt;
					&lt;div class='col-md-12 form-group row'&gt;
						&lt;label class='col-md-2 form-control title'&gt;Shop&lt;/label&gt;
						&lt;new-checkbox [(ngModel)]='_shop' name='shop' className='col-md-10' &gt; &lt;/new-checkbox&gt;
					&lt;/div&gt;
					&lt;div class='col-md-12 form-group row'&gt;
						&lt;label class='col-md-2 form-control title'&gt;Body Color&lt;/label&gt;
						&lt;input type='text' class='col-md-10 form-control input-text' name='BodyColor' [(ngModel)]='rowdata.bodyColor'&gt;
					&lt;/div&gt;
					&lt;div class='col-md-12 form-group row'&gt;
						&lt;label class='col-md-2 form-control title'&gt;Start Lot&lt;/label&gt;
						&lt;input type='text' class='col-md-10 form-control input-text' name='StartLot' [(ngModel)]='rowdata.startLot'&gt;
					&lt;/div&gt;
					&lt;div class='col-md-12 form-group row'&gt;
						&lt;label class='col-md-2 form-control title'&gt;End Lot&lt;/label&gt;
						&lt;input type='text' class='col-md-10 form-control input-text' name='EndLot' [(ngModel)]='rowdata.endLot'&gt;
					&lt;/div&gt;
					&lt;div class='col-md-12 form-group row'&gt;
						&lt;label class='col-md-2 form-control title'&gt;Start Run&lt;/label&gt;
						&lt;input type='text' class='col-md-10 form-control input-text' name='StartRun' [(ngModel)]='rowdata.startRun'&gt;
					&lt;/div&gt;
					&lt;div class='col-md-12 form-group row'&gt;
						&lt;label class='col-md-2 form-control title'&gt;End Run&lt;/label&gt;
						&lt;input type='text' class='col-md-10 form-control input-text' name='EndRun' [(ngModel)]='rowdata.endRun'&gt;
					&lt;/div&gt;
					&lt;div class='col-md-12 form-group row'&gt;
						&lt;label class='col-md-2 form-control title'&gt;Order Pattern&lt;/label&gt;
						&lt;input type='text' class='col-md-10 form-control input-text' name='OrderPattern' [(ngModel)]='rowdata.orderPattern'&gt;
					&lt;/div&gt;
					&lt;div class='col-md-12 form-group row'&gt;
						&lt;label class='col-md-2 form-control title'&gt;Remark&lt;/label&gt;
						&lt;input type='text' class='col-md-10 form-control input-text' name='Remark' [(ngModel)]='rowdata.remark'&gt;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75" s="46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CreateOrEditInvCkdPartGradeDto, InvCkdPartGradeServiceProxy } from '@shared/service-proxies/service-proxies';
import { BsDatepickerDirective } from 'ngx-bootstrap/datepicker';
@Component({
    selector: 'create-or-edit-partgrade-modal',
    templateUrl: './create-or-edit-partgrade-modal.component.html',
    styleUrls: ['./create-or-edit-partgrade-modal.component.less']
    })
export class CreateOrEditPartGradeModalComponent extends AppComponentBase {
    @ViewChild('createOrEditModalPartGrade',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CreateOrEditInvCkdPartGradeDto = new CreateOrEditInvCkdPartGradeDto();
    active: boolean = false;
    saving: boolean = false;
    _shop
isActive: boolean;
    constructor(
        injector: Injector,
        private _mstwptPartGradeService: InvCkdPartGradeServiceProxy,
    ) 
    {
        super(injector);
    }
    show(rowdata?: CreateOrEditInvCkdPartGradeDto): void {
        if (!rowdata) this.rowdata = new CreateOrEditInvCkdPartGradeDto();
        else this.rowdata = rowdata;
        this._shop
isActive = (this.rowdata.shop
isActive == "N")? false: true;
        this.active = true;
        this.modal.show();
    } 
    changeActive(event){
        this._shop
isActive = event.target.checked;
    }
    save(): void {
    this.saving = true; 
    this.rowdata.shop
isActive = (this._shop
isActive == true) ? 'Y' : 'N'
    this._mstwptPartGradeService.createOrEdit(this.rowdata)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75" s="46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5" s="46" t="str">
        <f>B.Frontend!N10</f>
        <v>import {NgModule} from '@angular/core';
import {AppSharedModule} from '@app/shared/app-shared.module';
import { PartGradeRoutingModule } from './partgrade-routing.module';
import { PartGradeComponent } from './partgrade.component';
import { CreateOrEditPartGradeModalComponent } from './create-or-edit-partgrade-modal.component';
@NgModule({
    declarations: [
       PartGradeComponent, 
        CreateOrEditPartGradeModalComponent
    ],
    imports: [
        AppSharedModule, PartGradeRoutingModule]
})
export class PartGradeModule {}</v>
      </c>
      <c r="J75" s="46" t="str">
        <f>B.Frontend!O10</f>
        <v>import {NgModule} from '@angular/core';
import {RouterModule, Routes} from '@angular/router';
import { PartGradeComponent } from './partgrade.component';
const routes: Routes = [{
    path: '',
    component: PartGradeComponent,
    pathMatch: 'full'
}];
@NgModule({
    imports: [RouterModule.forChild(routes)],
    exports: [RouterModule],
})
export class PartGradeRoutingModule {}</v>
      </c>
      <c r="K75" s="46" t="str">
        <f>B.Frontend!P10</f>
        <v xml:space="preserve"> new AppMenuItem("PartGrade", "Pages.Inventory.CKD.PartGrade", "flaticon-book",   "/app/main/inventory/ckd/partgrade"),</v>
      </c>
      <c r="L75" s="47" t="str">
        <f>B.Frontend!Q10</f>
        <v>{
    path: 'inventory/ckd/partgrade',
    loadChildren: () =&gt; import('./inventory/ckd/partgrade/partgrade.module').then(m =&gt; m.PartGradeModule),
    data: { permission: 'Pages.Inventory.CKD.PartGrade' }
},</v>
      </c>
      <c r="M75" s="45" t="str">
        <f>B.Frontend!R10</f>
        <v>ApiServiceProxies.InvCkdPartGradeServiceProxy,</v>
      </c>
    </row>
    <row r="77" spans="2:14" x14ac:dyDescent="0.3">
      <c r="B77" s="1" t="s">
        <v>72</v>
      </c>
    </row>
  </sheetData>
  <mergeCells count="2">
    <mergeCell ref="C73:J73"/>
    <mergeCell ref="K73:L7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28"/>
  <sheetViews>
    <sheetView tabSelected="1" topLeftCell="A7" workbookViewId="0">
      <pane xSplit="1" topLeftCell="B1" activePane="topRight" state="frozen"/>
      <selection pane="topRight" activeCell="B15" sqref="B15:H15"/>
    </sheetView>
  </sheetViews>
  <sheetFormatPr defaultColWidth="9.21875" defaultRowHeight="14.4" x14ac:dyDescent="0.3"/>
  <cols>
    <col min="1" max="1" width="20.77734375" style="7" customWidth="1"/>
    <col min="2" max="2" width="20.44140625" style="8" customWidth="1"/>
    <col min="3" max="3" width="19.44140625" style="7" customWidth="1"/>
    <col min="4" max="4" width="23.44140625" style="7" customWidth="1"/>
    <col min="5" max="5" width="14.44140625" style="7" customWidth="1"/>
    <col min="6" max="6" width="14.77734375" style="7" customWidth="1"/>
    <col min="7" max="7" width="17.21875" style="7" bestFit="1" customWidth="1"/>
    <col min="8" max="8" width="15" style="7" customWidth="1"/>
    <col min="9" max="9" width="16" style="7" customWidth="1"/>
    <col min="10" max="10" width="15.77734375" style="7" customWidth="1"/>
    <col min="11" max="11" width="16" style="7" customWidth="1"/>
    <col min="12" max="12" width="16.77734375" style="7" customWidth="1"/>
    <col min="13" max="13" width="17.44140625" style="7" customWidth="1"/>
    <col min="14" max="14" width="16.21875" style="7" customWidth="1"/>
    <col min="15" max="15" width="14.77734375" style="7" customWidth="1"/>
    <col min="16" max="16" width="16" style="7" customWidth="1"/>
    <col min="17" max="17" width="15.77734375" style="7" customWidth="1"/>
    <col min="18" max="18" width="19.44140625" style="7" customWidth="1"/>
    <col min="19" max="19" width="20.44140625" style="7" customWidth="1"/>
    <col min="20" max="20" width="17" style="7" customWidth="1"/>
    <col min="21" max="21" width="14" style="7" customWidth="1"/>
    <col min="22" max="22" width="15.21875" style="7" customWidth="1"/>
    <col min="23" max="23" width="27.77734375" style="8" customWidth="1"/>
    <col min="24" max="16384" width="9.21875" style="7"/>
  </cols>
  <sheetData>
    <row r="1" spans="1:23" s="10" customFormat="1" ht="14.25" customHeight="1" x14ac:dyDescent="0.3">
      <c r="A1" s="1" t="s">
        <v>11</v>
      </c>
      <c r="B1" s="9" t="s">
        <v>68</v>
      </c>
      <c r="C1" s="9" t="s">
        <v>51</v>
      </c>
      <c r="D1" s="9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vovina.Inventory.CKD.Dto;</v>
      </c>
      <c r="E1" s="9" t="s">
        <v>262</v>
      </c>
      <c r="F1" s="10" t="s">
        <v>235</v>
      </c>
      <c r="H1" s="10" t="s">
        <v>236</v>
      </c>
      <c r="J1" s="10" t="s">
        <v>237</v>
      </c>
      <c r="L1" s="10" t="s">
        <v>238</v>
      </c>
      <c r="M1" s="10" t="s">
        <v>239</v>
      </c>
      <c r="N1" s="10" t="s">
        <v>240</v>
      </c>
      <c r="O1" s="10" t="s">
        <v>241</v>
      </c>
      <c r="T1" s="9" t="s">
        <v>254</v>
      </c>
      <c r="U1" s="9" t="s">
        <v>226</v>
      </c>
      <c r="W1" s="9"/>
    </row>
    <row r="2" spans="1:23" s="10" customFormat="1" x14ac:dyDescent="0.3">
      <c r="A2" s="1" t="s">
        <v>12</v>
      </c>
      <c r="B2" s="27" t="s">
        <v>349</v>
      </c>
      <c r="C2" s="13" t="s">
        <v>38</v>
      </c>
      <c r="D2" s="13" t="s">
        <v>39</v>
      </c>
      <c r="E2" s="13" t="s">
        <v>40</v>
      </c>
      <c r="F2" s="13" t="s">
        <v>48</v>
      </c>
      <c r="G2" s="13" t="s">
        <v>46</v>
      </c>
      <c r="H2" s="13" t="s">
        <v>49</v>
      </c>
      <c r="I2" s="13" t="s">
        <v>43</v>
      </c>
      <c r="J2" s="13" t="s">
        <v>50</v>
      </c>
      <c r="K2" s="13" t="s">
        <v>52</v>
      </c>
      <c r="L2" s="13" t="s">
        <v>59</v>
      </c>
      <c r="M2" s="13" t="s">
        <v>58</v>
      </c>
      <c r="N2" s="13" t="s">
        <v>62</v>
      </c>
      <c r="O2" s="13" t="s">
        <v>82</v>
      </c>
      <c r="T2" s="10" t="s">
        <v>242</v>
      </c>
      <c r="V2" s="10" t="s">
        <v>243</v>
      </c>
      <c r="W2" s="9" t="s">
        <v>253</v>
      </c>
    </row>
    <row r="3" spans="1:23" s="10" customFormat="1" ht="33" customHeight="1" x14ac:dyDescent="0.3">
      <c r="A3" s="1" t="s">
        <v>5</v>
      </c>
      <c r="B3" s="27" t="s">
        <v>374</v>
      </c>
      <c r="C3" s="9" t="s">
        <v>41</v>
      </c>
      <c r="D3" s="9" t="s">
        <v>42</v>
      </c>
      <c r="E3" s="9" t="s">
        <v>37</v>
      </c>
      <c r="F3" s="10" t="str">
        <f>"J"&amp;COUNTA($A:$A)</f>
        <v>J26</v>
      </c>
      <c r="G3" s="4" t="s">
        <v>54</v>
      </c>
      <c r="H3" s="9" t="str">
        <f>"I"&amp;COUNTA($A:$A)</f>
        <v>I26</v>
      </c>
      <c r="I3" s="9" t="str">
        <f>REPT(CHAR(9),2)&amp;"[Required]"&amp;"
"</f>
        <v xml:space="preserve">		[Required]
</v>
      </c>
      <c r="J3" s="10" t="str">
        <f>"L"&amp;COUNTA($A:$A)</f>
        <v>L26</v>
      </c>
      <c r="K3" s="5" t="s">
        <v>53</v>
      </c>
      <c r="L3" s="10" t="str">
        <f>"M"&amp;COUNTA($A:$A)</f>
        <v>M26</v>
      </c>
      <c r="M3" s="10" t="str">
        <f>"N"&amp;COUNTA($A:$A)</f>
        <v>N26</v>
      </c>
      <c r="N3" s="10" t="str">
        <f>"O"&amp;COUNTA($A:$A)</f>
        <v>O26</v>
      </c>
      <c r="O3" s="10" t="str">
        <f>"P"&amp;COUNTA($A:$A)</f>
        <v>P26</v>
      </c>
      <c r="Q3" s="10" t="str">
        <f>RIGHT(B2,(LEN(B2)-FIND(".",B2,1)))</f>
        <v>CKD</v>
      </c>
      <c r="R3" s="29" t="str">
        <f>REPT(CHAR(9),1)&amp;"public class "&amp;B3&amp;"ExportInput"&amp;C3</f>
        <v xml:space="preserve">	public class InvCkdPartGradeExportInput{
</v>
      </c>
      <c r="S3" s="10" t="str">
        <f>"namespace "&amp;$B$6&amp;".Exporting
"&amp;$C$3</f>
        <v xml:space="preserve">namespace prod.Inventory.CKD.Exporting
{
</v>
      </c>
      <c r="T3" s="10" t="str">
        <f>"T"&amp;COUNTA($A:$A)</f>
        <v>T26</v>
      </c>
      <c r="V3" s="10" t="str">
        <f>"V"&amp;COUNTA($A:$A)</f>
        <v>V26</v>
      </c>
      <c r="W3" s="9" t="str">
        <f>"W"&amp;COUNTA($A:$A)</f>
        <v>W26</v>
      </c>
    </row>
    <row r="4" spans="1:23" s="10" customFormat="1" ht="33" customHeight="1" x14ac:dyDescent="0.3">
      <c r="A4" s="1" t="s">
        <v>233</v>
      </c>
      <c r="B4" s="65" t="s">
        <v>320</v>
      </c>
      <c r="C4" s="9"/>
      <c r="D4" s="9"/>
      <c r="E4" s="9"/>
      <c r="G4" s="4"/>
      <c r="H4" s="9"/>
      <c r="I4" s="9"/>
      <c r="K4" s="5"/>
      <c r="R4" s="29"/>
      <c r="W4" s="9"/>
    </row>
    <row r="5" spans="1:23" s="10" customFormat="1" ht="33" customHeight="1" x14ac:dyDescent="0.3">
      <c r="A5" s="1" t="s">
        <v>234</v>
      </c>
      <c r="B5" s="65" t="s">
        <v>375</v>
      </c>
      <c r="C5" s="9"/>
      <c r="D5" s="9"/>
      <c r="E5" s="9"/>
      <c r="G5" s="4"/>
      <c r="H5" s="9"/>
      <c r="I5" s="9"/>
      <c r="K5" s="5"/>
      <c r="R5" s="29"/>
      <c r="W5" s="9"/>
    </row>
    <row r="6" spans="1:23" customFormat="1" ht="25.05" customHeight="1" x14ac:dyDescent="0.3">
      <c r="A6" s="1" t="s">
        <v>6</v>
      </c>
      <c r="B6" s="9" t="str">
        <f>"prod."&amp;B2</f>
        <v>prod.Inventory.CKD</v>
      </c>
      <c r="C6" s="10" t="str">
        <f>"namespace "&amp;$B$6&amp;"
"&amp;$C$3</f>
        <v xml:space="preserve">namespace prod.Inventory.CKD
{
</v>
      </c>
      <c r="D6" s="10" t="str">
        <f>REPT(CHAR(9),1)&amp;"public class "&amp;B3&amp;G3&amp;REPT(CHAR(9),1)&amp;"
"&amp;REPT(CHAR(9),1)&amp;C3</f>
        <v xml:space="preserve">	public class InvCkdPartGrade: FullAuditedEntity&lt;long&gt;, IEntity&lt;long&gt;	
	{
</v>
      </c>
      <c r="E6" s="10" t="str">
        <f>REPT(CHAR(9),1)&amp;"public class "&amp;B3&amp;"Consts"&amp;REPT(CHAR(9),1)&amp;"
"&amp;REPT(CHAR(9),1)&amp;C3</f>
        <v xml:space="preserve">	public class InvCkdPartGradeConsts	
	{
</v>
      </c>
      <c r="F6" s="10" t="str">
        <f>REPT(CHAR(9),1)&amp;"public class "&amp;B3&amp;"Dto"&amp;K3&amp;REPT(CHAR(9),1)&amp;"
"&amp;REPT(CHAR(9),1)&amp;C3</f>
        <v xml:space="preserve">	public class InvCkdPartGradeDto : EntityDto&lt;long?&gt;	
	{
</v>
      </c>
      <c r="G6" s="10" t="str">
        <f>REPT(CHAR(9),1)&amp;"public class CreateOrEdit"&amp;B3&amp;"Dto"&amp;K3&amp;REPT(CHAR(9),1)&amp;"
"&amp;REPT(CHAR(9),1)&amp;C3</f>
        <v xml:space="preserve">	public class CreateOrEditInvCkdPartGradeDto : EntityDto&lt;long?&gt;	
	{
</v>
      </c>
      <c r="H6" s="10" t="str">
        <f>REPT(CHAR(9),1)&amp;"public class Get"&amp;B3&amp;"Input : PagedAndSortedResultRequestDto"&amp;REPT(CHAR(9),1)&amp;"
"&amp;REPT(CHAR(9),1)&amp;C3</f>
        <v xml:space="preserve">	public class GetInvCkdPartGradeInput : PagedAndSortedResultRequestDto	
	{
</v>
      </c>
      <c r="I6" s="10"/>
      <c r="J6" s="1" t="s">
        <v>69</v>
      </c>
      <c r="K6" s="1" t="s">
        <v>63</v>
      </c>
      <c r="L6" s="1" t="s">
        <v>64</v>
      </c>
      <c r="M6" s="1" t="s">
        <v>65</v>
      </c>
      <c r="N6" s="1" t="s">
        <v>232</v>
      </c>
      <c r="O6" s="1" t="s">
        <v>231</v>
      </c>
      <c r="P6" s="1" t="s">
        <v>66</v>
      </c>
      <c r="Q6" s="1" t="s">
        <v>67</v>
      </c>
      <c r="R6" s="1" t="s">
        <v>199</v>
      </c>
      <c r="S6" s="1" t="s">
        <v>201</v>
      </c>
      <c r="T6" s="1" t="s">
        <v>200</v>
      </c>
      <c r="U6" s="1" t="s">
        <v>223</v>
      </c>
      <c r="W6" s="26"/>
    </row>
    <row r="7" spans="1:23" customFormat="1" ht="25.05" customHeight="1" x14ac:dyDescent="0.3">
      <c r="A7" s="1" t="s">
        <v>13</v>
      </c>
      <c r="B7" s="9" t="str">
        <f>B3</f>
        <v>InvCkdPartGrade</v>
      </c>
      <c r="C7" s="10" t="str">
        <f>REPT(CHAR(9),1)&amp;"[Table("""&amp;B7&amp;""")]"&amp;"
"</f>
        <v xml:space="preserve">	[Table("InvCkdPartGrade")]
</v>
      </c>
      <c r="D7" s="10"/>
      <c r="E7" s="10"/>
      <c r="F7" s="10"/>
      <c r="G7" s="10"/>
      <c r="H7" s="10"/>
      <c r="I7" s="10"/>
      <c r="J7" t="str">
        <f ca="1">SUBSTITUTE(SUBSTITUTE((B1&amp;C6&amp;C7&amp;K28&amp;D6&amp;I28&amp;E3&amp;J28&amp;""&amp;REPT(CHAR(9),1)&amp;D3&amp;D3),"WorkingPattern",$Q$3),"Master",$B$4)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prod.Inventory.CKD
{
	[Table("InvCkdPartGrade")]
	public class InvCkdPartGrade: FullAuditedEntity&lt;long&gt;, IEntity&lt;long&gt;	
	{
		public const int MaxPartNoLength = 50;
		public const int MaxModelLength = 10;
		public const int MaxCfcLength = 4;
		public const int MaxGradeLength = 3;
		public const int MaxIdLineLength = 10;
		public const int MaxShopLength = 1;
		public const int MaxBodyColorLength = 100;
		public const int MaxStartLotLength = 10;
		public const int MaxEndLotLength = 10;
		public const int MaxStartRunLength = 10;
		public const int MaxEndRunLength = 10;
		public const int MaxOrderPatternLength = 10;
		public const int MaxRemarkLength = 5000;
		public const int MaxIsActiveLength = 1;
		[StringLength(MaxPartNoLength)]
		public virtual string PartNo { get; set; }
		public virtual long? PartId { get; set; }
		[StringLength(MaxModelLength)]
		public virtual string Model { get; set; }
		[StringLength(MaxCfcLength)]
		public virtual string Cfc { get; set; }
		[StringLength(MaxGradeLength)]
		public virtual string Grade { get; set; }
		[StringLength(MaxIdLineLength)]
		public virtual string IdLine { get; set; }
		[StringLength(MaxShopLength)]
		public virtual string Shop { get; set; }
		[StringLength(MaxBodyColorLength)]
		public virtual string BodyColor { get; set; }
		public virtual decimal? UsageQty { get; set; }
		[StringLength(MaxStartLotLength)]
		public virtual string StartLot { get; set; }
		[StringLength(MaxEndLotLength)]
		public virtual string EndLot { get; set; }
		[StringLength(MaxStartRunLength)]
		public virtual string StartRun { get; set; }
		[StringLength(MaxEndRunLength)]
		public virtual string EndRun { get; set; }
		[Column(TypeName="DATE")]
		public virtual DateTime? EfFromPart { get; set; }
		[Column(TypeName="DATE")]
		public virtual DateTime? EfToPart { get; set; }
		[StringLength(MaxOrderPatternLength)]
		public virtual string OrderPattern { get; set; }
		[StringLength(MaxRemarkLength)]
		public virtual string Remark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DbSet&lt;InvCkdPartGrade&gt; InvCkdPartGrades { get; set; }</v>
      </c>
      <c r="L7" t="str">
        <f ca="1">SUBSTITUTE(SUBSTITUTE((C6&amp;E6&amp;I28&amp;"
"&amp;REPT(CHAR(9),2)&amp;"// Define Store Name: Format SP_ + &lt;Store Name&gt; = &lt;Store Name&gt;
"&amp;E3&amp;REPT(CHAR(9),1)&amp;D3&amp;D3),"WorkingPattern",$Q$3),"Master",$B$4)</f>
        <v xml:space="preserve">namespace prod.Inventory.CKD
{
	public class InvCkdPartGradeConsts	
	{
		public const int MaxPartNoLength = 50;
		public const int MaxModelLength = 10;
		public const int MaxCfcLength = 4;
		public const int MaxGradeLength = 3;
		public const int MaxIdLineLength = 10;
		public const int MaxShopLength = 1;
		public const int MaxBodyColorLength = 100;
		public const int MaxStartLotLength = 10;
		public const int MaxEndLotLength = 10;
		public const int MaxStartRunLength = 10;
		public const int MaxEndRunLength = 10;
		public const int MaxOrderPatternLength = 10;
		public const int MaxRemarkLength = 5000;
		public const int MaxIsActiveLength = 1;
		// Define Store Name: Format SP_ + &lt;Store Name&gt; = &lt;Store Name&gt;
	}
}
</v>
      </c>
      <c r="M7" t="str">
        <f ca="1">SUBSTITUTE(SUBSTITUTE((C1&amp;"namespace "&amp;B6&amp;".Dto"&amp;E3&amp;C3&amp;F6&amp;M28&amp;E3&amp;REPT(CHAR(9),1)&amp;D3&amp;G6&amp;N28&amp;REPT(CHAR(9),1)&amp;D3&amp;H6&amp;O28&amp;"
"&amp;REPT(CHAR(9),1)&amp;D3&amp;D3),"WorkingPattern",$Q$3),"Master",$B$4)</f>
        <v xml:space="preserve">using Abp.Application.Services.Dto;
using System;
using System.ComponentModel.DataAnnotations;
namespace prod.Inventory.CKD.Dto
{
	public class InvCkdPartGradeDto : EntityDto&lt;long?&gt;	
	{
		public virtual string PartNo { get; set; }
		public virtual long? PartId { get; set; }
		public virtual string Model { get; set; }
		public virtual string Cfc { get; set; }
		public virtual string Grade { get; set; }
		public virtual string IdLine { get; set; }
		public virtual string Shop { get; set; }
		public virtual string BodyColor { get; set; }
		public virtual decimal? UsageQty { get; set; }
		public virtual string StartLot { get; set; }
		public virtual string EndLot { get; set; }
		public virtual string StartRun { get; set; }
		public virtual string EndRun { get; set; }
		public virtual DateTime? EfFromPart { get; set; }
		public virtual DateTime? EfToPart { get; set; }
		public virtual string OrderPattern { get; set; }
		public virtual string Remark { get; set; }
		public virtual string IsActive { get; set; }
	}
	public class CreateOrEditInvCkdPartGradeDto : EntityDto&lt;long?&gt;	
	{
		[StringLength(InvCkdPartGradeConsts.MaxPartNoLength)]
		public virtual string PartNo { get; set; }
		public virtual long? PartId { get; set; }
		[StringLength(InvCkdPartGradeConsts.MaxModelLength)]
		public virtual string Model { get; set; }
		[StringLength(InvCkdPartGradeConsts.MaxCfcLength)]
		public virtual string Cfc { get; set; }
		[StringLength(InvCkdPartGradeConsts.MaxGradeLength)]
		public virtual string Grade { get; set; }
		[StringLength(InvCkdPartGradeConsts.MaxIdLineLength)]
		public virtual string IdLine { get; set; }
		[StringLength(InvCkdPartGradeConsts.MaxShopLength)]
		public virtual string Shop { get; set; }
		[StringLength(InvCkdPartGradeConsts.MaxBodyColorLength)]
		public virtual string BodyColor { get; set; }
		public virtual decimal? UsageQty { get; set; }
		[StringLength(InvCkdPartGradeConsts.MaxStartLotLength)]
		public virtual string StartLot { get; set; }
		[StringLength(InvCkdPartGradeConsts.MaxEndLotLength)]
		public virtual string EndLot { get; set; }
		[StringLength(InvCkdPartGradeConsts.MaxStartRunLength)]
		public virtual string StartRun { get; set; }
		[StringLength(InvCkdPartGradeConsts.MaxEndRunLength)]
		public virtual string EndRun { get; set; }
		public virtual DateTime? EfFromPart { get; set; }
		public virtual DateTime? EfToPart { get; set; }
		[StringLength(InvCkdPartGradeConsts.MaxOrderPatternLength)]
		public virtual string OrderPattern { get; set; }
		[StringLength(InvCkdPartGradeConsts.MaxRemarkLength)]
		public virtual string Remark { get; set; }
		[StringLength(InvCkdPartGradeConsts.MaxIsActiveLength)]
		public virtual string IsActive { get; set; }
	}
	public class GetInvCkdPartGradeInput : PagedAndSortedResultRequestDto	
	{
		public virtual string PartNo { get; set; }
		public virtual string Model { get; set; }
		public virtual string Cfc { get; set; }
		public virtual string Grade { get; set; }
		public virtual string IdLine { get; set; }
		public virtual string Shop { get; set; }
		public virtual string BodyColor { get; set; }
		public virtual string StartLot { get; set; }
		public virtual string EndLot { get; set; }
		public virtual string StartRun { get; set; }
		public virtual string EndRun { get; set; }
		public virtual string OrderPattern { get; set; }
		public virtual string Remark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perInvCkdPartGrade = PARENTS.CreateChildPermission(AppPermissions.Pages_Inventory_CKD_PartGrade, L( "InventoryCKDPartGrade"), multiTenancySides: MultiTenancySides.Tenant);
		perInvCkdPartGrade.CreateChildPermission(AppPermissions.Pages_Inventory_CKD_PartGrade_CreateEdit, L( "InventoryCKDPartGradeCreateEdit"), multiTenancySides: MultiTenancySides.Tenant);
		perInvCkdPartGrade.CreateChildPermission(AppPermissions.Pages_Inventory_CKD_PartGrade_Delete, L( "InventoryCKDPartGradeDelete"), multiTenancySides: MultiTenancySides.Tenant);</v>
      </c>
      <c r="O7" s="26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Pages_Inventory_CKD_PartGrade = "Pages.Inventory.CKD.PartGrade";
		public const string Pages_Inventory_CKD_PartGrade_CreateEdit = "Pages.Inventory.CKD.PartGrade.CreateEdit";
		public const string Pages_Inventory_CKD_PartGrade_Delete = "Pages.Inventory.CKD.PartGrade.Delete";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vovina.Inventory.CKD.Dto;
namespace prod.Inventory.CKD
{
	public interface IInvCkdPartGradeAppService : IApplicationService
	{
		Task&lt;PagedResultDto&lt;InvCkdPartGradeDto&gt;&gt; GetAll(GetInvCkdPartGradeInput input);
		Task CreateOrEdit(CreateOrEditInvCkdPartGradeDto input);
		Task Delete(EntityDto input);
	}
}
</v>
      </c>
      <c r="Q7" t="str">
        <f ca="1">SUBSTITUTE(SUBSTITUTE(SUBSTITUTE(SUBSTITUTE(SUBSTITUTE(SUBSTITUTE(E1,"MstWptCalendar",$B$3),"&lt;PROPERTIES&gt;",P28),"Calendar",$B$5),"WorkingPattern",$Q$3),"Master",$B$4),"&lt;PARAMS_SEARCH&gt;",$W$28)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vovina.Inventory.CKD.Dto;
using vovina.Inventory.CKD.Exporting;
namespace vovina.Inventory.CKD
{
    [AbpAuthorize(AppPermissions.Pages_Inventory_CKD_PartGrade)]
    public class InvCkdPartGradeAppService : vovinaAppServiceBase, IInvCkdPartGradeAppService
    {
        private readonly IDapperRepository&lt;InvCkdPartGrade, long&gt; _dapperRepo;
        private readonly IRepository&lt;InvCkdPartGrade, long&gt; _repo;
        private readonly IInvCkdPartGradeExcelExporter _calendarListExcelExporter;
        public InvCkdPartGradeAppService(IRepository&lt;InvCkdPartGrade,long&gt; repo, 
                                         IDapperRepository&lt;InvCkdPartGrade,long&gt; dapperRepo,
                                        IInvCkdPartGradeExcelExporter calendarListExcelExporter
            )
        {
            _repo = repo;
            _dapperRepo = dapperRepo;
            _calendarListExcelExporter = calendarListExcelExporter;
        }
        [AbpAuthorize(AppPermissions.Pages_Inventory_CKD_PartGrade_CreateEdit)]
        public async Task CreateOrEdit(CreateOrEditInvCkdPartGradeDto input)
        {
            if (input.Id == null) await Create(input);
            else await Update(input);
        }
        //CREATE
        private async Task Create(CreateOrEditInvCkdPartGradeDto input)
        {          
            var mainObj = ObjectMapper.Map&lt;InvCkdPartGrade&gt;(input);
            await CurrentUnitOfWork.GetDbContext&lt;vovinaDbContext&gt;().AddAsync(mainObj);
        }
        // EDIT
        private async Task Update(CreateOrEditInvCkdPartGradeDto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[AbpAuthorize(AppPermissions.Pages_Inventory_CKD_PartGrade_Delete)]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Task&lt;PagedResultDto&lt;InvCkdPartGradeDto&gt;&gt; GetAll(GetInvCkdPartGradeInput input)
        {
            var filtered = _repo.GetAll()
				.WhereIf(!string.IsNullOrWhiteSpace(input.PartNo), e =&gt; e.PartNo.Contains(input.PartNo))
				.WhereIf(!string.IsNullOrWhiteSpace(input.Model), e =&gt; e.Model.Contains(input.Model))
				.WhereIf(!string.IsNullOrWhiteSpace(input.Cfc), e =&gt; e.Cfc.Contains(input.Cfc))
				.WhereIf(!string.IsNullOrWhiteSpace(input.Grade), e =&gt; e.Grade.Contains(input.Grade))
				.WhereIf(!string.IsNullOrWhiteSpace(input.IdLine), e =&gt; e.IdLine.Contains(input.IdLine))
				.WhereIf(!string.IsNullOrWhiteSpace(input.Shop), e =&gt; e.Shop.Contains(input.Shop))
				.WhereIf(!string.IsNullOrWhiteSpace(input.BodyColor), e =&gt; e.BodyColor.Contains(input.BodyColor))
				.WhereIf(!string.IsNullOrWhiteSpace(input.StartLot), e =&gt; e.StartLot.Contains(input.StartLot))
				.WhereIf(!string.IsNullOrWhiteSpace(input.EndLot), e =&gt; e.EndLot.Contains(input.EndLot))
				.WhereIf(!string.IsNullOrWhiteSpace(input.StartRun), e =&gt; e.StartRun.Contains(input.StartRun))
				.WhereIf(!string.IsNullOrWhiteSpace(input.EndRun), e =&gt; e.EndRun.Contains(input.EndRun))
				.WhereIf(!string.IsNullOrWhiteSpace(input.OrderPattern), e =&gt; e.OrderPattern.Contains(input.OrderPattern))
				.WhereIf(!string.IsNullOrWhiteSpace(input.Remark), e =&gt; e.Remark.Contains(input.Remark))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InvCkdPartGradeDto
                        {
							Id = o.Id,
							PartNo = o.PartNo,
							PartId = o.PartId,
							Model = o.Model,
							Cfc = o.Cfc,
							Grade = o.Grade,
							IdLine = o.IdLine,
							Shop = o.Shop,
							BodyColor = o.BodyColor,
							UsageQty = o.UsageQty,
							StartLot = o.StartLot,
							EndLot = o.EndLot,
							StartRun = o.StartRun,
							EndRun = o.EndRun,
							EfFromPart = o.EfFromPart,
							EfToPart = o.EfToPart,
							OrderPattern = o.OrderPattern,
							Remark = o.Remark,
							IsActive = o.IsActive,
                        };
            var totalCount = await filtered.CountAsync();
			var paged = system.PageBy(input);
            return new PagedResultDto&lt;InvCkdPartGradeDto&gt;(
                totalCount,
                 await paged.ToListAsync()
            );
        }
        public async Task&lt;FileDto&gt; GetPartGradeToExcel(InvCkdPartGradeExportInput input)
        {
            var query = from o in _repo.GetAll()
                        select new InvCkdPartGradeDto
                        {
							Id = o.Id,
							PartNo = o.PartNo,
							PartId = o.PartId,
							Model = o.Model,
							Cfc = o.Cfc,
							Grade = o.Grade,
							IdLine = o.IdLine,
							Shop = o.Shop,
							BodyColor = o.BodyColor,
							UsageQty = o.UsageQty,
							StartLot = o.StartLot,
							EndLot = o.EndLot,
							StartRun = o.StartRun,
							EndRun = o.EndRun,
							EfFromPart = o.EfFromPart,
							EfToPart = o.EfToPart,
							OrderPattern = o.OrderPattern,
							Remark = o.Remark,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_dapperRepo.ExecuteAsync(InvCkdPartGradeConsts.SP_MST_WPT_CALENDAR_GENERATE);
       // }
    }
}</v>
      </c>
      <c r="R7" t="str">
        <f ca="1">SUBSTITUTE(SUBSTITUTE((C1&amp;"namespace "&amp;B6&amp;".Dto"&amp;E3&amp;C3&amp;R3&amp;M28&amp;E3&amp;REPT(CHAR(9),1)&amp;D3&amp;D3),"WorkingPattern",$Q$3),"Master",$B$4)</f>
        <v xml:space="preserve">using Abp.Application.Services.Dto;
using System;
using System.ComponentModel.DataAnnotations;
namespace prod.Inventory.CKD.Dto
{
	public class InvCkdPartGradeExportInput{
		public virtual string PartNo { get; set; }
		public virtual long? PartId { get; set; }
		public virtual string Model { get; set; }
		public virtual string Cfc { get; set; }
		public virtual string Grade { get; set; }
		public virtual string IdLine { get; set; }
		public virtual string Shop { get; set; }
		public virtual string BodyColor { get; set; }
		public virtual decimal? UsageQty { get; set; }
		public virtual string StartLot { get; set; }
		public virtual string EndLot { get; set; }
		public virtual string StartRun { get; set; }
		public virtual string EndRun { get; set; }
		public virtual DateTime? EfFromPart { get; set; }
		public virtual DateTime? EfToPart { get; set; }
		public virtual string OrderPattern { get; set; }
		public virtual string Remark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vovina.Inventory.CKD.Dto;
namespace prod.Inventory.CKD.Exporting
{
	public interface IInvCkdPartGradeExcelExporter : IApplicationService
	{
		FileDto ExportToFile(List&lt;InvCkdPartGradeDto&gt; invckdpartgrade);
	}
}
</v>
      </c>
      <c r="T7" s="26" t="str">
        <f ca="1">SUBSTITUTE(SUBSTITUTE(SUBSTITUTE(SUBSTITUTE(SUBSTITUTE(SUBSTITUTE(SUBSTITUTE(T1,"MstWptCalendar",$B$3),"&lt;PROPERTIES1&gt;",V28),"&lt;PROPERTIES&gt;",T28),"Calendar",$B$5),"calendar",LOWER(B5)),"WorkingPattern",$Q$3),"Master",$B$4)</f>
        <v>using System.Collections.Generic;
using vovina.DataExporting.Excel.NPOI;
using vovina.Dto;
using vovina.Inventory.CKD.Exporting;
using vovina.Inventory.CKD.Dto;
using vovina.Storage;
using vovina.Inventory.CKD.Dto;
namespace vovina.Inventory.CKD.Exporting
{
    public class InvCkdPartGradeExcelExporter : NpoiExcelExporterBase, IInvCkdPartGradeExcelExporter
    {
        public InvCkdPartGradeExcelExporter(ITempFileCacheManager tempFileCacheManager) : base(tempFileCacheManager) { }
        public FileDto ExportToFile(List&lt;InvCkdPartGradeDto&gt; partgrade)
        {
            return CreateExcelPackage(
				"InventoryCKDPartGrade.xlsx",
				excelPackage =&gt;
				 {
					var sheet = excelPackage.CreateSheet("PartGrade");
					AddHeader(
								sheet,
								("PartNo"),
								("PartId"),
								("Model"),
								("Cfc"),
								("Grade"),
								("IdLine"),
								("Shop"),
								("BodyColor"),
								("UsageQty"),
								("StartLot"),
								("EndLot"),
								("StartRun"),
								("EndRun"),
								("EfFromPart"),
								("EfToPart"),
								("OrderPattern"),
								("Remark"),
								("IsActive"),
							   );
					AddObjects(
						 sheet, 1, partgrade,                                       
								_ =&gt; _.PartNo,
								_ =&gt; _.PartId,
								_ =&gt; _.Model,
								_ =&gt; _.Cfc,
								_ =&gt; _.Grade,
								_ =&gt; _.IdLine,
								_ =&gt; _.Shop,
								_ =&gt; _.BodyColor,
								_ =&gt; _.UsageQty,
								_ =&gt; _.StartLot,
								_ =&gt; _.EndLot,
								_ =&gt; _.StartRun,
								_ =&gt; _.EndRun,
								_ =&gt; _.EfFromPart,
								_ =&gt; _.EfToPart,
								_ =&gt; _.OrderPattern,
								_ =&gt; _.Remark,
								_ =&gt; _.IsActive,
								);
			for (var i = 0; i &lt; 8; i++)
				{
					sheet.AutoSizeColumn(i);
				}
			});
        }
    }
}</v>
      </c>
      <c r="U7" s="26" t="str">
        <f>SUBSTITUTE(SUBSTITUTE(U1,"MstWptCalendar",$B$3),"Master",$B$4)</f>
        <v xml:space="preserve">  configuration.CreateMap&lt;InvCkdPartGradeDto, InvCkdPartGrade&gt;();
  configuration.CreateMap&lt;InvCkdPartGrade, InvCkdPartGradeDto&gt;();
  configuration.CreateMap&lt;CreateOrEditInvCkdPartGradeDto, InvCkdPartGrade&gt;();</v>
      </c>
      <c r="V7" s="26"/>
      <c r="W7" s="26"/>
    </row>
    <row r="8" spans="1:23" s="2" customFormat="1" x14ac:dyDescent="0.3">
      <c r="A8" s="2" t="s">
        <v>7</v>
      </c>
      <c r="B8" s="3" t="s">
        <v>8</v>
      </c>
      <c r="C8" s="2" t="s">
        <v>10</v>
      </c>
      <c r="D8" s="2" t="s">
        <v>14</v>
      </c>
      <c r="E8" s="2" t="s">
        <v>35</v>
      </c>
      <c r="F8" s="2" t="s">
        <v>56</v>
      </c>
      <c r="G8" s="2" t="s">
        <v>9</v>
      </c>
      <c r="H8" s="2" t="s">
        <v>15</v>
      </c>
      <c r="I8" s="2" t="s">
        <v>47</v>
      </c>
      <c r="J8" s="2" t="s">
        <v>36</v>
      </c>
      <c r="K8" s="2" t="s">
        <v>44</v>
      </c>
      <c r="L8" s="2" t="s">
        <v>45</v>
      </c>
      <c r="M8" s="2" t="s">
        <v>60</v>
      </c>
      <c r="N8" s="2" t="s">
        <v>55</v>
      </c>
      <c r="O8" s="2" t="s">
        <v>61</v>
      </c>
      <c r="P8" s="18" t="s">
        <v>81</v>
      </c>
      <c r="W8" s="3"/>
    </row>
    <row r="9" spans="1:23" customFormat="1" ht="18.75" customHeight="1" x14ac:dyDescent="0.3">
      <c r="A9" t="s">
        <v>356</v>
      </c>
      <c r="B9" t="s">
        <v>364</v>
      </c>
      <c r="C9" t="s">
        <v>1</v>
      </c>
      <c r="D9" t="str">
        <f t="shared" ref="D9" si="0">SUBSTITUTE(PROPER(A9),"_","")</f>
        <v>PartNo</v>
      </c>
      <c r="E9" t="str">
        <f t="shared" ref="E9" si="1">IFERROR(LEFT(B9, FIND("(",B9)-1),B9)</f>
        <v>VARCHAR</v>
      </c>
      <c r="F9" s="6"/>
      <c r="G9" t="str">
        <f t="shared" ref="G9" si="2">IFERROR(MID(B9,FIND("(",B9) +1, FIND(")",B9) - FIND("(",B9) - 1),"")</f>
        <v>50</v>
      </c>
      <c r="H9" t="str">
        <f>+VLOOKUP(E9,'Data Type Mapping'!A:B,2,)</f>
        <v>string</v>
      </c>
      <c r="I9" t="str">
        <f t="shared" ref="I9" si="3">IF(H9="string",REPT(CHAR(9),2)&amp;"public const int Max"&amp;D9&amp;"Length = "&amp;G9&amp;";"&amp;$E$3,"" )</f>
        <v xml:space="preserve">		public const int MaxPartNoLength = 50;
</v>
      </c>
      <c r="J9" t="str">
        <f t="shared" ref="J9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[StringLength(MaxPartNoLength)]
		public virtual string PartNo { get; set; }
</v>
      </c>
      <c r="K9" s="6"/>
      <c r="L9" t="str">
        <f t="shared" ref="L9" si="5">IF(K9="","",REPT(CHAR(9),1)&amp;"[Index(nameof("&amp;IF(D9="","",""&amp;D9)&amp;")"&amp;", Name="&amp;"""IX_"&amp;$B$7&amp;"_"&amp;D9&amp;""")]")</f>
        <v/>
      </c>
      <c r="M9" t="str">
        <f t="shared" ref="M9" si="6">REPT(CHAR(9),2)&amp;"public virtual "&amp;IF(OR(H9="DateTime",H9="TimeSpan"),H9&amp;"?",H9)&amp;IF(C9="?","? "," ")&amp;D9&amp;" { get; set; }" &amp; "
"</f>
        <v xml:space="preserve">		public virtual string PartNo { get; set; }
</v>
      </c>
      <c r="N9" t="str">
        <f t="shared" ref="N9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[StringLength(InvCkdPartGradeConsts.MaxPartNoLength)]
		public virtual string PartNo { get; set; }
</v>
      </c>
      <c r="O9" t="str">
        <f t="shared" ref="O9" si="8">IF(OR(H9="string",H9="DateTime",H9="int"),REPT(CHAR(9),2)&amp;"public virtual "&amp;IF(OR(H9="DateTime",H9="TimeSpan"),H9&amp;"?",H9)&amp;IF(C9="?","? "," ")&amp;D9&amp;" { get; set; }"&amp;$E$3,"")</f>
        <v xml:space="preserve">		public virtual string PartNo { get; set; }
</v>
      </c>
      <c r="P9" t="str">
        <f t="shared" ref="P9" si="9">REPT(CHAR(9),7)&amp;D9&amp;" = o." &amp;D9 &amp;","</f>
        <v xml:space="preserve">							PartNo = o.PartNo,</v>
      </c>
      <c r="T9" s="63" t="str">
        <f t="shared" ref="T9" si="10">REPT(CHAR(9),8)&amp;"("""&amp;D9&amp;"""),"</f>
        <v xml:space="preserve">								("PartNo"),</v>
      </c>
      <c r="V9" s="64" t="str">
        <f t="shared" ref="V9" si="11">REPT(CHAR(9),8)&amp;"_ =&gt; _."&amp;D9&amp;","</f>
        <v xml:space="preserve">								_ =&gt; _.PartNo,</v>
      </c>
      <c r="W9" s="63" t="str">
        <f t="shared" ref="W9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.WhereIf(!string.IsNullOrWhiteSpace(input.PartNo), e =&gt; e.PartNo.Contains(input.PartNo))</v>
      </c>
    </row>
    <row r="10" spans="1:23" customFormat="1" ht="18.75" customHeight="1" x14ac:dyDescent="0.3">
      <c r="A10" t="s">
        <v>363</v>
      </c>
      <c r="B10" t="s">
        <v>0</v>
      </c>
      <c r="C10" t="s">
        <v>1</v>
      </c>
      <c r="D10" t="str">
        <f t="shared" ref="D10:D11" si="13">SUBSTITUTE(PROPER(A10),"_","")</f>
        <v>PartId</v>
      </c>
      <c r="E10" t="str">
        <f t="shared" ref="E10:E11" si="14">IFERROR(LEFT(B10, FIND("(",B10)-1),B10)</f>
        <v>bigint</v>
      </c>
      <c r="F10" s="6"/>
      <c r="G10" t="str">
        <f t="shared" ref="G10:G11" si="15">IFERROR(MID(B10,FIND("(",B10) +1, FIND(")",B10) - FIND("(",B10) - 1),"")</f>
        <v/>
      </c>
      <c r="H10" t="str">
        <f>+VLOOKUP(E10,'Data Type Mapping'!A:B,2,)</f>
        <v>long?</v>
      </c>
      <c r="I10" t="str">
        <f t="shared" ref="I10:I11" si="16">IF(H10="string",REPT(CHAR(9),2)&amp;"public const int Max"&amp;D10&amp;"Length = "&amp;G10&amp;";"&amp;$E$3,"" )</f>
        <v/>
      </c>
      <c r="J10" t="str">
        <f t="shared" ref="J10:J11" si="17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public virtual long? PartId { get; set; }
</v>
      </c>
      <c r="K10" s="6"/>
      <c r="L10" t="str">
        <f t="shared" ref="L10:L11" si="18">IF(K10="","",REPT(CHAR(9),1)&amp;"[Index(nameof("&amp;IF(D10="","",""&amp;D10)&amp;")"&amp;", Name="&amp;"""IX_"&amp;$B$7&amp;"_"&amp;D10&amp;""")]")</f>
        <v/>
      </c>
      <c r="M10" t="str">
        <f t="shared" ref="M10:M11" si="19">REPT(CHAR(9),2)&amp;"public virtual "&amp;IF(OR(H10="DateTime",H10="TimeSpan"),H10&amp;"?",H10)&amp;IF(C10="?","? "," ")&amp;D10&amp;" { get; set; }" &amp; "
"</f>
        <v xml:space="preserve">		public virtual long? PartId { get; set; }
</v>
      </c>
      <c r="N10" t="str">
        <f t="shared" ref="N10:N11" si="20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public virtual long? PartId { get; set; }
</v>
      </c>
      <c r="O10" t="str">
        <f t="shared" ref="O10:O11" si="21">IF(OR(H10="string",H10="DateTime",H10="int"),REPT(CHAR(9),2)&amp;"public virtual "&amp;IF(OR(H10="DateTime",H10="TimeSpan"),H10&amp;"?",H10)&amp;IF(C10="?","? "," ")&amp;D10&amp;" { get; set; }"&amp;$E$3,"")</f>
        <v/>
      </c>
      <c r="P10" t="str">
        <f t="shared" ref="P10:P11" si="22">REPT(CHAR(9),7)&amp;D10&amp;" = o." &amp;D10 &amp;","</f>
        <v xml:space="preserve">							PartId = o.PartId,</v>
      </c>
      <c r="T10" s="63" t="str">
        <f t="shared" ref="T10:T11" si="23">REPT(CHAR(9),8)&amp;"("""&amp;D10&amp;"""),"</f>
        <v xml:space="preserve">								("PartId"),</v>
      </c>
      <c r="V10" s="64" t="str">
        <f t="shared" ref="V10:V11" si="24">REPT(CHAR(9),8)&amp;"_ =&gt; _."&amp;D10&amp;","</f>
        <v xml:space="preserve">								_ =&gt; _.PartId,</v>
      </c>
      <c r="W10" s="63" t="str">
        <f t="shared" ref="W10:W11" si="25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/>
      </c>
    </row>
    <row r="11" spans="1:23" customFormat="1" ht="18.75" customHeight="1" x14ac:dyDescent="0.3">
      <c r="A11" t="s">
        <v>377</v>
      </c>
      <c r="B11" t="s">
        <v>357</v>
      </c>
      <c r="C11" t="s">
        <v>1</v>
      </c>
      <c r="D11" t="str">
        <f t="shared" si="13"/>
        <v>Model</v>
      </c>
      <c r="E11" t="str">
        <f t="shared" si="14"/>
        <v>VARCHAR</v>
      </c>
      <c r="F11" s="6"/>
      <c r="G11" t="str">
        <f t="shared" si="15"/>
        <v>10</v>
      </c>
      <c r="H11" t="str">
        <f>+VLOOKUP(E11,'Data Type Mapping'!A:B,2,)</f>
        <v>string</v>
      </c>
      <c r="I11" t="str">
        <f t="shared" si="16"/>
        <v xml:space="preserve">		public const int MaxModelLength = 10;
</v>
      </c>
      <c r="J11" t="str">
        <f t="shared" si="17"/>
        <v xml:space="preserve">		[StringLength(MaxModelLength)]
		public virtual string Model { get; set; }
</v>
      </c>
      <c r="K11" s="6"/>
      <c r="L11" t="str">
        <f t="shared" si="18"/>
        <v/>
      </c>
      <c r="M11" t="str">
        <f t="shared" si="19"/>
        <v xml:space="preserve">		public virtual string Model { get; set; }
</v>
      </c>
      <c r="N11" t="str">
        <f t="shared" si="20"/>
        <v xml:space="preserve">		[StringLength(InvCkdPartGradeConsts.MaxModelLength)]
		public virtual string Model { get; set; }
</v>
      </c>
      <c r="O11" t="str">
        <f t="shared" si="21"/>
        <v xml:space="preserve">		public virtual string Model { get; set; }
</v>
      </c>
      <c r="P11" t="str">
        <f t="shared" si="22"/>
        <v xml:space="preserve">							Model = o.Model,</v>
      </c>
      <c r="T11" s="63" t="str">
        <f t="shared" si="23"/>
        <v xml:space="preserve">								("Model"),</v>
      </c>
      <c r="V11" s="64" t="str">
        <f t="shared" si="24"/>
        <v xml:space="preserve">								_ =&gt; _.Model,</v>
      </c>
      <c r="W11" s="63" t="str">
        <f t="shared" si="25"/>
        <v xml:space="preserve">				.WhereIf(!string.IsNullOrWhiteSpace(input.Model), e =&gt; e.Model.Contains(input.Model))</v>
      </c>
    </row>
    <row r="12" spans="1:23" customFormat="1" ht="18.75" customHeight="1" x14ac:dyDescent="0.3">
      <c r="A12" t="s">
        <v>365</v>
      </c>
      <c r="B12" t="s">
        <v>358</v>
      </c>
      <c r="C12" t="s">
        <v>1</v>
      </c>
      <c r="D12" t="str">
        <f t="shared" ref="D12:D16" si="26">SUBSTITUTE(PROPER(A12),"_","")</f>
        <v>Cfc</v>
      </c>
      <c r="E12" t="str">
        <f t="shared" ref="E12:E16" si="27">IFERROR(LEFT(B12, FIND("(",B12)-1),B12)</f>
        <v>VARCHAR</v>
      </c>
      <c r="F12" s="6"/>
      <c r="G12" t="str">
        <f t="shared" ref="G12:G16" si="28">IFERROR(MID(B12,FIND("(",B12) +1, FIND(")",B12) - FIND("(",B12) - 1),"")</f>
        <v>4</v>
      </c>
      <c r="H12" t="str">
        <f>+VLOOKUP(E12,'Data Type Mapping'!A:B,2,)</f>
        <v>string</v>
      </c>
      <c r="I12" t="str">
        <f t="shared" ref="I12:I16" si="29">IF(H12="string",REPT(CHAR(9),2)&amp;"public const int Max"&amp;D12&amp;"Length = "&amp;G12&amp;";"&amp;$E$3,"" )</f>
        <v xml:space="preserve">		public const int MaxCfcLength = 4;
</v>
      </c>
      <c r="J12" t="str">
        <f t="shared" ref="J12:J16" si="30"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[StringLength(MaxCfcLength)]
		public virtual string Cfc { get; set; }
</v>
      </c>
      <c r="K12" s="6"/>
      <c r="L12" t="str">
        <f t="shared" ref="L12:L16" si="31">IF(K12="","",REPT(CHAR(9),1)&amp;"[Index(nameof("&amp;IF(D12="","",""&amp;D12)&amp;")"&amp;", Name="&amp;"""IX_"&amp;$B$7&amp;"_"&amp;D12&amp;""")]")</f>
        <v/>
      </c>
      <c r="M12" t="str">
        <f t="shared" ref="M12:M16" si="32">REPT(CHAR(9),2)&amp;"public virtual "&amp;IF(OR(H12="DateTime",H12="TimeSpan"),H12&amp;"?",H12)&amp;IF(C12="?","? "," ")&amp;D12&amp;" { get; set; }" &amp; "
"</f>
        <v xml:space="preserve">		public virtual string Cfc { get; set; }
</v>
      </c>
      <c r="N12" t="str">
        <f t="shared" ref="N12:N16" si="33">IF(C12="Checked","",$I$3)&amp;IF(H12="string",REPT(CHAR(9),2)&amp;"[StringLength("&amp;$B$3&amp;"Consts.Max"&amp;D12&amp;"Length"&amp;")]"&amp;$E$3,"")&amp;REPT(CHAR(9),2)&amp;"public virtual "&amp;IF(OR(H12="DateTime",H12="TimeSpan"),H12&amp;"?",H12)&amp;IF(C12="?","? "," ")&amp;D12&amp;" { get; set; }" &amp; "
"</f>
        <v xml:space="preserve">		[StringLength(InvCkdPartGradeConsts.MaxCfcLength)]
		public virtual string Cfc { get; set; }
</v>
      </c>
      <c r="O12" t="str">
        <f t="shared" ref="O12:O16" si="34">IF(OR(H12="string",H12="DateTime",H12="int"),REPT(CHAR(9),2)&amp;"public virtual "&amp;IF(OR(H12="DateTime",H12="TimeSpan"),H12&amp;"?",H12)&amp;IF(C12="?","? "," ")&amp;D12&amp;" { get; set; }"&amp;$E$3,"")</f>
        <v xml:space="preserve">		public virtual string Cfc { get; set; }
</v>
      </c>
      <c r="P12" t="str">
        <f t="shared" ref="P12:P16" si="35">REPT(CHAR(9),7)&amp;D12&amp;" = o." &amp;D12 &amp;","</f>
        <v xml:space="preserve">							Cfc = o.Cfc,</v>
      </c>
      <c r="T12" s="63" t="str">
        <f t="shared" ref="T12:T16" si="36">REPT(CHAR(9),8)&amp;"("""&amp;D12&amp;"""),"</f>
        <v xml:space="preserve">								("Cfc"),</v>
      </c>
      <c r="V12" s="64" t="str">
        <f t="shared" ref="V12:V16" si="37">REPT(CHAR(9),8)&amp;"_ =&gt; _."&amp;D12&amp;","</f>
        <v xml:space="preserve">								_ =&gt; _.Cfc,</v>
      </c>
      <c r="W12" s="63" t="str">
        <f t="shared" ref="W12:W16" si="38">IF(H12="string",REPT(CHAR(9),4)&amp;".WhereIf(!string.IsNullOrWhiteSpace(input."&amp;D12&amp;"), e =&gt; e."&amp;D12&amp;".Contains(input."&amp;D12&amp;"))",IF(H12="DateTime",REPT(CHAR(9),4)&amp;".WhereIf(input."&amp;D12&amp;".HasValue, t =&gt; t."&amp;D12&amp;" == input."&amp;D12&amp;".Value)",""))</f>
        <v xml:space="preserve">				.WhereIf(!string.IsNullOrWhiteSpace(input.Cfc), e =&gt; e.Cfc.Contains(input.Cfc))</v>
      </c>
    </row>
    <row r="13" spans="1:23" customFormat="1" ht="18.75" customHeight="1" x14ac:dyDescent="0.3">
      <c r="A13" t="s">
        <v>370</v>
      </c>
      <c r="B13" t="s">
        <v>371</v>
      </c>
      <c r="C13" t="s">
        <v>1</v>
      </c>
      <c r="D13" t="str">
        <f t="shared" ref="D13" si="39">SUBSTITUTE(PROPER(A13),"_","")</f>
        <v>Grade</v>
      </c>
      <c r="E13" t="str">
        <f t="shared" ref="E13" si="40">IFERROR(LEFT(B13, FIND("(",B13)-1),B13)</f>
        <v>VARCHAR</v>
      </c>
      <c r="F13" s="6"/>
      <c r="G13" t="str">
        <f t="shared" ref="G13" si="41">IFERROR(MID(B13,FIND("(",B13) +1, FIND(")",B13) - FIND("(",B13) - 1),"")</f>
        <v>3</v>
      </c>
      <c r="H13" t="str">
        <f>+VLOOKUP(E13,'Data Type Mapping'!A:B,2,)</f>
        <v>string</v>
      </c>
      <c r="I13" t="str">
        <f t="shared" ref="I13" si="42">IF(H13="string",REPT(CHAR(9),2)&amp;"public const int Max"&amp;D13&amp;"Length = "&amp;G13&amp;";"&amp;$E$3,"" )</f>
        <v xml:space="preserve">		public const int MaxGradeLength = 3;
</v>
      </c>
      <c r="J13" t="str">
        <f t="shared" ref="J13" si="43">IF(F13="","",REPT(CHAR(9),2)&amp;"[Column(TypeName="""&amp;F13&amp;""")]"&amp;$E$3)&amp;IF(C13="Checked","",$I$3)&amp;IF(H13="string",REPT(CHAR(9),2)&amp;"[StringLength(Max"&amp;D13&amp;"Length"&amp;")]"&amp;$E$3,"")&amp;REPT(CHAR(9),2)&amp;"public virtual "&amp;H13&amp;IF(C13="?","? "," ")&amp;D13&amp;" { get; set; }" &amp; "
"</f>
        <v xml:space="preserve">		[StringLength(MaxGradeLength)]
		public virtual string Grade { get; set; }
</v>
      </c>
      <c r="K13" s="6"/>
      <c r="L13" t="str">
        <f t="shared" ref="L13" si="44">IF(K13="","",REPT(CHAR(9),1)&amp;"[Index(nameof("&amp;IF(D13="","",""&amp;D13)&amp;")"&amp;", Name="&amp;"""IX_"&amp;$B$7&amp;"_"&amp;D13&amp;""")]")</f>
        <v/>
      </c>
      <c r="M13" t="str">
        <f t="shared" ref="M13" si="45">REPT(CHAR(9),2)&amp;"public virtual "&amp;IF(OR(H13="DateTime",H13="TimeSpan"),H13&amp;"?",H13)&amp;IF(C13="?","? "," ")&amp;D13&amp;" { get; set; }" &amp; "
"</f>
        <v xml:space="preserve">		public virtual string Grade { get; set; }
</v>
      </c>
      <c r="N13" t="str">
        <f t="shared" ref="N13" si="46">IF(C13="Checked","",$I$3)&amp;IF(H13="string",REPT(CHAR(9),2)&amp;"[StringLength("&amp;$B$3&amp;"Consts.Max"&amp;D13&amp;"Length"&amp;")]"&amp;$E$3,"")&amp;REPT(CHAR(9),2)&amp;"public virtual "&amp;IF(OR(H13="DateTime",H13="TimeSpan"),H13&amp;"?",H13)&amp;IF(C13="?","? "," ")&amp;D13&amp;" { get; set; }" &amp; "
"</f>
        <v xml:space="preserve">		[StringLength(InvCkdPartGradeConsts.MaxGradeLength)]
		public virtual string Grade { get; set; }
</v>
      </c>
      <c r="O13" t="str">
        <f t="shared" ref="O13" si="47">IF(OR(H13="string",H13="DateTime",H13="int"),REPT(CHAR(9),2)&amp;"public virtual "&amp;IF(OR(H13="DateTime",H13="TimeSpan"),H13&amp;"?",H13)&amp;IF(C13="?","? "," ")&amp;D13&amp;" { get; set; }"&amp;$E$3,"")</f>
        <v xml:space="preserve">		public virtual string Grade { get; set; }
</v>
      </c>
      <c r="P13" t="str">
        <f t="shared" ref="P13" si="48">REPT(CHAR(9),7)&amp;D13&amp;" = o." &amp;D13 &amp;","</f>
        <v xml:space="preserve">							Grade = o.Grade,</v>
      </c>
      <c r="T13" s="63" t="str">
        <f t="shared" ref="T13" si="49">REPT(CHAR(9),8)&amp;"("""&amp;D13&amp;"""),"</f>
        <v xml:space="preserve">								("Grade"),</v>
      </c>
      <c r="V13" s="64" t="str">
        <f t="shared" ref="V13" si="50">REPT(CHAR(9),8)&amp;"_ =&gt; _."&amp;D13&amp;","</f>
        <v xml:space="preserve">								_ =&gt; _.Grade,</v>
      </c>
      <c r="W13" s="63" t="str">
        <f t="shared" ref="W13" si="51">IF(H13="string",REPT(CHAR(9),4)&amp;".WhereIf(!string.IsNullOrWhiteSpace(input."&amp;D13&amp;"), e =&gt; e."&amp;D13&amp;".Contains(input."&amp;D13&amp;"))",IF(H13="DateTime",REPT(CHAR(9),4)&amp;".WhereIf(input."&amp;D13&amp;".HasValue, t =&gt; t."&amp;D13&amp;" == input."&amp;D13&amp;".Value)",""))</f>
        <v xml:space="preserve">				.WhereIf(!string.IsNullOrWhiteSpace(input.Grade), e =&gt; e.Grade.Contains(input.Grade))</v>
      </c>
    </row>
    <row r="14" spans="1:23" customFormat="1" ht="18.75" customHeight="1" x14ac:dyDescent="0.3">
      <c r="A14" t="s">
        <v>366</v>
      </c>
      <c r="B14" t="s">
        <v>357</v>
      </c>
      <c r="C14" t="s">
        <v>1</v>
      </c>
      <c r="D14" t="str">
        <f t="shared" si="26"/>
        <v>IdLine</v>
      </c>
      <c r="E14" t="str">
        <f t="shared" si="27"/>
        <v>VARCHAR</v>
      </c>
      <c r="F14" s="6"/>
      <c r="G14" t="str">
        <f t="shared" si="28"/>
        <v>10</v>
      </c>
      <c r="H14" t="str">
        <f>+VLOOKUP(E14,'Data Type Mapping'!A:B,2,)</f>
        <v>string</v>
      </c>
      <c r="I14" t="str">
        <f t="shared" si="29"/>
        <v xml:space="preserve">		public const int MaxIdLineLength = 10;
</v>
      </c>
      <c r="J14" t="str">
        <f t="shared" si="30"/>
        <v xml:space="preserve">		[StringLength(MaxIdLineLength)]
		public virtual string IdLine { get; set; }
</v>
      </c>
      <c r="K14" s="6"/>
      <c r="L14" t="str">
        <f t="shared" si="31"/>
        <v/>
      </c>
      <c r="M14" t="str">
        <f t="shared" si="32"/>
        <v xml:space="preserve">		public virtual string IdLine { get; set; }
</v>
      </c>
      <c r="N14" t="str">
        <f t="shared" si="33"/>
        <v xml:space="preserve">		[StringLength(InvCkdPartGradeConsts.MaxIdLineLength)]
		public virtual string IdLine { get; set; }
</v>
      </c>
      <c r="O14" t="str">
        <f t="shared" si="34"/>
        <v xml:space="preserve">		public virtual string IdLine { get; set; }
</v>
      </c>
      <c r="P14" t="str">
        <f t="shared" si="35"/>
        <v xml:space="preserve">							IdLine = o.IdLine,</v>
      </c>
      <c r="T14" s="63" t="str">
        <f t="shared" si="36"/>
        <v xml:space="preserve">								("IdLine"),</v>
      </c>
      <c r="V14" s="64" t="str">
        <f t="shared" si="37"/>
        <v xml:space="preserve">								_ =&gt; _.IdLine,</v>
      </c>
      <c r="W14" s="63" t="str">
        <f t="shared" si="38"/>
        <v xml:space="preserve">				.WhereIf(!string.IsNullOrWhiteSpace(input.IdLine), e =&gt; e.IdLine.Contains(input.IdLine))</v>
      </c>
    </row>
    <row r="15" spans="1:23" customFormat="1" ht="18.75" customHeight="1" x14ac:dyDescent="0.3">
      <c r="A15" t="s">
        <v>378</v>
      </c>
      <c r="B15" t="s">
        <v>362</v>
      </c>
      <c r="C15" t="s">
        <v>1</v>
      </c>
      <c r="D15" t="str">
        <f t="shared" si="26"/>
        <v>Shop</v>
      </c>
      <c r="E15" t="str">
        <f t="shared" si="27"/>
        <v>VARCHAR</v>
      </c>
      <c r="F15" s="6"/>
      <c r="G15" t="str">
        <f t="shared" si="28"/>
        <v>1</v>
      </c>
      <c r="H15" t="str">
        <f>+VLOOKUP(E15,'Data Type Mapping'!A:B,2,)</f>
        <v>string</v>
      </c>
      <c r="I15" t="str">
        <f t="shared" si="29"/>
        <v xml:space="preserve">		public const int MaxShopLength = 1;
</v>
      </c>
      <c r="J15" t="str">
        <f t="shared" si="30"/>
        <v xml:space="preserve">		[StringLength(MaxShopLength)]
		public virtual string Shop { get; set; }
</v>
      </c>
      <c r="K15" s="6"/>
      <c r="L15" t="str">
        <f t="shared" si="31"/>
        <v/>
      </c>
      <c r="M15" t="str">
        <f t="shared" si="32"/>
        <v xml:space="preserve">		public virtual string Shop { get; set; }
</v>
      </c>
      <c r="N15" t="str">
        <f t="shared" si="33"/>
        <v xml:space="preserve">		[StringLength(InvCkdPartGradeConsts.MaxShopLength)]
		public virtual string Shop { get; set; }
</v>
      </c>
      <c r="O15" t="str">
        <f t="shared" si="34"/>
        <v xml:space="preserve">		public virtual string Shop { get; set; }
</v>
      </c>
      <c r="P15" t="str">
        <f t="shared" si="35"/>
        <v xml:space="preserve">							Shop = o.Shop,</v>
      </c>
      <c r="T15" s="63" t="str">
        <f t="shared" si="36"/>
        <v xml:space="preserve">								("Shop"),</v>
      </c>
      <c r="V15" s="64" t="str">
        <f t="shared" si="37"/>
        <v xml:space="preserve">								_ =&gt; _.Shop,</v>
      </c>
      <c r="W15" s="63" t="str">
        <f t="shared" si="38"/>
        <v xml:space="preserve">				.WhereIf(!string.IsNullOrWhiteSpace(input.Shop), e =&gt; e.Shop.Contains(input.Shop))</v>
      </c>
    </row>
    <row r="16" spans="1:23" customFormat="1" ht="18.75" customHeight="1" x14ac:dyDescent="0.3">
      <c r="A16" t="s">
        <v>367</v>
      </c>
      <c r="B16" t="s">
        <v>368</v>
      </c>
      <c r="C16" t="s">
        <v>1</v>
      </c>
      <c r="D16" t="str">
        <f t="shared" si="26"/>
        <v>BodyColor</v>
      </c>
      <c r="E16" t="str">
        <f t="shared" si="27"/>
        <v>VARCHAR</v>
      </c>
      <c r="F16" s="6"/>
      <c r="G16" t="str">
        <f t="shared" si="28"/>
        <v>100</v>
      </c>
      <c r="H16" t="str">
        <f>+VLOOKUP(E16,'Data Type Mapping'!A:B,2,)</f>
        <v>string</v>
      </c>
      <c r="I16" t="str">
        <f t="shared" si="29"/>
        <v xml:space="preserve">		public const int MaxBodyColorLength = 100;
</v>
      </c>
      <c r="J16" t="str">
        <f t="shared" si="30"/>
        <v xml:space="preserve">		[StringLength(MaxBodyColorLength)]
		public virtual string BodyColor { get; set; }
</v>
      </c>
      <c r="K16" s="6"/>
      <c r="L16" t="str">
        <f t="shared" si="31"/>
        <v/>
      </c>
      <c r="M16" t="str">
        <f t="shared" si="32"/>
        <v xml:space="preserve">		public virtual string BodyColor { get; set; }
</v>
      </c>
      <c r="N16" t="str">
        <f t="shared" si="33"/>
        <v xml:space="preserve">		[StringLength(InvCkdPartGradeConsts.MaxBodyColorLength)]
		public virtual string BodyColor { get; set; }
</v>
      </c>
      <c r="O16" t="str">
        <f t="shared" si="34"/>
        <v xml:space="preserve">		public virtual string BodyColor { get; set; }
</v>
      </c>
      <c r="P16" t="str">
        <f t="shared" si="35"/>
        <v xml:space="preserve">							BodyColor = o.BodyColor,</v>
      </c>
      <c r="T16" s="63" t="str">
        <f t="shared" si="36"/>
        <v xml:space="preserve">								("BodyColor"),</v>
      </c>
      <c r="V16" s="64" t="str">
        <f t="shared" si="37"/>
        <v xml:space="preserve">								_ =&gt; _.BodyColor,</v>
      </c>
      <c r="W16" s="63" t="str">
        <f t="shared" si="38"/>
        <v xml:space="preserve">				.WhereIf(!string.IsNullOrWhiteSpace(input.BodyColor), e =&gt; e.BodyColor.Contains(input.BodyColor))</v>
      </c>
    </row>
    <row r="17" spans="1:23" customFormat="1" ht="18.75" customHeight="1" x14ac:dyDescent="0.3">
      <c r="A17" t="s">
        <v>359</v>
      </c>
      <c r="B17" t="s">
        <v>360</v>
      </c>
      <c r="C17" t="s">
        <v>1</v>
      </c>
      <c r="D17" t="str">
        <f t="shared" ref="D17:D24" si="52">SUBSTITUTE(PROPER(A17),"_","")</f>
        <v>UsageQty</v>
      </c>
      <c r="E17" t="str">
        <f t="shared" ref="E17:E24" si="53">IFERROR(LEFT(B17, FIND("(",B17)-1),B17)</f>
        <v>DECIMAL</v>
      </c>
      <c r="F17" s="6"/>
      <c r="G17" t="str">
        <f t="shared" ref="G17:G24" si="54">IFERROR(MID(B17,FIND("(",B17) +1, FIND(")",B17) - FIND("(",B17) - 1),"")</f>
        <v>18,4</v>
      </c>
      <c r="H17" t="str">
        <f>+VLOOKUP(E17,'Data Type Mapping'!A:B,2,)</f>
        <v>decimal?</v>
      </c>
      <c r="I17" t="str">
        <f t="shared" ref="I17:I24" si="55">IF(H17="string",REPT(CHAR(9),2)&amp;"public const int Max"&amp;D17&amp;"Length = "&amp;G17&amp;";"&amp;$E$3,"" )</f>
        <v/>
      </c>
      <c r="J17" t="str">
        <f t="shared" ref="J17:J24" si="56">IF(F17="","",REPT(CHAR(9),2)&amp;"[Column(TypeName="""&amp;F17&amp;""")]"&amp;$E$3)&amp;IF(C17="Checked","",$I$3)&amp;IF(H17="string",REPT(CHAR(9),2)&amp;"[StringLength(Max"&amp;D17&amp;"Length"&amp;")]"&amp;$E$3,"")&amp;REPT(CHAR(9),2)&amp;"public virtual "&amp;H17&amp;IF(C17="?","? "," ")&amp;D17&amp;" { get; set; }" &amp; "
"</f>
        <v xml:space="preserve">		public virtual decimal? UsageQty { get; set; }
</v>
      </c>
      <c r="K17" s="6"/>
      <c r="L17" t="str">
        <f t="shared" ref="L17:L24" si="57">IF(K17="","",REPT(CHAR(9),1)&amp;"[Index(nameof("&amp;IF(D17="","",""&amp;D17)&amp;")"&amp;", Name="&amp;"""IX_"&amp;$B$7&amp;"_"&amp;D17&amp;""")]")</f>
        <v/>
      </c>
      <c r="M17" t="str">
        <f t="shared" ref="M17:M24" si="58">REPT(CHAR(9),2)&amp;"public virtual "&amp;IF(OR(H17="DateTime",H17="TimeSpan"),H17&amp;"?",H17)&amp;IF(C17="?","? "," ")&amp;D17&amp;" { get; set; }" &amp; "
"</f>
        <v xml:space="preserve">		public virtual decimal? UsageQty { get; set; }
</v>
      </c>
      <c r="N17" t="str">
        <f t="shared" ref="N17:N24" si="59">IF(C17="Checked","",$I$3)&amp;IF(H17="string",REPT(CHAR(9),2)&amp;"[StringLength("&amp;$B$3&amp;"Consts.Max"&amp;D17&amp;"Length"&amp;")]"&amp;$E$3,"")&amp;REPT(CHAR(9),2)&amp;"public virtual "&amp;IF(OR(H17="DateTime",H17="TimeSpan"),H17&amp;"?",H17)&amp;IF(C17="?","? "," ")&amp;D17&amp;" { get; set; }" &amp; "
"</f>
        <v xml:space="preserve">		public virtual decimal? UsageQty { get; set; }
</v>
      </c>
      <c r="O17" t="str">
        <f t="shared" ref="O17:O24" si="60">IF(OR(H17="string",H17="DateTime",H17="int"),REPT(CHAR(9),2)&amp;"public virtual "&amp;IF(OR(H17="DateTime",H17="TimeSpan"),H17&amp;"?",H17)&amp;IF(C17="?","? "," ")&amp;D17&amp;" { get; set; }"&amp;$E$3,"")</f>
        <v/>
      </c>
      <c r="P17" t="str">
        <f t="shared" ref="P17:P24" si="61">REPT(CHAR(9),7)&amp;D17&amp;" = o." &amp;D17 &amp;","</f>
        <v xml:space="preserve">							UsageQty = o.UsageQty,</v>
      </c>
      <c r="T17" s="63" t="str">
        <f t="shared" ref="T17:T24" si="62">REPT(CHAR(9),8)&amp;"("""&amp;D17&amp;"""),"</f>
        <v xml:space="preserve">								("UsageQty"),</v>
      </c>
      <c r="V17" s="64" t="str">
        <f t="shared" ref="V17:V24" si="63">REPT(CHAR(9),8)&amp;"_ =&gt; _."&amp;D17&amp;","</f>
        <v xml:space="preserve">								_ =&gt; _.UsageQty,</v>
      </c>
      <c r="W17" s="63" t="str">
        <f t="shared" ref="W17:W24" si="64">IF(H17="string",REPT(CHAR(9),4)&amp;".WhereIf(!string.IsNullOrWhiteSpace(input."&amp;D17&amp;"), e =&gt; e."&amp;D17&amp;".Contains(input."&amp;D17&amp;"))",IF(H17="DateTime",REPT(CHAR(9),4)&amp;".WhereIf(input."&amp;D17&amp;".HasValue, t =&gt; t."&amp;D17&amp;" == input."&amp;D17&amp;".Value)",""))</f>
        <v/>
      </c>
    </row>
    <row r="18" spans="1:23" customFormat="1" ht="18.75" customHeight="1" x14ac:dyDescent="0.3">
      <c r="A18" t="s">
        <v>379</v>
      </c>
      <c r="B18" t="s">
        <v>357</v>
      </c>
      <c r="C18" t="s">
        <v>1</v>
      </c>
      <c r="D18" t="str">
        <f t="shared" si="52"/>
        <v>StartLot</v>
      </c>
      <c r="E18" t="str">
        <f t="shared" si="53"/>
        <v>VARCHAR</v>
      </c>
      <c r="F18" s="6"/>
      <c r="G18" t="str">
        <f t="shared" si="54"/>
        <v>10</v>
      </c>
      <c r="H18" t="str">
        <f>+VLOOKUP(E18,'Data Type Mapping'!A:B,2,)</f>
        <v>string</v>
      </c>
      <c r="I18" t="str">
        <f t="shared" si="55"/>
        <v xml:space="preserve">		public const int MaxStartLotLength = 10;
</v>
      </c>
      <c r="J18" t="str">
        <f t="shared" si="56"/>
        <v xml:space="preserve">		[StringLength(MaxStartLotLength)]
		public virtual string StartLot { get; set; }
</v>
      </c>
      <c r="K18" s="6"/>
      <c r="L18" t="str">
        <f t="shared" si="57"/>
        <v/>
      </c>
      <c r="M18" t="str">
        <f t="shared" si="58"/>
        <v xml:space="preserve">		public virtual string StartLot { get; set; }
</v>
      </c>
      <c r="N18" t="str">
        <f t="shared" si="59"/>
        <v xml:space="preserve">		[StringLength(InvCkdPartGradeConsts.MaxStartLotLength)]
		public virtual string StartLot { get; set; }
</v>
      </c>
      <c r="O18" t="str">
        <f t="shared" si="60"/>
        <v xml:space="preserve">		public virtual string StartLot { get; set; }
</v>
      </c>
      <c r="P18" t="str">
        <f t="shared" si="61"/>
        <v xml:space="preserve">							StartLot = o.StartLot,</v>
      </c>
      <c r="T18" s="63" t="str">
        <f t="shared" si="62"/>
        <v xml:space="preserve">								("StartLot"),</v>
      </c>
      <c r="V18" s="64" t="str">
        <f t="shared" si="63"/>
        <v xml:space="preserve">								_ =&gt; _.StartLot,</v>
      </c>
      <c r="W18" s="63" t="str">
        <f t="shared" si="64"/>
        <v xml:space="preserve">				.WhereIf(!string.IsNullOrWhiteSpace(input.StartLot), e =&gt; e.StartLot.Contains(input.StartLot))</v>
      </c>
    </row>
    <row r="19" spans="1:23" customFormat="1" ht="18.75" customHeight="1" x14ac:dyDescent="0.3">
      <c r="A19" t="s">
        <v>380</v>
      </c>
      <c r="B19" t="s">
        <v>357</v>
      </c>
      <c r="C19" t="s">
        <v>1</v>
      </c>
      <c r="D19" t="str">
        <f t="shared" si="52"/>
        <v>EndLot</v>
      </c>
      <c r="E19" t="str">
        <f t="shared" si="53"/>
        <v>VARCHAR</v>
      </c>
      <c r="F19" s="6"/>
      <c r="G19" t="str">
        <f t="shared" si="54"/>
        <v>10</v>
      </c>
      <c r="H19" t="str">
        <f>+VLOOKUP(E19,'Data Type Mapping'!A:B,2,)</f>
        <v>string</v>
      </c>
      <c r="I19" t="str">
        <f t="shared" si="55"/>
        <v xml:space="preserve">		public const int MaxEndLotLength = 10;
</v>
      </c>
      <c r="J19" t="str">
        <f t="shared" si="56"/>
        <v xml:space="preserve">		[StringLength(MaxEndLotLength)]
		public virtual string EndLot { get; set; }
</v>
      </c>
      <c r="K19" s="6"/>
      <c r="L19" t="str">
        <f t="shared" si="57"/>
        <v/>
      </c>
      <c r="M19" t="str">
        <f t="shared" si="58"/>
        <v xml:space="preserve">		public virtual string EndLot { get; set; }
</v>
      </c>
      <c r="N19" t="str">
        <f t="shared" si="59"/>
        <v xml:space="preserve">		[StringLength(InvCkdPartGradeConsts.MaxEndLotLength)]
		public virtual string EndLot { get; set; }
</v>
      </c>
      <c r="O19" t="str">
        <f t="shared" si="60"/>
        <v xml:space="preserve">		public virtual string EndLot { get; set; }
</v>
      </c>
      <c r="P19" t="str">
        <f t="shared" si="61"/>
        <v xml:space="preserve">							EndLot = o.EndLot,</v>
      </c>
      <c r="T19" s="63" t="str">
        <f t="shared" si="62"/>
        <v xml:space="preserve">								("EndLot"),</v>
      </c>
      <c r="V19" s="64" t="str">
        <f t="shared" si="63"/>
        <v xml:space="preserve">								_ =&gt; _.EndLot,</v>
      </c>
      <c r="W19" s="63" t="str">
        <f t="shared" si="64"/>
        <v xml:space="preserve">				.WhereIf(!string.IsNullOrWhiteSpace(input.EndLot), e =&gt; e.EndLot.Contains(input.EndLot))</v>
      </c>
    </row>
    <row r="20" spans="1:23" customFormat="1" ht="18.75" customHeight="1" x14ac:dyDescent="0.3">
      <c r="A20" t="s">
        <v>381</v>
      </c>
      <c r="B20" t="s">
        <v>357</v>
      </c>
      <c r="C20" t="s">
        <v>1</v>
      </c>
      <c r="D20" t="str">
        <f t="shared" si="52"/>
        <v>StartRun</v>
      </c>
      <c r="E20" t="str">
        <f t="shared" si="53"/>
        <v>VARCHAR</v>
      </c>
      <c r="F20" s="6"/>
      <c r="G20" t="str">
        <f t="shared" si="54"/>
        <v>10</v>
      </c>
      <c r="H20" t="str">
        <f>+VLOOKUP(E20,'Data Type Mapping'!A:B,2,)</f>
        <v>string</v>
      </c>
      <c r="I20" t="str">
        <f t="shared" si="55"/>
        <v xml:space="preserve">		public const int MaxStartRunLength = 10;
</v>
      </c>
      <c r="J20" t="str">
        <f t="shared" si="56"/>
        <v xml:space="preserve">		[StringLength(MaxStartRunLength)]
		public virtual string StartRun { get; set; }
</v>
      </c>
      <c r="K20" s="6"/>
      <c r="L20" t="str">
        <f t="shared" si="57"/>
        <v/>
      </c>
      <c r="M20" t="str">
        <f t="shared" si="58"/>
        <v xml:space="preserve">		public virtual string StartRun { get; set; }
</v>
      </c>
      <c r="N20" t="str">
        <f t="shared" si="59"/>
        <v xml:space="preserve">		[StringLength(InvCkdPartGradeConsts.MaxStartRunLength)]
		public virtual string StartRun { get; set; }
</v>
      </c>
      <c r="O20" t="str">
        <f t="shared" si="60"/>
        <v xml:space="preserve">		public virtual string StartRun { get; set; }
</v>
      </c>
      <c r="P20" t="str">
        <f t="shared" si="61"/>
        <v xml:space="preserve">							StartRun = o.StartRun,</v>
      </c>
      <c r="T20" s="63" t="str">
        <f t="shared" si="62"/>
        <v xml:space="preserve">								("StartRun"),</v>
      </c>
      <c r="V20" s="64" t="str">
        <f t="shared" si="63"/>
        <v xml:space="preserve">								_ =&gt; _.StartRun,</v>
      </c>
      <c r="W20" s="63" t="str">
        <f t="shared" si="64"/>
        <v xml:space="preserve">				.WhereIf(!string.IsNullOrWhiteSpace(input.StartRun), e =&gt; e.StartRun.Contains(input.StartRun))</v>
      </c>
    </row>
    <row r="21" spans="1:23" customFormat="1" ht="18.75" customHeight="1" x14ac:dyDescent="0.3">
      <c r="A21" t="s">
        <v>382</v>
      </c>
      <c r="B21" t="s">
        <v>357</v>
      </c>
      <c r="C21" t="s">
        <v>1</v>
      </c>
      <c r="D21" t="str">
        <f t="shared" si="52"/>
        <v>EndRun</v>
      </c>
      <c r="E21" t="str">
        <f t="shared" si="53"/>
        <v>VARCHAR</v>
      </c>
      <c r="F21" s="6"/>
      <c r="G21" t="str">
        <f t="shared" si="54"/>
        <v>10</v>
      </c>
      <c r="H21" t="str">
        <f>+VLOOKUP(E21,'Data Type Mapping'!A:B,2,)</f>
        <v>string</v>
      </c>
      <c r="I21" t="str">
        <f t="shared" si="55"/>
        <v xml:space="preserve">		public const int MaxEndRunLength = 10;
</v>
      </c>
      <c r="J21" t="str">
        <f t="shared" si="56"/>
        <v xml:space="preserve">		[StringLength(MaxEndRunLength)]
		public virtual string EndRun { get; set; }
</v>
      </c>
      <c r="K21" s="6"/>
      <c r="L21" t="str">
        <f t="shared" si="57"/>
        <v/>
      </c>
      <c r="M21" t="str">
        <f t="shared" si="58"/>
        <v xml:space="preserve">		public virtual string EndRun { get; set; }
</v>
      </c>
      <c r="N21" t="str">
        <f t="shared" si="59"/>
        <v xml:space="preserve">		[StringLength(InvCkdPartGradeConsts.MaxEndRunLength)]
		public virtual string EndRun { get; set; }
</v>
      </c>
      <c r="O21" t="str">
        <f t="shared" si="60"/>
        <v xml:space="preserve">		public virtual string EndRun { get; set; }
</v>
      </c>
      <c r="P21" t="str">
        <f t="shared" si="61"/>
        <v xml:space="preserve">							EndRun = o.EndRun,</v>
      </c>
      <c r="T21" s="63" t="str">
        <f t="shared" si="62"/>
        <v xml:space="preserve">								("EndRun"),</v>
      </c>
      <c r="V21" s="64" t="str">
        <f t="shared" si="63"/>
        <v xml:space="preserve">								_ =&gt; _.EndRun,</v>
      </c>
      <c r="W21" s="63" t="str">
        <f t="shared" si="64"/>
        <v xml:space="preserve">				.WhereIf(!string.IsNullOrWhiteSpace(input.EndRun), e =&gt; e.EndRun.Contains(input.EndRun))</v>
      </c>
    </row>
    <row r="22" spans="1:23" customFormat="1" ht="18.75" customHeight="1" x14ac:dyDescent="0.3">
      <c r="A22" t="s">
        <v>383</v>
      </c>
      <c r="B22" t="s">
        <v>369</v>
      </c>
      <c r="C22" t="s">
        <v>1</v>
      </c>
      <c r="D22" t="str">
        <f t="shared" si="52"/>
        <v>EfFromPart</v>
      </c>
      <c r="E22" t="str">
        <f t="shared" si="53"/>
        <v>DATETIME</v>
      </c>
      <c r="F22" s="6" t="s">
        <v>361</v>
      </c>
      <c r="G22" t="str">
        <f t="shared" si="54"/>
        <v/>
      </c>
      <c r="H22" t="str">
        <f>+VLOOKUP(E22,'Data Type Mapping'!A:B,2,)</f>
        <v>DateTime?</v>
      </c>
      <c r="I22" t="str">
        <f t="shared" si="55"/>
        <v/>
      </c>
      <c r="J22" t="str">
        <f t="shared" si="56"/>
        <v xml:space="preserve">		[Column(TypeName="DATE")]
		public virtual DateTime? EfFromPart { get; set; }
</v>
      </c>
      <c r="K22" s="6"/>
      <c r="L22" t="str">
        <f t="shared" si="57"/>
        <v/>
      </c>
      <c r="M22" t="str">
        <f t="shared" si="58"/>
        <v xml:space="preserve">		public virtual DateTime? EfFromPart { get; set; }
</v>
      </c>
      <c r="N22" t="str">
        <f t="shared" si="59"/>
        <v xml:space="preserve">		public virtual DateTime? EfFromPart { get; set; }
</v>
      </c>
      <c r="O22" t="str">
        <f t="shared" si="60"/>
        <v/>
      </c>
      <c r="P22" t="str">
        <f t="shared" si="61"/>
        <v xml:space="preserve">							EfFromPart = o.EfFromPart,</v>
      </c>
      <c r="T22" s="63" t="str">
        <f t="shared" si="62"/>
        <v xml:space="preserve">								("EfFromPart"),</v>
      </c>
      <c r="V22" s="64" t="str">
        <f t="shared" si="63"/>
        <v xml:space="preserve">								_ =&gt; _.EfFromPart,</v>
      </c>
      <c r="W22" s="63" t="str">
        <f t="shared" si="64"/>
        <v/>
      </c>
    </row>
    <row r="23" spans="1:23" customFormat="1" ht="18.75" customHeight="1" x14ac:dyDescent="0.3">
      <c r="A23" t="s">
        <v>384</v>
      </c>
      <c r="B23" t="s">
        <v>369</v>
      </c>
      <c r="C23" t="s">
        <v>1</v>
      </c>
      <c r="D23" t="str">
        <f t="shared" si="52"/>
        <v>EfToPart</v>
      </c>
      <c r="E23" t="str">
        <f t="shared" si="53"/>
        <v>DATETIME</v>
      </c>
      <c r="F23" s="6" t="s">
        <v>361</v>
      </c>
      <c r="G23" t="str">
        <f t="shared" si="54"/>
        <v/>
      </c>
      <c r="H23" t="str">
        <f>+VLOOKUP(E23,'Data Type Mapping'!A:B,2,)</f>
        <v>DateTime?</v>
      </c>
      <c r="I23" t="str">
        <f t="shared" si="55"/>
        <v/>
      </c>
      <c r="J23" t="str">
        <f t="shared" si="56"/>
        <v xml:space="preserve">		[Column(TypeName="DATE")]
		public virtual DateTime? EfToPart { get; set; }
</v>
      </c>
      <c r="K23" s="6"/>
      <c r="L23" t="str">
        <f t="shared" si="57"/>
        <v/>
      </c>
      <c r="M23" t="str">
        <f t="shared" si="58"/>
        <v xml:space="preserve">		public virtual DateTime? EfToPart { get; set; }
</v>
      </c>
      <c r="N23" t="str">
        <f t="shared" si="59"/>
        <v xml:space="preserve">		public virtual DateTime? EfToPart { get; set; }
</v>
      </c>
      <c r="O23" t="str">
        <f t="shared" si="60"/>
        <v/>
      </c>
      <c r="P23" t="str">
        <f t="shared" si="61"/>
        <v xml:space="preserve">							EfToPart = o.EfToPart,</v>
      </c>
      <c r="T23" s="63" t="str">
        <f t="shared" si="62"/>
        <v xml:space="preserve">								("EfToPart"),</v>
      </c>
      <c r="V23" s="64" t="str">
        <f t="shared" si="63"/>
        <v xml:space="preserve">								_ =&gt; _.EfToPart,</v>
      </c>
      <c r="W23" s="63" t="str">
        <f t="shared" si="64"/>
        <v/>
      </c>
    </row>
    <row r="24" spans="1:23" customFormat="1" ht="18.75" customHeight="1" x14ac:dyDescent="0.3">
      <c r="A24" t="s">
        <v>385</v>
      </c>
      <c r="B24" t="s">
        <v>357</v>
      </c>
      <c r="C24" t="s">
        <v>1</v>
      </c>
      <c r="D24" t="str">
        <f t="shared" si="52"/>
        <v>OrderPattern</v>
      </c>
      <c r="E24" t="str">
        <f t="shared" si="53"/>
        <v>VARCHAR</v>
      </c>
      <c r="F24" s="6"/>
      <c r="G24" t="str">
        <f t="shared" si="54"/>
        <v>10</v>
      </c>
      <c r="H24" t="str">
        <f>+VLOOKUP(E24,'Data Type Mapping'!A:B,2,)</f>
        <v>string</v>
      </c>
      <c r="I24" t="str">
        <f t="shared" si="55"/>
        <v xml:space="preserve">		public const int MaxOrderPatternLength = 10;
</v>
      </c>
      <c r="J24" t="str">
        <f t="shared" si="56"/>
        <v xml:space="preserve">		[StringLength(MaxOrderPatternLength)]
		public virtual string OrderPattern { get; set; }
</v>
      </c>
      <c r="K24" s="6"/>
      <c r="L24" t="str">
        <f t="shared" si="57"/>
        <v/>
      </c>
      <c r="M24" t="str">
        <f t="shared" si="58"/>
        <v xml:space="preserve">		public virtual string OrderPattern { get; set; }
</v>
      </c>
      <c r="N24" t="str">
        <f t="shared" si="59"/>
        <v xml:space="preserve">		[StringLength(InvCkdPartGradeConsts.MaxOrderPatternLength)]
		public virtual string OrderPattern { get; set; }
</v>
      </c>
      <c r="O24" t="str">
        <f t="shared" si="60"/>
        <v xml:space="preserve">		public virtual string OrderPattern { get; set; }
</v>
      </c>
      <c r="P24" t="str">
        <f t="shared" si="61"/>
        <v xml:space="preserve">							OrderPattern = o.OrderPattern,</v>
      </c>
      <c r="T24" s="63" t="str">
        <f t="shared" si="62"/>
        <v xml:space="preserve">								("OrderPattern"),</v>
      </c>
      <c r="V24" s="64" t="str">
        <f t="shared" si="63"/>
        <v xml:space="preserve">								_ =&gt; _.OrderPattern,</v>
      </c>
      <c r="W24" s="63" t="str">
        <f t="shared" si="64"/>
        <v xml:space="preserve">				.WhereIf(!string.IsNullOrWhiteSpace(input.OrderPattern), e =&gt; e.OrderPattern.Contains(input.OrderPattern))</v>
      </c>
    </row>
    <row r="25" spans="1:23" customFormat="1" ht="18.75" customHeight="1" x14ac:dyDescent="0.3">
      <c r="A25" t="s">
        <v>372</v>
      </c>
      <c r="B25" t="s">
        <v>373</v>
      </c>
      <c r="C25" t="s">
        <v>1</v>
      </c>
      <c r="D25" t="str">
        <f t="shared" ref="D25" si="65">SUBSTITUTE(PROPER(A25),"_","")</f>
        <v>Remark</v>
      </c>
      <c r="E25" t="str">
        <f t="shared" ref="E25" si="66">IFERROR(LEFT(B25, FIND("(",B25)-1),B25)</f>
        <v>NVARCHAR</v>
      </c>
      <c r="F25" s="6"/>
      <c r="G25" t="str">
        <f t="shared" ref="G25" si="67">IFERROR(MID(B25,FIND("(",B25) +1, FIND(")",B25) - FIND("(",B25) - 1),"")</f>
        <v>5000</v>
      </c>
      <c r="H25" t="str">
        <f>+VLOOKUP(E25,'Data Type Mapping'!A:B,2,)</f>
        <v>string</v>
      </c>
      <c r="I25" t="str">
        <f t="shared" ref="I25" si="68">IF(H25="string",REPT(CHAR(9),2)&amp;"public const int Max"&amp;D25&amp;"Length = "&amp;G25&amp;";"&amp;$E$3,"" )</f>
        <v xml:space="preserve">		public const int MaxRemarkLength = 5000;
</v>
      </c>
      <c r="J25" t="str">
        <f t="shared" ref="J25" si="69">IF(F25="","",REPT(CHAR(9),2)&amp;"[Column(TypeName="""&amp;F25&amp;""")]"&amp;$E$3)&amp;IF(C25="Checked","",$I$3)&amp;IF(H25="string",REPT(CHAR(9),2)&amp;"[StringLength(Max"&amp;D25&amp;"Length"&amp;")]"&amp;$E$3,"")&amp;REPT(CHAR(9),2)&amp;"public virtual "&amp;H25&amp;IF(C25="?","? "," ")&amp;D25&amp;" { get; set; }" &amp; "
"</f>
        <v xml:space="preserve">		[StringLength(MaxRemarkLength)]
		public virtual string Remark { get; set; }
</v>
      </c>
      <c r="K25" s="6"/>
      <c r="L25" t="str">
        <f t="shared" ref="L25" si="70">IF(K25="","",REPT(CHAR(9),1)&amp;"[Index(nameof("&amp;IF(D25="","",""&amp;D25)&amp;")"&amp;", Name="&amp;"""IX_"&amp;$B$7&amp;"_"&amp;D25&amp;""")]")</f>
        <v/>
      </c>
      <c r="M25" t="str">
        <f t="shared" ref="M25" si="71">REPT(CHAR(9),2)&amp;"public virtual "&amp;IF(OR(H25="DateTime",H25="TimeSpan"),H25&amp;"?",H25)&amp;IF(C25="?","? "," ")&amp;D25&amp;" { get; set; }" &amp; "
"</f>
        <v xml:space="preserve">		public virtual string Remark { get; set; }
</v>
      </c>
      <c r="N25" t="str">
        <f t="shared" ref="N25" si="72">IF(C25="Checked","",$I$3)&amp;IF(H25="string",REPT(CHAR(9),2)&amp;"[StringLength("&amp;$B$3&amp;"Consts.Max"&amp;D25&amp;"Length"&amp;")]"&amp;$E$3,"")&amp;REPT(CHAR(9),2)&amp;"public virtual "&amp;IF(OR(H25="DateTime",H25="TimeSpan"),H25&amp;"?",H25)&amp;IF(C25="?","? "," ")&amp;D25&amp;" { get; set; }" &amp; "
"</f>
        <v xml:space="preserve">		[StringLength(InvCkdPartGradeConsts.MaxRemarkLength)]
		public virtual string Remark { get; set; }
</v>
      </c>
      <c r="O25" t="str">
        <f t="shared" ref="O25" si="73">IF(OR(H25="string",H25="DateTime",H25="int"),REPT(CHAR(9),2)&amp;"public virtual "&amp;IF(OR(H25="DateTime",H25="TimeSpan"),H25&amp;"?",H25)&amp;IF(C25="?","? "," ")&amp;D25&amp;" { get; set; }"&amp;$E$3,"")</f>
        <v xml:space="preserve">		public virtual string Remark { get; set; }
</v>
      </c>
      <c r="P25" t="str">
        <f t="shared" ref="P25" si="74">REPT(CHAR(9),7)&amp;D25&amp;" = o." &amp;D25 &amp;","</f>
        <v xml:space="preserve">							Remark = o.Remark,</v>
      </c>
      <c r="T25" s="63" t="str">
        <f t="shared" ref="T25" si="75">REPT(CHAR(9),8)&amp;"("""&amp;D25&amp;"""),"</f>
        <v xml:space="preserve">								("Remark"),</v>
      </c>
      <c r="V25" s="64" t="str">
        <f t="shared" ref="V25" si="76">REPT(CHAR(9),8)&amp;"_ =&gt; _."&amp;D25&amp;","</f>
        <v xml:space="preserve">								_ =&gt; _.Remark,</v>
      </c>
      <c r="W25" s="63" t="str">
        <f t="shared" ref="W25" si="77">IF(H25="string",REPT(CHAR(9),4)&amp;".WhereIf(!string.IsNullOrWhiteSpace(input."&amp;D25&amp;"), e =&gt; e."&amp;D25&amp;".Contains(input."&amp;D25&amp;"))",IF(H25="DateTime",REPT(CHAR(9),4)&amp;".WhereIf(input."&amp;D25&amp;".HasValue, t =&gt; t."&amp;D25&amp;" == input."&amp;D25&amp;".Value)",""))</f>
        <v xml:space="preserve">				.WhereIf(!string.IsNullOrWhiteSpace(input.Remark), e =&gt; e.Remark.Contains(input.Remark))</v>
      </c>
    </row>
    <row r="26" spans="1:23" customFormat="1" ht="18.75" customHeight="1" x14ac:dyDescent="0.3">
      <c r="A26" t="s">
        <v>319</v>
      </c>
      <c r="B26" t="s">
        <v>362</v>
      </c>
      <c r="C26" t="s">
        <v>1</v>
      </c>
      <c r="D26" t="str">
        <f t="shared" ref="D26" si="78">SUBSTITUTE(PROPER(A26),"_","")</f>
        <v>IsActive</v>
      </c>
      <c r="E26" t="str">
        <f t="shared" ref="E26" si="79">IFERROR(LEFT(B26, FIND("(",B26)-1),B26)</f>
        <v>VARCHAR</v>
      </c>
      <c r="F26" s="6"/>
      <c r="G26" t="str">
        <f t="shared" ref="G26" si="80">IFERROR(MID(B26,FIND("(",B26) +1, FIND(")",B26) - FIND("(",B26) - 1),"")</f>
        <v>1</v>
      </c>
      <c r="H26" t="str">
        <f>+VLOOKUP(E26,'Data Type Mapping'!A:B,2,)</f>
        <v>string</v>
      </c>
      <c r="I26" t="str">
        <f t="shared" ref="I26" si="81">IF(H26="string",REPT(CHAR(9),2)&amp;"public const int Max"&amp;D26&amp;"Length = "&amp;G26&amp;";"&amp;$E$3,"" )</f>
        <v xml:space="preserve">		public const int MaxIsActiveLength = 1;
</v>
      </c>
      <c r="J26" t="str">
        <f t="shared" ref="J26" si="82">IF(F26="","",REPT(CHAR(9),2)&amp;"[Column(TypeName="""&amp;F26&amp;""")]"&amp;$E$3)&amp;IF(C26="Checked","",$I$3)&amp;IF(H26="string",REPT(CHAR(9),2)&amp;"[StringLength(Max"&amp;D26&amp;"Length"&amp;")]"&amp;$E$3,"")&amp;REPT(CHAR(9),2)&amp;"public virtual "&amp;H26&amp;IF(C26="?","? "," ")&amp;D26&amp;" { get; set; }" &amp; "
"</f>
        <v xml:space="preserve">		[StringLength(MaxIsActiveLength)]
		public virtual string IsActive { get; set; }
</v>
      </c>
      <c r="K26" s="6"/>
      <c r="L26" t="str">
        <f t="shared" ref="L26" si="83">IF(K26="","",REPT(CHAR(9),1)&amp;"[Index(nameof("&amp;IF(D26="","",""&amp;D26)&amp;")"&amp;", Name="&amp;"""IX_"&amp;$B$7&amp;"_"&amp;D26&amp;""")]")</f>
        <v/>
      </c>
      <c r="M26" t="str">
        <f t="shared" ref="M26" si="84">REPT(CHAR(9),2)&amp;"public virtual "&amp;IF(OR(H26="DateTime",H26="TimeSpan"),H26&amp;"?",H26)&amp;IF(C26="?","? "," ")&amp;D26&amp;" { get; set; }" &amp; "
"</f>
        <v xml:space="preserve">		public virtual string IsActive { get; set; }
</v>
      </c>
      <c r="N26" t="str">
        <f t="shared" ref="N26" si="85">IF(C26="Checked","",$I$3)&amp;IF(H26="string",REPT(CHAR(9),2)&amp;"[StringLength("&amp;$B$3&amp;"Consts.Max"&amp;D26&amp;"Length"&amp;")]"&amp;$E$3,"")&amp;REPT(CHAR(9),2)&amp;"public virtual "&amp;IF(OR(H26="DateTime",H26="TimeSpan"),H26&amp;"?",H26)&amp;IF(C26="?","? "," ")&amp;D26&amp;" { get; set; }" &amp; "
"</f>
        <v xml:space="preserve">		[StringLength(InvCkdPartGradeConsts.MaxIsActiveLength)]
		public virtual string IsActive { get; set; }
</v>
      </c>
      <c r="O26" t="str">
        <f t="shared" ref="O26" si="86">IF(OR(H26="string",H26="DateTime",H26="int"),REPT(CHAR(9),2)&amp;"public virtual "&amp;IF(OR(H26="DateTime",H26="TimeSpan"),H26&amp;"?",H26)&amp;IF(C26="?","? "," ")&amp;D26&amp;" { get; set; }"&amp;$E$3,"")</f>
        <v xml:space="preserve">		public virtual string IsActive { get; set; }
</v>
      </c>
      <c r="P26" t="str">
        <f t="shared" ref="P26" si="87">REPT(CHAR(9),7)&amp;D26&amp;" = o." &amp;D26 &amp;","</f>
        <v xml:space="preserve">							IsActive = o.IsActive,</v>
      </c>
      <c r="T26" s="63" t="str">
        <f t="shared" ref="T26" si="88">REPT(CHAR(9),8)&amp;"("""&amp;D26&amp;"""),"</f>
        <v xml:space="preserve">								("IsActive"),</v>
      </c>
      <c r="V26" s="64" t="str">
        <f t="shared" ref="V26" si="89">REPT(CHAR(9),8)&amp;"_ =&gt; _."&amp;D26&amp;","</f>
        <v xml:space="preserve">								_ =&gt; _.IsActive,</v>
      </c>
      <c r="W26" s="63" t="str">
        <f t="shared" ref="W26" si="90">IF(H26="string",REPT(CHAR(9),4)&amp;".WhereIf(!string.IsNullOrWhiteSpace(input."&amp;D26&amp;"), e =&gt; e."&amp;D26&amp;".Contains(input."&amp;D26&amp;"))",IF(H26="DateTime",REPT(CHAR(9),4)&amp;".WhereIf(input."&amp;D26&amp;".HasValue, t =&gt; t."&amp;D26&amp;" == input."&amp;D26&amp;".Value)",""))</f>
        <v xml:space="preserve">				.WhereIf(!string.IsNullOrWhiteSpace(input.IsActive), e =&gt; e.IsActive.Contains(input.IsActive))</v>
      </c>
    </row>
    <row r="28" spans="1:23" ht="45.75" customHeight="1" x14ac:dyDescent="0.3">
      <c r="H28" s="11"/>
      <c r="I28" s="31" t="str">
        <f ca="1">TEXTJOIN2("
", TRUE,INDIRECT( $H$1):INDIRECT( $H$3))</f>
        <v xml:space="preserve">		public const int MaxPartNoLength = 50;
		public const int MaxModelLength = 10;
		public const int MaxCfcLength = 4;
		public const int MaxGradeLength = 3;
		public const int MaxIdLineLength = 10;
		public const int MaxShopLength = 1;
		public const int MaxBodyColorLength = 100;
		public const int MaxStartLotLength = 10;
		public const int MaxEndLotLength = 10;
		public const int MaxStartRunLength = 10;
		public const int MaxEndRunLength = 10;
		public const int MaxOrderPatternLength = 10;
		public const int MaxRemarkLength = 5000;
		public const int MaxIsActiveLength = 1;
</v>
      </c>
      <c r="J28" s="30" t="str">
        <f ca="1">TEXTJOIN2("
", TRUE,INDIRECT( $F$1):INDIRECT( $F$3))</f>
        <v xml:space="preserve">		[StringLength(MaxPartNoLength)]
		public virtual string PartNo { get; set; }
		public virtual long? PartId { get; set; }
		[StringLength(MaxModelLength)]
		public virtual string Model { get; set; }
		[StringLength(MaxCfcLength)]
		public virtual string Cfc { get; set; }
		[StringLength(MaxGradeLength)]
		public virtual string Grade { get; set; }
		[StringLength(MaxIdLineLength)]
		public virtual string IdLine { get; set; }
		[StringLength(MaxShopLength)]
		public virtual string Shop { get; set; }
		[StringLength(MaxBodyColorLength)]
		public virtual string BodyColor { get; set; }
		public virtual decimal? UsageQty { get; set; }
		[StringLength(MaxStartLotLength)]
		public virtual string StartLot { get; set; }
		[StringLength(MaxEndLotLength)]
		public virtual string EndLot { get; set; }
		[StringLength(MaxStartRunLength)]
		public virtual string StartRun { get; set; }
		[StringLength(MaxEndRunLength)]
		public virtual string EndRun { get; set; }
		[Column(TypeName="DATE")]
		public virtual DateTime? EfFromPart { get; set; }
		[Column(TypeName="DATE")]
		public virtual DateTime? EfToPart { get; set; }
		[StringLength(MaxOrderPatternLength)]
		public virtual string OrderPattern { get; set; }
		[StringLength(MaxRemarkLength)]
		public virtual string Remark { get; set; }
		[StringLength(MaxIsActiveLength)]
		public virtual string IsActive { get; set; }
</v>
      </c>
      <c r="K28" s="32" t="str">
        <f ca="1">TEXTJOIN2("
", TRUE,INDIRECT( $J$1):INDIRECT( $J$3))</f>
        <v/>
      </c>
      <c r="L28" s="12" t="s">
        <v>57</v>
      </c>
      <c r="M28" s="33" t="str">
        <f ca="1">TEXTJOIN2("
",TRUE,INDIRECT( $L$1):INDIRECT($L$3))</f>
        <v xml:space="preserve">		public virtual string PartNo { get; set; }
		public virtual long? PartId { get; set; }
		public virtual string Model { get; set; }
		public virtual string Cfc { get; set; }
		public virtual string Grade { get; set; }
		public virtual string IdLine { get; set; }
		public virtual string Shop { get; set; }
		public virtual string BodyColor { get; set; }
		public virtual decimal? UsageQty { get; set; }
		public virtual string StartLot { get; set; }
		public virtual string EndLot { get; set; }
		public virtual string StartRun { get; set; }
		public virtual string EndRun { get; set; }
		public virtual DateTime? EfFromPart { get; set; }
		public virtual DateTime? EfToPart { get; set; }
		public virtual string OrderPattern { get; set; }
		public virtual string Remark { get; set; }
		public virtual string IsActive { get; set; }
</v>
      </c>
      <c r="N28" s="30" t="str">
        <f ca="1">TEXTJOIN2("
",TRUE,INDIRECT( $M$1):INDIRECT($M$3))</f>
        <v xml:space="preserve">		[StringLength(InvCkdPartGradeConsts.MaxPartNoLength)]
		public virtual string PartNo { get; set; }
		public virtual long? PartId { get; set; }
		[StringLength(InvCkdPartGradeConsts.MaxModelLength)]
		public virtual string Model { get; set; }
		[StringLength(InvCkdPartGradeConsts.MaxCfcLength)]
		public virtual string Cfc { get; set; }
		[StringLength(InvCkdPartGradeConsts.MaxGradeLength)]
		public virtual string Grade { get; set; }
		[StringLength(InvCkdPartGradeConsts.MaxIdLineLength)]
		public virtual string IdLine { get; set; }
		[StringLength(InvCkdPartGradeConsts.MaxShopLength)]
		public virtual string Shop { get; set; }
		[StringLength(InvCkdPartGradeConsts.MaxBodyColorLength)]
		public virtual string BodyColor { get; set; }
		public virtual decimal? UsageQty { get; set; }
		[StringLength(InvCkdPartGradeConsts.MaxStartLotLength)]
		public virtual string StartLot { get; set; }
		[StringLength(InvCkdPartGradeConsts.MaxEndLotLength)]
		public virtual string EndLot { get; set; }
		[StringLength(InvCkdPartGradeConsts.MaxStartRunLength)]
		public virtual string StartRun { get; set; }
		[StringLength(InvCkdPartGradeConsts.MaxEndRunLength)]
		public virtual string EndRun { get; set; }
		public virtual DateTime? EfFromPart { get; set; }
		public virtual DateTime? EfToPart { get; set; }
		[StringLength(InvCkdPartGradeConsts.MaxOrderPatternLength)]
		public virtual string OrderPattern { get; set; }
		[StringLength(InvCkdPartGradeConsts.MaxRemarkLength)]
		public virtual string Remark { get; set; }
		[StringLength(InvCkdPartGradeConsts.MaxIsActiveLength)]
		public virtual string IsActive { get; set; }
</v>
      </c>
      <c r="O28" s="30" t="str">
        <f ca="1">TEXTJOIN2("
",TRUE,INDIRECT( $N$1):INDIRECT($N$3))</f>
        <v xml:space="preserve">		public virtual string PartNo { get; set; }
		public virtual string Model { get; set; }
		public virtual string Cfc { get; set; }
		public virtual string Grade { get; set; }
		public virtual string IdLine { get; set; }
		public virtual string Shop { get; set; }
		public virtual string BodyColor { get; set; }
		public virtual string StartLot { get; set; }
		public virtual string EndLot { get; set; }
		public virtual string StartRun { get; set; }
		public virtual string EndRun { get; set; }
		public virtual string OrderPattern { get; set; }
		public virtual string Remark { get; set; }
		public virtual string IsActive { get; set; }
</v>
      </c>
      <c r="P28" s="8" t="str">
        <f ca="1">TEXTJOIN2("
",TRUE,INDIRECT( $O$1):INDIRECT($O$3))</f>
        <v xml:space="preserve">							PartNo = o.PartNo,
							PartId = o.PartId,
							Model = o.Model,
							Cfc = o.Cfc,
							Grade = o.Grade,
							IdLine = o.IdLine,
							Shop = o.Shop,
							BodyColor = o.BodyColor,
							UsageQty = o.UsageQty,
							StartLot = o.StartLot,
							EndLot = o.EndLot,
							StartRun = o.StartRun,
							EndRun = o.EndRun,
							EfFromPart = o.EfFromPart,
							EfToPart = o.EfToPart,
							OrderPattern = o.OrderPattern,
							Remark = o.Remark,
							IsActive = o.IsActive,</v>
      </c>
      <c r="T28" s="8" t="str">
        <f ca="1">TEXTJOIN2("
",TRUE,INDIRECT( $T$2):INDIRECT($T$3))</f>
        <v xml:space="preserve">								("PartNo"),
								("PartId"),
								("Model"),
								("Cfc"),
								("Grade"),
								("IdLine"),
								("Shop"),
								("BodyColor"),
								("UsageQty"),
								("StartLot"),
								("EndLot"),
								("StartRun"),
								("EndRun"),
								("EfFromPart"),
								("EfToPart"),
								("OrderPattern"),
								("Remark"),
								("IsActive"),</v>
      </c>
      <c r="V28" s="8" t="str">
        <f ca="1">TEXTJOIN2("
",TRUE,INDIRECT( $V$2):INDIRECT($V$3))</f>
        <v xml:space="preserve">								_ =&gt; _.PartNo,
								_ =&gt; _.PartId,
								_ =&gt; _.Model,
								_ =&gt; _.Cfc,
								_ =&gt; _.Grade,
								_ =&gt; _.IdLine,
								_ =&gt; _.Shop,
								_ =&gt; _.BodyColor,
								_ =&gt; _.UsageQty,
								_ =&gt; _.StartLot,
								_ =&gt; _.EndLot,
								_ =&gt; _.StartRun,
								_ =&gt; _.EndRun,
								_ =&gt; _.EfFromPart,
								_ =&gt; _.EfToPart,
								_ =&gt; _.OrderPattern,
								_ =&gt; _.Remark,
								_ =&gt; _.IsActive,</v>
      </c>
      <c r="W28" s="8" t="str">
        <f ca="1">TEXTJOIN2("
",TRUE,INDIRECT( $W$2):INDIRECT($W$3))</f>
        <v xml:space="preserve">				.WhereIf(!string.IsNullOrWhiteSpace(input.PartNo), e =&gt; e.PartNo.Contains(input.PartNo))
				.WhereIf(!string.IsNullOrWhiteSpace(input.Model), e =&gt; e.Model.Contains(input.Model))
				.WhereIf(!string.IsNullOrWhiteSpace(input.Cfc), e =&gt; e.Cfc.Contains(input.Cfc))
				.WhereIf(!string.IsNullOrWhiteSpace(input.Grade), e =&gt; e.Grade.Contains(input.Grade))
				.WhereIf(!string.IsNullOrWhiteSpace(input.IdLine), e =&gt; e.IdLine.Contains(input.IdLine))
				.WhereIf(!string.IsNullOrWhiteSpace(input.Shop), e =&gt; e.Shop.Contains(input.Shop))
				.WhereIf(!string.IsNullOrWhiteSpace(input.BodyColor), e =&gt; e.BodyColor.Contains(input.BodyColor))
				.WhereIf(!string.IsNullOrWhiteSpace(input.StartLot), e =&gt; e.StartLot.Contains(input.StartLot))
				.WhereIf(!string.IsNullOrWhiteSpace(input.EndLot), e =&gt; e.EndLot.Contains(input.EndLot))
				.WhereIf(!string.IsNullOrWhiteSpace(input.StartRun), e =&gt; e.StartRun.Contains(input.StartRun))
				.WhereIf(!string.IsNullOrWhiteSpace(input.EndRun), e =&gt; e.EndRun.Contains(input.EndRun))
				.WhereIf(!string.IsNullOrWhiteSpace(input.OrderPattern), e =&gt; e.OrderPattern.Contains(input.OrderPattern))
				.WhereIf(!string.IsNullOrWhiteSpace(input.Remark), e =&gt; e.Remark.Contains(input.Remark))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34"/>
  <sheetViews>
    <sheetView workbookViewId="0">
      <selection activeCell="V21" sqref="A20:V21"/>
    </sheetView>
  </sheetViews>
  <sheetFormatPr defaultColWidth="8.77734375" defaultRowHeight="14.4" x14ac:dyDescent="0.3"/>
  <cols>
    <col min="1" max="1" width="17.77734375" customWidth="1"/>
    <col min="2" max="2" width="15.44140625" customWidth="1"/>
    <col min="3" max="3" width="16.77734375" customWidth="1"/>
    <col min="4" max="7" width="15.21875" customWidth="1"/>
    <col min="8" max="8" width="24.44140625" customWidth="1"/>
    <col min="9" max="9" width="26.21875" customWidth="1"/>
    <col min="10" max="10" width="22.21875" customWidth="1"/>
    <col min="11" max="11" width="25.77734375" customWidth="1"/>
    <col min="12" max="12" width="23.77734375" customWidth="1"/>
    <col min="13" max="13" width="23.44140625" customWidth="1"/>
    <col min="14" max="15" width="20.44140625" customWidth="1"/>
    <col min="16" max="16" width="25.77734375" customWidth="1"/>
    <col min="17" max="18" width="25.44140625" customWidth="1"/>
    <col min="19" max="19" width="24" customWidth="1"/>
    <col min="20" max="20" width="19.21875" customWidth="1"/>
    <col min="21" max="21" width="19.77734375" customWidth="1"/>
    <col min="22" max="22" width="13.77734375" customWidth="1"/>
  </cols>
  <sheetData>
    <row r="1" spans="1:22" x14ac:dyDescent="0.3">
      <c r="A1" s="38" t="s">
        <v>208</v>
      </c>
      <c r="B1" s="39" t="s">
        <v>376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</row>
    <row r="2" spans="1:22" x14ac:dyDescent="0.3">
      <c r="A2" s="38" t="s">
        <v>233</v>
      </c>
      <c r="B2" s="39" t="str">
        <f>A.Backend!B4</f>
        <v>Inventory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</row>
    <row r="3" spans="1:22" x14ac:dyDescent="0.3">
      <c r="A3" s="38" t="s">
        <v>233</v>
      </c>
      <c r="B3" s="39" t="str">
        <f>LOWER(B2)</f>
        <v>inventory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</row>
    <row r="4" spans="1:22" x14ac:dyDescent="0.3">
      <c r="A4" s="38" t="s">
        <v>210</v>
      </c>
      <c r="B4" s="40" t="str">
        <f>A.Backend!Q3</f>
        <v>CKD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</row>
    <row r="5" spans="1:22" x14ac:dyDescent="0.3">
      <c r="A5" s="38" t="s">
        <v>210</v>
      </c>
      <c r="B5" s="40" t="str">
        <f>LOWER(B4)</f>
        <v>ckd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</row>
    <row r="6" spans="1:22" x14ac:dyDescent="0.3">
      <c r="A6" s="38" t="s">
        <v>220</v>
      </c>
      <c r="B6" s="41" t="str">
        <f>A.Backend!B3</f>
        <v>InvCkdPartGrade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</row>
    <row r="7" spans="1:22" x14ac:dyDescent="0.3">
      <c r="A7" s="38" t="s">
        <v>211</v>
      </c>
      <c r="B7" s="40" t="str">
        <f>A.Backend!B5</f>
        <v>PartGrade</v>
      </c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</row>
    <row r="8" spans="1:22" x14ac:dyDescent="0.3">
      <c r="A8" s="38" t="s">
        <v>209</v>
      </c>
      <c r="B8" s="40" t="str">
        <f>LOWER(B7)</f>
        <v>partgrade</v>
      </c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</row>
    <row r="9" spans="1:22" ht="18.75" customHeight="1" x14ac:dyDescent="0.3">
      <c r="A9" s="50" t="s">
        <v>212</v>
      </c>
      <c r="B9" s="51"/>
      <c r="C9" s="50"/>
      <c r="D9" s="50"/>
      <c r="E9" s="50"/>
      <c r="F9" s="50"/>
      <c r="G9" s="50"/>
      <c r="H9" s="42" t="s">
        <v>264</v>
      </c>
      <c r="I9" s="43" t="s">
        <v>265</v>
      </c>
      <c r="J9" s="42" t="s">
        <v>215</v>
      </c>
      <c r="K9" s="44" t="s">
        <v>252</v>
      </c>
      <c r="L9" s="43" t="s">
        <v>256</v>
      </c>
      <c r="M9" s="42" t="s">
        <v>245</v>
      </c>
      <c r="N9" s="42" t="s">
        <v>216</v>
      </c>
      <c r="O9" s="42" t="s">
        <v>217</v>
      </c>
      <c r="P9" s="43" t="s">
        <v>219</v>
      </c>
      <c r="Q9" s="42" t="s">
        <v>246</v>
      </c>
      <c r="R9" s="42" t="s">
        <v>229</v>
      </c>
      <c r="S9" s="28"/>
      <c r="T9" s="28"/>
      <c r="U9" s="28"/>
      <c r="V9" s="28"/>
    </row>
    <row r="10" spans="1:22" ht="18.75" customHeight="1" x14ac:dyDescent="0.3">
      <c r="A10" s="52" t="s">
        <v>213</v>
      </c>
      <c r="B10" s="53"/>
      <c r="C10" s="46"/>
      <c r="D10" s="46"/>
      <c r="E10" s="46"/>
      <c r="F10" s="46"/>
      <c r="G10" s="46"/>
      <c r="H10" s="45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InvCkdPartGradeDto, InvCkdPartGradeServiceProxy } from '@shared/service-proxies/service-proxies';
import { finalize } from 'rxjs/internal/operators/finalize';
import { CreateOrEditPartGradeModalComponent } from './create-or-edit-partgrade-modal.component';
import { DatePipe } from '@angular/common';
import { FileDownloadService } from '@shared/utils/file-download.service';
import ceil from 'lodash-es/ceil';
import { Paginator } from 'primeng/paginator';
@Component({
    templateUrl: './partgrade.component.html',
    styleUrls: ['./partgrade.component.less'],
})
export class PartGradeComponent extends AppComponentBase implements OnInit {
    @ViewChild('createOrEditModalPartGrade', { static: true }) createOrEditModalPartGrade:| CreateOrEditPartGradeModalComponent|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InvCkdPartGradeDto = new InvCkdPartGradeDto();
    saveSelectedRow: InvCkdPartGradeDto = new InvCkdPartGradeDto();
    datas: InvCkdPartGradeDto = new InvCkdPartGradeDto();
    isLoading: boolean = false;
    dataParams: GridParams | undefined;
    rowData: any[] = [];
    gridApi!: GridApi;
    rowSelection = 'multiple';
    filter: string = '';
	pipe = new DatePipe('en-US');
	frameworkComponents: FrameworkComponent;
    	partNo : string = '' ; 
	partId
	model : string = '' ; 
	cfc : string = '' ; 
	grade : string = '' ; 
	idLine : string = '' ; 
	shop : string = '' ; 
	bodyColor : string = '' ; 
	usageQty
	startLot : string = '' ; 
	endLot : string = '' ; 
	startRun : string = '' ; 
	endRun : string = '' ; 
	efFromPart
	efToPart
	orderPattern : string = '' ; 
	remark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InvCkdPartGradeServiceProxy,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this.l('Part No'),headerTooltip: this.l('Part No'),field: 'partNo',flex: 1},
			{headerName: this.l('Part Id'),headerTooltip: this.l('Part Id'),field: 'partId',flex: 1},
			{headerName: this.l('Model'),headerTooltip: this.l('Model'),field: 'model',flex: 1},
			{headerName: this.l('Cfc'),headerTooltip: this.l('Cfc'),field: 'cfc',flex: 1},
			{headerName: this.l('Grade'),headerTooltip: this.l('Grade'),field: 'grade',flex: 1},
			{headerName: this.l('Id Line'),headerTooltip: this.l('Id Line'),field: 'idLine',flex: 1},
			{headerName: this.l('Shop'),headerTooltip: this.l('Shop'),field:  'shop', cellClass: ['text-center'], width: 120, cellRenderer: 'agCellButtonComponent',
buttonDefTwo: { text: params =&gt; (params.data?.'shop' == 'Y') ? 'Active' : 'Inactive',iconName: 'fa fa-circle',className: params =&gt; (params.data?.'shop' == 'Y') ? 'btnActive' : 'btnInActive',},}
			{headerName: this.l('Body Color'),headerTooltip: this.l('Body Color'),field: 'bodyColor',flex: 1},
			{headerName: this.l('Usage Qty'),headerTooltip: this.l('Usage Qty'),field: 'usageQty',flex: 1},
			{headerName: this.l('Start Lot'),headerTooltip: this.l('Start Lot'),field: 'startLot',flex: 1},
			{headerName: this.l('End Lot'),headerTooltip: this.l('End Lot'),field: 'endLot',flex: 1},
			{headerName: this.l('Start Run'),headerTooltip: this.l('Start Run'),field: 'startRun',flex: 1},
			{headerName: this.l('End Run'),headerTooltip: this.l('End Run'),field: 'endRun',flex: 1},
			{headerName: this.l('Ef From Part'),headerTooltip: this.l('Ef From Part'),field: 'efFromPart',flex: 1},
			{headerName: this.l('Ef To Part'),headerTooltip: this.l('Ef To Part'),field: 'efToPart',flex: 1},
			{headerName: this.l('Order Pattern'),headerTooltip: this.l('Order Pattern'),field: 'orderPattern',flex: 1},
			{headerName: this.l('Remark'),headerTooltip: this.l('Remark'),field: 'remark',flex: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this.partNo,
			this.partId,
			this.model,
			this.cfc,
			this.grade,
			this.idLine,
			this.shop,
			this.bodyColor,
			this.usageQty,
			this.startLot,
			this.endLot,
			this.startRun,
			this.endRun,
			this.efFromPart,
			this.efToPart,
			this.orderPattern,
			this.remark,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this.partNo = '',
		this.partId = '',
		this.model = '',
		this.cfc = '',
		this.grade = '',
		this.idLine = '',
		this.shop = '',
		this.bodyColor = '',
		this.usageQty = '',
		this.startLot = '',
		this.endLot = '',
		this.startRun = '',
		this.endRun = '',
		this.efFromPart = '',
		this.efToPart = '',
		this.orderPattern = '',
		this.remark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this.partNo,
			this.partId,
			this.model,
			this.cfc,
			this.grade,
			this.idLine,
			this.shop,
			this.bodyColor,
			this.usageQty,
			this.startLot,
			this.endLot,
			this.startRun,
			this.endRun,
			this.efFromPart,
			this.efToPart,
			this.orderPattern,
			this.remark,
			this.isActive,
			'',
            this.paginationParams.skipCount,
            this.paginationParams.pageSize
        );
    }
    onChangeRowSelection(params: { api: { getSelectedRows: () =&gt; InvCkdPartGradeDto[] } }) {
        this.saveSelectedRow = params.api.getSelectedRows()[0] ?? new InvCkdPartGradeDto();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InvCkdPartGradeDto):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this._service.getPartGradeToExcel(
			this.partNo,
			this.partId,
			this.model,
			this.cfc,
			this.grade,
			this.idLine,
			this.shop,
			this.bodyColor,
			this.usageQty,
			this.startLot,
			this.endLot,
			this.startRun,
			this.endRun,
			this.efFromPart,
			this.efToPart,
			this.orderPattern,
			this.remark,
			this.isActive,
            )
            .subscribe((result) =&gt; {
                this._fileDownloadService.downloadTempFile(result);
        });
    }
}</v>
      </c>
      <c r="I10" s="45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Part Grade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[(ngModel)]='model' name='model'
									class='form-control' [placeholder]="l('Model')"
									type='text' (keyup.enter)='searchDatas()'&gt;
								&lt;/div&gt;
								&lt;div class='input-search'&gt;
									&lt;input [(ngModel)]='cfc' name='cfc'
									class='form-control' [placeholder]="l('Cfc')"
									type='text' (keyup.enter)='searchDatas()'&gt;
								&lt;/div&gt;
								&lt;div class='input-search'&gt;
									&lt;input [(ngModel)]='grade' name='grade'
									class='form-control' [placeholder]="l('Grade')"
									type='text' (keyup.enter)='searchDatas()'&gt;
								&lt;/div&gt;
								&lt;div class='input-search'&gt;
									&lt;input [(ngModel)]='idLine' name='idLine'
									class='form-control' [placeholder]="l('Id Line')"
									type='text' (keyup.enter)='searchDatas()'&gt;
								&lt;/div&gt;
								&lt;div class='input-search'&gt;
									&lt;input [(ngModel)]='shop' name='shop'
									class='form-control' [placeholder]="l('Shop')"
									type='text' (keyup.enter)='searchDatas()'&gt;
								&lt;/div&gt;
								&lt;div class='input-search'&gt;
									&lt;input [(ngModel)]='bodyColor' name='bodyColor'
									class='form-control' [placeholder]="l('Body Color')"
									type='text' (keyup.enter)='searchDatas()'&gt;
								&lt;/div&gt;
								&lt;div class='input-search'&gt;
									&lt;input [(ngModel)]='startLot' name='startLot'
									class='form-control' [placeholder]="l('Start Lot')"
									type='text' (keyup.enter)='searchDatas()'&gt;
								&lt;/div&gt;
								&lt;div class='input-search'&gt;
									&lt;input [(ngModel)]='endLot' name='endLot'
									class='form-control' [placeholder]="l('End Lot')"
									type='text' (keyup.enter)='searchDatas()'&gt;
								&lt;/div&gt;
								&lt;div class='input-search'&gt;
									&lt;input [(ngModel)]='startRun' name='startRun'
									class='form-control' [placeholder]="l('Start Run')"
									type='text' (keyup.enter)='searchDatas()'&gt;
								&lt;/div&gt;
								&lt;div class='input-search'&gt;
									&lt;input [(ngModel)]='endRun' name='endRun'
									class='form-control' [placeholder]="l('End Run')"
									type='text' (keyup.enter)='searchDatas()'&gt;
								&lt;/div&gt;
								&lt;div class='input-search'&gt;
									&lt;input [(ngModel)]='orderPattern' name='orderPattern'
									class='form-control' [placeholder]="l('Order Pattern')"
									type='text' (keyup.enter)='searchDatas()'&gt;
								&lt;/div&gt;
								&lt;div class='input-search'&gt;
									&lt;input [(ngModel)]='remark' name='remark'
									class='form-control' [placeholder]="l('Remark')"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(click)="createOrEditModalPartGrade.show()"&gt;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(click)="createOrEditModalPartGrade.show(selectedRow)"&gt;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&lt;create-or-edit-partgrade-modal
    #createOrEditModalPartGrade
    (modalSave)="callBackDataGrid(dataParams)"
    (modalClose)="onChangeRowSelection(dataParams)"
&gt;
&lt;/create-or-edit-partgrade-modal&gt;</v>
      </c>
      <c r="J10" s="45" t="str">
        <f>J9</f>
        <v>.input-search{
    width: 250px;
    border-radius: 10px;
    margin-left: 10px;
}
.btn-search{
    width: 50px;
    margin-left: 10px;
}</v>
      </c>
      <c r="K10" s="45" t="str">
        <f ca="1">SUBSTITUTE(SUBSTITUTE(SUBSTITUTE(SUBSTITUTE(K9,"MstWptCalendar",$B$6),"Calendar",$B$7),"calendar",$B$8),"&lt;PROPERTIES&gt;",K13)</f>
        <v>&lt;div bsModal #createOrEditModalPartGrade="bs-modal"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PartGrade')}}&lt;/h3&gt;
                    &lt;h3 *ngIf="!rowdata.id"&gt;{{('Create New PartGrade')}}&lt;/h3&gt;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title'&gt;Model&lt;/label&gt;
						&lt;input type='text' class='col-md-10 form-control input-text' name='Model' [(ngModel)]='rowdata.model'&gt;
					&lt;/div&gt;
					&lt;div class='col-md-12 form-group row'&gt;
						&lt;label class='col-md-2 form-control title'&gt;Cfc&lt;/label&gt;
						&lt;input type='text' class='col-md-10 form-control input-text' name='Cfc' [(ngModel)]='rowdata.cfc'&gt;
					&lt;/div&gt;
					&lt;div class='col-md-12 form-group row'&gt;
						&lt;label class='col-md-2 form-control title'&gt;Grade&lt;/label&gt;
						&lt;input type='text' class='col-md-10 form-control input-text' name='Grade' [(ngModel)]='rowdata.grade'&gt;
					&lt;/div&gt;
					&lt;div class='col-md-12 form-group row'&gt;
						&lt;label class='col-md-2 form-control title'&gt;Id Line&lt;/label&gt;
						&lt;input type='text' class='col-md-10 form-control input-text' name='IdLine' [(ngModel)]='rowdata.idLine'&gt;
					&lt;/div&gt;
					&lt;div class='col-md-12 form-group row'&gt;
						&lt;label class='col-md-2 form-control title'&gt;Shop&lt;/label&gt;
						&lt;new-checkbox [(ngModel)]='_shop' name='shop' className='col-md-10' &gt; &lt;/new-checkbox&gt;
					&lt;/div&gt;
					&lt;div class='col-md-12 form-group row'&gt;
						&lt;label class='col-md-2 form-control title'&gt;Body Color&lt;/label&gt;
						&lt;input type='text' class='col-md-10 form-control input-text' name='BodyColor' [(ngModel)]='rowdata.bodyColor'&gt;
					&lt;/div&gt;
					&lt;div class='col-md-12 form-group row'&gt;
						&lt;label class='col-md-2 form-control title'&gt;Start Lot&lt;/label&gt;
						&lt;input type='text' class='col-md-10 form-control input-text' name='StartLot' [(ngModel)]='rowdata.startLot'&gt;
					&lt;/div&gt;
					&lt;div class='col-md-12 form-group row'&gt;
						&lt;label class='col-md-2 form-control title'&gt;End Lot&lt;/label&gt;
						&lt;input type='text' class='col-md-10 form-control input-text' name='EndLot' [(ngModel)]='rowdata.endLot'&gt;
					&lt;/div&gt;
					&lt;div class='col-md-12 form-group row'&gt;
						&lt;label class='col-md-2 form-control title'&gt;Start Run&lt;/label&gt;
						&lt;input type='text' class='col-md-10 form-control input-text' name='StartRun' [(ngModel)]='rowdata.startRun'&gt;
					&lt;/div&gt;
					&lt;div class='col-md-12 form-group row'&gt;
						&lt;label class='col-md-2 form-control title'&gt;End Run&lt;/label&gt;
						&lt;input type='text' class='col-md-10 form-control input-text' name='EndRun' [(ngModel)]='rowdata.endRun'&gt;
					&lt;/div&gt;
					&lt;div class='col-md-12 form-group row'&gt;
						&lt;label class='col-md-2 form-control title'&gt;Order Pattern&lt;/label&gt;
						&lt;input type='text' class='col-md-10 form-control input-text' name='OrderPattern' [(ngModel)]='rowdata.orderPattern'&gt;
					&lt;/div&gt;
					&lt;div class='col-md-12 form-group row'&gt;
						&lt;label class='col-md-2 form-control title'&gt;Remark&lt;/label&gt;
						&lt;input type='text' class='col-md-10 form-control input-text' name='Remark' [(ngModel)]='rowdata.remark'&gt;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5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CreateOrEditInvCkdPartGradeDto, InvCkdPartGradeServiceProxy } from '@shared/service-proxies/service-proxies';
import { BsDatepickerDirective } from 'ngx-bootstrap/datepicker';
@Component({
    selector: 'create-or-edit-partgrade-modal',
    templateUrl: './create-or-edit-partgrade-modal.component.html',
    styleUrls: ['./create-or-edit-partgrade-modal.component.less']
    })
export class CreateOrEditPartGradeModalComponent extends AppComponentBase {
    @ViewChild('createOrEditModalPartGrade',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CreateOrEditInvCkdPartGradeDto = new CreateOrEditInvCkdPartGradeDto();
    active: boolean = false;
    saving: boolean = false;
    _shop
isActive: boolean;
    constructor(
        injector: Injector,
        private _mstwptPartGradeService: InvCkdPartGradeServiceProxy,
    ) 
    {
        super(injector);
    }
    show(rowdata?: CreateOrEditInvCkdPartGradeDto): void {
        if (!rowdata) this.rowdata = new CreateOrEditInvCkdPartGradeDto();
        else this.rowdata = rowdata;
        this._shop
isActive = (this.rowdata.shop
isActive == "N")? false: true;
        this.active = true;
        this.modal.show();
    } 
    changeActive(event){
        this._shop
isActive = event.target.checked;
    }
    save(): void {
    this.saving = true; 
    this.rowdata.shop
isActive = (this._shop
isActive == true) ? 'Y' : 'N'
    this._mstwptPartGradeService.createOrEdit(this.rowdata)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5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5" t="str">
        <f>SUBSTITUTE(SUBSTITUTE(SUBSTITUTE(N9,"MstWptCalendar",$B$6),"Calendar",$B$7),"calendar",$B$8)</f>
        <v>import {NgModule} from '@angular/core';
import {AppSharedModule} from '@app/shared/app-shared.module';
import { PartGradeRoutingModule } from './partgrade-routing.module';
import { PartGradeComponent } from './partgrade.component';
import { CreateOrEditPartGradeModalComponent } from './create-or-edit-partgrade-modal.component';
@NgModule({
    declarations: [
       PartGradeComponent, 
        CreateOrEditPartGradeModalComponent
    ],
    imports: [
        AppSharedModule, PartGradeRoutingModule]
})
export class PartGradeModule {}</v>
      </c>
      <c r="O10" s="45" t="str">
        <f>SUBSTITUTE(SUBSTITUTE(SUBSTITUTE(O9,"MstWptCalendar",$B$6),"Calendar",$B$7),"calendar",$B$8)</f>
        <v>import {NgModule} from '@angular/core';
import {RouterModule, Routes} from '@angular/router';
import { PartGradeComponent } from './partgrade.component';
const routes: Routes = [{
    path: '',
    component: PartGradeComponent,
    pathMatch: 'full'
}];
@NgModule({
    imports: [RouterModule.forChild(routes)],
    exports: [RouterModule],
})
export class PartGradeRoutingModule {}</v>
      </c>
      <c r="P10" s="45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AppMenuItem("PartGrade", "Pages.Inventory.CKD.PartGrade", "flaticon-book",   "/app/main/inventory/ckd/partgrade"),</v>
      </c>
      <c r="Q10" s="45" t="str">
        <f>SUBSTITUTE(SUBSTITUTE(SUBSTITUTE(SUBSTITUTE(SUBSTITUTE(SUBSTITUTE(SUBSTITUTE(Q9,"MstWptCalendar",$B$6),"Calendar",$B$7),"calendar",$B$8),"WorkingPattern",$B$4),"workingpattern",$B$5),"Master",$B$2),"master",$B$3)</f>
        <v>{
    path: 'inventory/ckd/partgrade',
    loadChildren: () =&gt; import('./inventory/ckd/partgrade/partgrade.module').then(m =&gt; m.PartGradeModule),
    data: { permission: 'Pages.Inventory.CKD.PartGrade' }
},</v>
      </c>
      <c r="R10" s="47" t="str">
        <f>SUBSTITUTE(R9,"MstWptCalendar",$B$6)</f>
        <v>ApiServiceProxies.InvCkdPartGradeServiceProxy,</v>
      </c>
      <c r="S10" s="28"/>
      <c r="T10" s="28"/>
      <c r="U10" s="28"/>
      <c r="V10" s="28"/>
    </row>
    <row r="11" spans="1:22" x14ac:dyDescent="0.3">
      <c r="A11" s="54">
        <v>1</v>
      </c>
      <c r="B11" s="34">
        <v>1</v>
      </c>
      <c r="C11" s="28"/>
      <c r="D11" s="28"/>
      <c r="E11" s="28"/>
      <c r="F11" s="28"/>
      <c r="G11" s="28"/>
      <c r="H11" s="28" t="s">
        <v>244</v>
      </c>
      <c r="I11" s="28" t="s">
        <v>257</v>
      </c>
      <c r="J11" s="28"/>
      <c r="K11" s="28" t="s">
        <v>255</v>
      </c>
      <c r="L11" s="28" t="s">
        <v>258</v>
      </c>
      <c r="M11" s="35"/>
      <c r="N11" s="28"/>
      <c r="O11" s="28"/>
      <c r="P11" s="28"/>
      <c r="Q11" s="28"/>
      <c r="R11" s="28"/>
      <c r="S11" s="28" t="s">
        <v>249</v>
      </c>
      <c r="T11" s="28" t="s">
        <v>250</v>
      </c>
      <c r="U11" s="28" t="s">
        <v>259</v>
      </c>
      <c r="V11" s="28" t="s">
        <v>261</v>
      </c>
    </row>
    <row r="12" spans="1:22" x14ac:dyDescent="0.3">
      <c r="A12" s="54">
        <v>2</v>
      </c>
      <c r="B12" s="34"/>
      <c r="C12" s="28"/>
      <c r="D12" s="28"/>
      <c r="E12" s="28"/>
      <c r="F12" s="28"/>
      <c r="G12" s="28"/>
      <c r="H12" s="28" t="str">
        <f>"H"&amp;COUNTA($A:$A)</f>
        <v>H32</v>
      </c>
      <c r="I12" s="28" t="str">
        <f>"I"&amp;COUNTA($A:$A)</f>
        <v>I32</v>
      </c>
      <c r="J12" s="28"/>
      <c r="K12" s="28" t="str">
        <f>"K"&amp;COUNTA($A:$A)</f>
        <v>K32</v>
      </c>
      <c r="L12" s="28" t="str">
        <f>"L"&amp;COUNTA($A:$A)</f>
        <v>L32</v>
      </c>
      <c r="M12" s="28"/>
      <c r="N12" s="28"/>
      <c r="O12" s="28"/>
      <c r="P12" s="28"/>
      <c r="Q12" s="28"/>
      <c r="R12" s="28"/>
      <c r="S12" s="28" t="str">
        <f>"S"&amp;COUNTA($A:$A)</f>
        <v>S32</v>
      </c>
      <c r="T12" s="28" t="str">
        <f>"T"&amp;COUNTA($A:$A)</f>
        <v>T32</v>
      </c>
      <c r="U12" s="28" t="str">
        <f>"U"&amp;COUNTA($A:$A)</f>
        <v>U32</v>
      </c>
      <c r="V12" s="28" t="str">
        <f>"V"&amp;COUNTA($A:$A)</f>
        <v>V32</v>
      </c>
    </row>
    <row r="13" spans="1:22" ht="17.25" customHeight="1" x14ac:dyDescent="0.3">
      <c r="A13" s="54">
        <v>3</v>
      </c>
      <c r="B13" s="28"/>
      <c r="C13" s="28"/>
      <c r="D13" s="28"/>
      <c r="E13" s="28"/>
      <c r="F13" s="28"/>
      <c r="G13" s="28"/>
      <c r="H13" s="35" t="str">
        <f ca="1">TEXTJOIN2("
",TRUE,INDIRECT(H11):INDIRECT(H12))</f>
        <v xml:space="preserve">			{headerName: this.l('Part No'),headerTooltip: this.l('Part No'),field: 'partNo',flex: 1},
			{headerName: this.l('Part Id'),headerTooltip: this.l('Part Id'),field: 'partId',flex: 1},
			{headerName: this.l('Model'),headerTooltip: this.l('Model'),field: 'model',flex: 1},
			{headerName: this.l('Cfc'),headerTooltip: this.l('Cfc'),field: 'cfc',flex: 1},
			{headerName: this.l('Grade'),headerTooltip: this.l('Grade'),field: 'grade',flex: 1},
			{headerName: this.l('Id Line'),headerTooltip: this.l('Id Line'),field: 'idLine',flex: 1},
			{headerName: this.l('Shop'),headerTooltip: this.l('Shop'),field:  'shop', cellClass: ['text-center'], width: 120, cellRenderer: 'agCellButtonComponent',
buttonDefTwo: { text: params =&gt; (params.data?.'shop' == 'Y') ? 'Active' : 'Inactive',iconName: 'fa fa-circle',className: params =&gt; (params.data?.'shop' == 'Y') ? 'btnActive' : 'btnInActive',},}
			{headerName: this.l('Body Color'),headerTooltip: this.l('Body Color'),field: 'bodyColor',flex: 1},
			{headerName: this.l('Usage Qty'),headerTooltip: this.l('Usage Qty'),field: 'usageQty',flex: 1},
			{headerName: this.l('Start Lot'),headerTooltip: this.l('Start Lot'),field: 'startLot',flex: 1},
			{headerName: this.l('End Lot'),headerTooltip: this.l('End Lot'),field: 'endLot',flex: 1},
			{headerName: this.l('Start Run'),headerTooltip: this.l('Start Run'),field: 'startRun',flex: 1},
			{headerName: this.l('End Run'),headerTooltip: this.l('End Run'),field: 'endRun',flex: 1},
			{headerName: this.l('Ef From Part'),headerTooltip: this.l('Ef From Part'),field: 'efFromPart',flex: 1},
			{headerName: this.l('Ef To Part'),headerTooltip: this.l('Ef To Part'),field: 'efToPart',flex: 1},
			{headerName: this.l('Order Pattern'),headerTooltip: this.l('Order Pattern'),field: 'orderPattern',flex: 1},
			{headerName: this.l('Remark'),headerTooltip: this.l('Remark'),field: 'remark',flex: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3" s="35" t="str">
        <f ca="1">TEXTJOIN2("
",TRUE,INDIRECT(I11):INDIRECT(I12))</f>
        <v xml:space="preserve">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[(ngModel)]='model' name='model'
									class='form-control' [placeholder]="l('Model')"
									type='text' (keyup.enter)='searchDatas()'&gt;
								&lt;/div&gt;
								&lt;div class='input-search'&gt;
									&lt;input [(ngModel)]='cfc' name='cfc'
									class='form-control' [placeholder]="l('Cfc')"
									type='text' (keyup.enter)='searchDatas()'&gt;
								&lt;/div&gt;
								&lt;div class='input-search'&gt;
									&lt;input [(ngModel)]='grade' name='grade'
									class='form-control' [placeholder]="l('Grade')"
									type='text' (keyup.enter)='searchDatas()'&gt;
								&lt;/div&gt;
								&lt;div class='input-search'&gt;
									&lt;input [(ngModel)]='idLine' name='idLine'
									class='form-control' [placeholder]="l('Id Line')"
									type='text' (keyup.enter)='searchDatas()'&gt;
								&lt;/div&gt;
								&lt;div class='input-search'&gt;
									&lt;input [(ngModel)]='shop' name='shop'
									class='form-control' [placeholder]="l('Shop')"
									type='text' (keyup.enter)='searchDatas()'&gt;
								&lt;/div&gt;
								&lt;div class='input-search'&gt;
									&lt;input [(ngModel)]='bodyColor' name='bodyColor'
									class='form-control' [placeholder]="l('Body Color')"
									type='text' (keyup.enter)='searchDatas()'&gt;
								&lt;/div&gt;
								&lt;div class='input-search'&gt;
									&lt;input [(ngModel)]='startLot' name='startLot'
									class='form-control' [placeholder]="l('Start Lot')"
									type='text' (keyup.enter)='searchDatas()'&gt;
								&lt;/div&gt;
								&lt;div class='input-search'&gt;
									&lt;input [(ngModel)]='endLot' name='endLot'
									class='form-control' [placeholder]="l('End Lot')"
									type='text' (keyup.enter)='searchDatas()'&gt;
								&lt;/div&gt;
								&lt;div class='input-search'&gt;
									&lt;input [(ngModel)]='startRun' name='startRun'
									class='form-control' [placeholder]="l('Start Run')"
									type='text' (keyup.enter)='searchDatas()'&gt;
								&lt;/div&gt;
								&lt;div class='input-search'&gt;
									&lt;input [(ngModel)]='endRun' name='endRun'
									class='form-control' [placeholder]="l('End Run')"
									type='text' (keyup.enter)='searchDatas()'&gt;
								&lt;/div&gt;
								&lt;div class='input-search'&gt;
									&lt;input [(ngModel)]='orderPattern' name='orderPattern'
									class='form-control' [placeholder]="l('Order Pattern')"
									type='text' (keyup.enter)='searchDatas()'&gt;
								&lt;/div&gt;
								&lt;div class='input-search'&gt;
									&lt;input [(ngModel)]='remark' name='remark'
									class='form-control' [placeholder]="l('Remark')"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</v>
      </c>
      <c r="J13" s="28"/>
      <c r="K13" s="35" t="str">
        <f ca="1">TEXTJOIN2("
",TRUE,INDIRECT(K11):INDIRECT(K12))</f>
        <v xml:space="preserve">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title'&gt;Model&lt;/label&gt;
						&lt;input type='text' class='col-md-10 form-control input-text' name='Model' [(ngModel)]='rowdata.model'&gt;
					&lt;/div&gt;
					&lt;div class='col-md-12 form-group row'&gt;
						&lt;label class='col-md-2 form-control title'&gt;Cfc&lt;/label&gt;
						&lt;input type='text' class='col-md-10 form-control input-text' name='Cfc' [(ngModel)]='rowdata.cfc'&gt;
					&lt;/div&gt;
					&lt;div class='col-md-12 form-group row'&gt;
						&lt;label class='col-md-2 form-control title'&gt;Grade&lt;/label&gt;
						&lt;input type='text' class='col-md-10 form-control input-text' name='Grade' [(ngModel)]='rowdata.grade'&gt;
					&lt;/div&gt;
					&lt;div class='col-md-12 form-group row'&gt;
						&lt;label class='col-md-2 form-control title'&gt;Id Line&lt;/label&gt;
						&lt;input type='text' class='col-md-10 form-control input-text' name='IdLine' [(ngModel)]='rowdata.idLine'&gt;
					&lt;/div&gt;
					&lt;div class='col-md-12 form-group row'&gt;
						&lt;label class='col-md-2 form-control title'&gt;Shop&lt;/label&gt;
						&lt;new-checkbox [(ngModel)]='_shop' name='shop' className='col-md-10' &gt; &lt;/new-checkbox&gt;
					&lt;/div&gt;
					&lt;div class='col-md-12 form-group row'&gt;
						&lt;label class='col-md-2 form-control title'&gt;Body Color&lt;/label&gt;
						&lt;input type='text' class='col-md-10 form-control input-text' name='BodyColor' [(ngModel)]='rowdata.bodyColor'&gt;
					&lt;/div&gt;
					&lt;div class='col-md-12 form-group row'&gt;
						&lt;label class='col-md-2 form-control title'&gt;Start Lot&lt;/label&gt;
						&lt;input type='text' class='col-md-10 form-control input-text' name='StartLot' [(ngModel)]='rowdata.startLot'&gt;
					&lt;/div&gt;
					&lt;div class='col-md-12 form-group row'&gt;
						&lt;label class='col-md-2 form-control title'&gt;End Lot&lt;/label&gt;
						&lt;input type='text' class='col-md-10 form-control input-text' name='EndLot' [(ngModel)]='rowdata.endLot'&gt;
					&lt;/div&gt;
					&lt;div class='col-md-12 form-group row'&gt;
						&lt;label class='col-md-2 form-control title'&gt;Start Run&lt;/label&gt;
						&lt;input type='text' class='col-md-10 form-control input-text' name='StartRun' [(ngModel)]='rowdata.startRun'&gt;
					&lt;/div&gt;
					&lt;div class='col-md-12 form-group row'&gt;
						&lt;label class='col-md-2 form-control title'&gt;End Run&lt;/label&gt;
						&lt;input type='text' class='col-md-10 form-control input-text' name='EndRun' [(ngModel)]='rowdata.endRun'&gt;
					&lt;/div&gt;
					&lt;div class='col-md-12 form-group row'&gt;
						&lt;label class='col-md-2 form-control title'&gt;Order Pattern&lt;/label&gt;
						&lt;input type='text' class='col-md-10 form-control input-text' name='OrderPattern' [(ngModel)]='rowdata.orderPattern'&gt;
					&lt;/div&gt;
					&lt;div class='col-md-12 form-group row'&gt;
						&lt;label class='col-md-2 form-control title'&gt;Remark&lt;/label&gt;
						&lt;input type='text' class='col-md-10 form-control input-text' name='Remark' [(ngModel)]='rowdata.remark'&gt;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3" s="56" t="str">
        <f ca="1">TEXTJOIN2("
",TRUE,INDIRECT(L11):INDIRECT(L12))</f>
        <v/>
      </c>
      <c r="M13" s="28"/>
      <c r="N13" s="28"/>
      <c r="O13" s="28"/>
      <c r="P13" s="28"/>
      <c r="Q13" s="28"/>
      <c r="R13" s="28"/>
      <c r="S13" s="62" t="str">
        <f ca="1">TEXTJOIN2("
",TRUE,INDIRECT(S11):INDIRECT(S12))</f>
        <v xml:space="preserve">	partNo : string = '' ; 
	partId
	model : string = '' ; 
	cfc : string = '' ; 
	grade : string = '' ; 
	idLine : string = '' ; 
	shop : string = '' ; 
	bodyColor : string = '' ; 
	usageQty
	startLot : string = '' ; 
	endLot : string = '' ; 
	startRun : string = '' ; 
	endRun : string = '' ; 
	efFromPart
	efToPart
	orderPattern : string = '' ; 
	remark : string = '' ; 
	isActive : string = '' ; </v>
      </c>
      <c r="T13" s="62" t="str">
        <f ca="1">TEXTJOIN2("
",TRUE,INDIRECT(T11):INDIRECT(T12))</f>
        <v xml:space="preserve">			this.partNo,
			this.partId,
			this.model,
			this.cfc,
			this.grade,
			this.idLine,
			this.shop,
			this.bodyColor,
			this.usageQty,
			this.startLot,
			this.endLot,
			this.startRun,
			this.endRun,
			this.efFromPart,
			this.efToPart,
			this.orderPattern,
			this.remark,
			this.isActive,</v>
      </c>
      <c r="U13" s="62" t="str">
        <f ca="1">TEXTJOIN2("
",TRUE,INDIRECT(U11):INDIRECT(U12))</f>
        <v xml:space="preserve">		this.partNo = '',
		this.partId = '',
		this.model = '',
		this.cfc = '',
		this.grade = '',
		this.idLine = '',
		this.shop = '',
		this.bodyColor = '',
		this.usageQty = '',
		this.startLot = '',
		this.endLot = '',
		this.startRun = '',
		this.endRun = '',
		this.efFromPart = '',
		this.efToPart = '',
		this.orderPattern = '',
		this.remark = '',
		this.isActive = '',</v>
      </c>
      <c r="V13" s="28" t="str">
        <f ca="1">TEXTJOIN2("
",TRUE,INDIRECT(V11):INDIRECT(V12))</f>
        <v>shop
isActive</v>
      </c>
    </row>
    <row r="14" spans="1:22" x14ac:dyDescent="0.3">
      <c r="A14" s="38" t="s">
        <v>214</v>
      </c>
      <c r="B14" s="28"/>
      <c r="C14" s="28"/>
      <c r="D14" s="28"/>
      <c r="E14" s="28"/>
      <c r="F14" s="28"/>
      <c r="G14" s="28"/>
      <c r="H14" s="36" t="str">
        <f>B8&amp;".component.ts"</f>
        <v>partgrade.component.ts</v>
      </c>
      <c r="I14" s="37" t="str">
        <f>B8&amp;".component.html"</f>
        <v>partgrade.component.html</v>
      </c>
      <c r="J14" s="36" t="str">
        <f>B8&amp;".component.less"</f>
        <v>partgrade.component.less</v>
      </c>
      <c r="K14" s="37" t="str">
        <f>"create-or-edit-"&amp;B8&amp;"-modal.component.html"</f>
        <v>create-or-edit-partgrade-modal.component.html</v>
      </c>
      <c r="L14" s="37" t="str">
        <f>"create-or-edit-"&amp;B8&amp;"-modal.component.ts"</f>
        <v>create-or-edit-partgrade-modal.component.ts</v>
      </c>
      <c r="M14" s="37" t="str">
        <f>"create-or-edit-"&amp;B8&amp;"-modal.component.less"</f>
        <v>create-or-edit-partgrade-modal.component.less</v>
      </c>
      <c r="N14" s="37" t="str">
        <f>B8&amp;".module.ts"</f>
        <v>partgrade.module.ts</v>
      </c>
      <c r="O14" s="37" t="str">
        <f>B8&amp;"-routing.module.ts"</f>
        <v>partgrade-routing.module.ts</v>
      </c>
      <c r="P14" s="37" t="s">
        <v>218</v>
      </c>
      <c r="Q14" s="37" t="s">
        <v>221</v>
      </c>
      <c r="R14" s="38" t="s">
        <v>228</v>
      </c>
      <c r="S14" s="37" t="s">
        <v>247</v>
      </c>
      <c r="T14" s="37" t="s">
        <v>248</v>
      </c>
      <c r="U14" s="37" t="s">
        <v>251</v>
      </c>
      <c r="V14" s="37" t="s">
        <v>260</v>
      </c>
    </row>
    <row r="15" spans="1:22" ht="15" customHeight="1" x14ac:dyDescent="0.3">
      <c r="A15" t="s">
        <v>356</v>
      </c>
      <c r="B15" s="28" t="str">
        <f t="shared" ref="B15" si="0">SUBSTITUTE(PROPER(A15),"_","")</f>
        <v>PartNo</v>
      </c>
      <c r="C15" s="28" t="str">
        <f t="shared" ref="C15" si="1">SUBSTITUTE(PROPER(A15),"_"," ")</f>
        <v>Part No</v>
      </c>
      <c r="D15" s="28" t="str">
        <f t="shared" ref="D15" si="2">LOWER(LEFT(B15,1))&amp;RIGHT(B15,LEN(B15) - 1)</f>
        <v>partNo</v>
      </c>
      <c r="E15" s="28" t="str">
        <f>A.Backend!H9</f>
        <v>string</v>
      </c>
      <c r="F15" s="28" t="str">
        <f>A.Backend!G9</f>
        <v>50</v>
      </c>
      <c r="G15" s="28" t="str">
        <f t="shared" ref="G15:G32" si="3">IF(E15="string"," : string = '' ; ",IF(OR(E15="DateTime",E15="TimeSpan")," : any ;",IF(E15="int"," : number = 0 ;","")))</f>
        <v xml:space="preserve"> : string = '' ; </v>
      </c>
      <c r="H15" s="35" t="str">
        <f t="shared" ref="H15:H32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this.l('Part No'),headerTooltip: this.l('Part No'),field: 'partNo',flex: 1},</v>
      </c>
      <c r="I15" s="35" t="str">
        <f t="shared" ref="I15:I32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[(ngModel)]='partNo' name='partNo'
									class='form-control' [placeholder]="l('Part No')"
									type='text' (keyup.enter)='searchDatas()'&gt;
								&lt;/div&gt;</v>
      </c>
      <c r="J15" s="28"/>
      <c r="K15" s="35" t="str">
        <f t="shared" ref="K15:K32" si="6"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title'&gt;Part No&lt;/label&gt;
						&lt;input type='text' class='col-md-10 form-control input-text' name='PartNo' [(ngModel)]='rowdata.partNo'&gt;
					&lt;/div&gt;</v>
      </c>
      <c r="L15" s="56" t="str">
        <f t="shared" ref="L15" si="7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28"/>
      <c r="N15" s="28"/>
      <c r="O15" s="28"/>
      <c r="P15" s="28"/>
      <c r="Q15" s="28"/>
      <c r="R15" s="28"/>
      <c r="S15" s="28" t="str">
        <f>REPT(CHAR(9),1)&amp;D15&amp;G15</f>
        <v xml:space="preserve">	partNo : string = '' ; </v>
      </c>
      <c r="T15" s="28" t="str">
        <f>REPT(CHAR(9),3)&amp;"this."&amp;D15&amp;","</f>
        <v xml:space="preserve">			this.partNo,</v>
      </c>
      <c r="U15" s="28" t="str">
        <f>IF(E15="int",REPT(CHAR(9),2)&amp;"this."&amp;D15&amp;" = 0,",REPT(CHAR(9),2)&amp;"this."&amp;D15&amp;" = '',")</f>
        <v xml:space="preserve">		this.partNo = '',</v>
      </c>
      <c r="V15" s="28" t="str">
        <f t="shared" ref="V15:V32" si="8">IF(AND(E15="string",F15="1"),D15,"")</f>
        <v/>
      </c>
    </row>
    <row r="16" spans="1:22" ht="18" customHeight="1" x14ac:dyDescent="0.3">
      <c r="A16" t="s">
        <v>363</v>
      </c>
      <c r="B16" s="28" t="str">
        <f t="shared" ref="B16" si="9">SUBSTITUTE(PROPER(A16),"_","")</f>
        <v>PartId</v>
      </c>
      <c r="C16" s="28" t="str">
        <f t="shared" ref="C16" si="10">SUBSTITUTE(PROPER(A16),"_"," ")</f>
        <v>Part Id</v>
      </c>
      <c r="D16" s="28" t="str">
        <f t="shared" ref="D16" si="11">LOWER(LEFT(B16,1))&amp;RIGHT(B16,LEN(B16) - 1)</f>
        <v>partId</v>
      </c>
      <c r="E16" s="28" t="str">
        <f>A.Backend!H10</f>
        <v>long?</v>
      </c>
      <c r="F16" s="28" t="str">
        <f>A.Backend!G10</f>
        <v/>
      </c>
      <c r="G16" s="28" t="str">
        <f t="shared" si="3"/>
        <v/>
      </c>
      <c r="H16" s="35" t="str">
        <f t="shared" si="4"/>
        <v xml:space="preserve">			{headerName: this.l('Part Id'),headerTooltip: this.l('Part Id'),field: 'partId',flex: 1},</v>
      </c>
      <c r="I16" s="35" t="str">
        <f t="shared" si="5"/>
        <v/>
      </c>
      <c r="J16" s="28"/>
      <c r="K16" s="35" t="str">
        <f t="shared" si="6"/>
        <v/>
      </c>
      <c r="L16" s="56" t="str">
        <f t="shared" ref="L16" si="12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28"/>
      <c r="N16" s="28"/>
      <c r="O16" s="28"/>
      <c r="P16" s="28"/>
      <c r="Q16" s="28"/>
      <c r="R16" s="28"/>
      <c r="S16" s="28" t="str">
        <f t="shared" ref="S16:S32" si="13">REPT(CHAR(9),1)&amp;D16&amp;G16</f>
        <v xml:space="preserve">	partId</v>
      </c>
      <c r="T16" s="28" t="str">
        <f t="shared" ref="T16:T32" si="14">REPT(CHAR(9),3)&amp;"this."&amp;D16&amp;","</f>
        <v xml:space="preserve">			this.partId,</v>
      </c>
      <c r="U16" s="28" t="str">
        <f t="shared" ref="U16:U32" si="15">IF(E16="int",REPT(CHAR(9),2)&amp;"this."&amp;D16&amp;" = 0,",REPT(CHAR(9),2)&amp;"this."&amp;D16&amp;" = '',")</f>
        <v xml:space="preserve">		this.partId = '',</v>
      </c>
      <c r="V16" s="28" t="str">
        <f t="shared" si="8"/>
        <v/>
      </c>
    </row>
    <row r="17" spans="1:22" ht="18" customHeight="1" x14ac:dyDescent="0.3">
      <c r="A17" t="s">
        <v>377</v>
      </c>
      <c r="B17" s="28" t="str">
        <f>SUBSTITUTE(PROPER(A17),"_","")</f>
        <v>Model</v>
      </c>
      <c r="C17" s="28" t="str">
        <f>SUBSTITUTE(PROPER(A17),"_"," ")</f>
        <v>Model</v>
      </c>
      <c r="D17" s="28" t="str">
        <f>LOWER(LEFT(B17,1))&amp;RIGHT(B17,LEN(B17) - 1)</f>
        <v>model</v>
      </c>
      <c r="E17" s="28" t="str">
        <f>A.Backend!H11</f>
        <v>string</v>
      </c>
      <c r="F17" s="28" t="str">
        <f>A.Backend!G11</f>
        <v>10</v>
      </c>
      <c r="G17" s="28" t="str">
        <f t="shared" si="3"/>
        <v xml:space="preserve"> : string = '' ; </v>
      </c>
      <c r="H17" s="35" t="str">
        <f t="shared" si="4"/>
        <v xml:space="preserve">			{headerName: this.l('Model'),headerTooltip: this.l('Model'),field: 'model',flex: 1},</v>
      </c>
      <c r="I17" s="35" t="str">
        <f t="shared" si="5"/>
        <v xml:space="preserve">								&lt;div class='input-search'&gt;
									&lt;input [(ngModel)]='model' name='model'
									class='form-control' [placeholder]="l('Model')"
									type='text' (keyup.enter)='searchDatas()'&gt;
								&lt;/div&gt;</v>
      </c>
      <c r="J17" s="28"/>
      <c r="K17" s="35" t="str">
        <f t="shared" si="6"/>
        <v xml:space="preserve">					&lt;div class='col-md-12 form-group row'&gt;
						&lt;label class='col-md-2 form-control title'&gt;Model&lt;/label&gt;
						&lt;input type='text' class='col-md-10 form-control input-text' name='Model' [(ngModel)]='rowdata.model'&gt;
					&lt;/div&gt;</v>
      </c>
      <c r="L17" s="56" t="str">
        <f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28"/>
      <c r="N17" s="28"/>
      <c r="O17" s="28"/>
      <c r="P17" s="28"/>
      <c r="Q17" s="28"/>
      <c r="R17" s="28"/>
      <c r="S17" s="28" t="str">
        <f t="shared" si="13"/>
        <v xml:space="preserve">	model : string = '' ; </v>
      </c>
      <c r="T17" s="28" t="str">
        <f t="shared" si="14"/>
        <v xml:space="preserve">			this.model,</v>
      </c>
      <c r="U17" s="28" t="str">
        <f t="shared" si="15"/>
        <v xml:space="preserve">		this.model = '',</v>
      </c>
      <c r="V17" s="28" t="str">
        <f t="shared" si="8"/>
        <v/>
      </c>
    </row>
    <row r="18" spans="1:22" ht="15" customHeight="1" x14ac:dyDescent="0.3">
      <c r="A18" t="s">
        <v>365</v>
      </c>
      <c r="B18" s="28" t="str">
        <f t="shared" ref="B18:B21" si="16">SUBSTITUTE(PROPER(A18),"_","")</f>
        <v>Cfc</v>
      </c>
      <c r="C18" s="28" t="str">
        <f t="shared" ref="C18:C21" si="17">SUBSTITUTE(PROPER(A18),"_"," ")</f>
        <v>Cfc</v>
      </c>
      <c r="D18" s="28" t="str">
        <f t="shared" ref="D18:D21" si="18">LOWER(LEFT(B18,1))&amp;RIGHT(B18,LEN(B18) - 1)</f>
        <v>cfc</v>
      </c>
      <c r="E18" s="28" t="str">
        <f>A.Backend!H12</f>
        <v>string</v>
      </c>
      <c r="F18" s="28" t="str">
        <f>A.Backend!G12</f>
        <v>4</v>
      </c>
      <c r="G18" s="28" t="str">
        <f t="shared" si="3"/>
        <v xml:space="preserve"> : string = '' ; </v>
      </c>
      <c r="H18" s="35" t="str">
        <f t="shared" si="4"/>
        <v xml:space="preserve">			{headerName: this.l('Cfc'),headerTooltip: this.l('Cfc'),field: 'cfc',flex: 1},</v>
      </c>
      <c r="I18" s="35" t="str">
        <f t="shared" si="5"/>
        <v xml:space="preserve">								&lt;div class='input-search'&gt;
									&lt;input [(ngModel)]='cfc' name='cfc'
									class='form-control' [placeholder]="l('Cfc')"
									type='text' (keyup.enter)='searchDatas()'&gt;
								&lt;/div&gt;</v>
      </c>
      <c r="J18" s="28"/>
      <c r="K18" s="35" t="str">
        <f t="shared" si="6"/>
        <v xml:space="preserve">					&lt;div class='col-md-12 form-group row'&gt;
						&lt;label class='col-md-2 form-control title'&gt;Cfc&lt;/label&gt;
						&lt;input type='text' class='col-md-10 form-control input-text' name='Cfc' [(ngModel)]='rowdata.cfc'&gt;
					&lt;/div&gt;</v>
      </c>
      <c r="L18" s="56" t="str">
        <f t="shared" ref="L18:L21" si="19">IF(E18="DateTime",
REPT(CHAR(9),2)&amp;"const dateValue =  this.rowdata."&amp;D18&amp;" ? new Date(this.rowdata."&amp;D18&amp;"?.toString()) : new Date();
"&amp;REPT(CHAR(9),2)&amp;"this.datepicker?.bsValueChange.emit(dateValue);","")</f>
        <v/>
      </c>
      <c r="M18" s="28"/>
      <c r="N18" s="28"/>
      <c r="O18" s="28"/>
      <c r="P18" s="28"/>
      <c r="Q18" s="28"/>
      <c r="R18" s="28"/>
      <c r="S18" s="28" t="str">
        <f t="shared" si="13"/>
        <v xml:space="preserve">	cfc : string = '' ; </v>
      </c>
      <c r="T18" s="28" t="str">
        <f t="shared" si="14"/>
        <v xml:space="preserve">			this.cfc,</v>
      </c>
      <c r="U18" s="28" t="str">
        <f t="shared" si="15"/>
        <v xml:space="preserve">		this.cfc = '',</v>
      </c>
      <c r="V18" s="28" t="str">
        <f t="shared" si="8"/>
        <v/>
      </c>
    </row>
    <row r="19" spans="1:22" ht="18" customHeight="1" x14ac:dyDescent="0.3">
      <c r="A19" t="s">
        <v>370</v>
      </c>
      <c r="B19" s="28" t="str">
        <f t="shared" si="16"/>
        <v>Grade</v>
      </c>
      <c r="C19" s="28" t="str">
        <f t="shared" si="17"/>
        <v>Grade</v>
      </c>
      <c r="D19" s="28" t="str">
        <f t="shared" si="18"/>
        <v>grade</v>
      </c>
      <c r="E19" s="28" t="str">
        <f>A.Backend!H13</f>
        <v>string</v>
      </c>
      <c r="F19" s="28" t="str">
        <f>A.Backend!G13</f>
        <v>3</v>
      </c>
      <c r="G19" s="28" t="str">
        <f t="shared" si="3"/>
        <v xml:space="preserve"> : string = '' ; </v>
      </c>
      <c r="H19" s="35" t="str">
        <f t="shared" si="4"/>
        <v xml:space="preserve">			{headerName: this.l('Grade'),headerTooltip: this.l('Grade'),field: 'grade',flex: 1},</v>
      </c>
      <c r="I19" s="35" t="str">
        <f t="shared" si="5"/>
        <v xml:space="preserve">								&lt;div class='input-search'&gt;
									&lt;input [(ngModel)]='grade' name='grade'
									class='form-control' [placeholder]="l('Grade')"
									type='text' (keyup.enter)='searchDatas()'&gt;
								&lt;/div&gt;</v>
      </c>
      <c r="J19" s="28"/>
      <c r="K19" s="35" t="str">
        <f t="shared" si="6"/>
        <v xml:space="preserve">					&lt;div class='col-md-12 form-group row'&gt;
						&lt;label class='col-md-2 form-control title'&gt;Grade&lt;/label&gt;
						&lt;input type='text' class='col-md-10 form-control input-text' name='Grade' [(ngModel)]='rowdata.grade'&gt;
					&lt;/div&gt;</v>
      </c>
      <c r="L19" s="56" t="str">
        <f t="shared" si="19"/>
        <v/>
      </c>
      <c r="M19" s="28"/>
      <c r="N19" s="28"/>
      <c r="O19" s="28"/>
      <c r="P19" s="28"/>
      <c r="Q19" s="28"/>
      <c r="R19" s="28"/>
      <c r="S19" s="28" t="str">
        <f t="shared" si="13"/>
        <v xml:space="preserve">	grade : string = '' ; </v>
      </c>
      <c r="T19" s="28" t="str">
        <f t="shared" si="14"/>
        <v xml:space="preserve">			this.grade,</v>
      </c>
      <c r="U19" s="28" t="str">
        <f t="shared" si="15"/>
        <v xml:space="preserve">		this.grade = '',</v>
      </c>
      <c r="V19" s="28" t="str">
        <f t="shared" si="8"/>
        <v/>
      </c>
    </row>
    <row r="20" spans="1:22" ht="15" customHeight="1" x14ac:dyDescent="0.3">
      <c r="A20" t="s">
        <v>366</v>
      </c>
      <c r="B20" s="28" t="str">
        <f t="shared" si="16"/>
        <v>IdLine</v>
      </c>
      <c r="C20" s="28" t="str">
        <f t="shared" si="17"/>
        <v>Id Line</v>
      </c>
      <c r="D20" s="28" t="str">
        <f t="shared" si="18"/>
        <v>idLine</v>
      </c>
      <c r="E20" s="28" t="str">
        <f>A.Backend!H14</f>
        <v>string</v>
      </c>
      <c r="F20" s="28" t="str">
        <f>A.Backend!G14</f>
        <v>10</v>
      </c>
      <c r="G20" s="28" t="str">
        <f t="shared" si="3"/>
        <v xml:space="preserve"> : string = '' ; </v>
      </c>
      <c r="H20" s="35" t="str">
        <f t="shared" si="4"/>
        <v xml:space="preserve">			{headerName: this.l('Id Line'),headerTooltip: this.l('Id Line'),field: 'idLine',flex: 1},</v>
      </c>
      <c r="I20" s="35" t="str">
        <f t="shared" si="5"/>
        <v xml:space="preserve">								&lt;div class='input-search'&gt;
									&lt;input [(ngModel)]='idLine' name='idLine'
									class='form-control' [placeholder]="l('Id Line')"
									type='text' (keyup.enter)='searchDatas()'&gt;
								&lt;/div&gt;</v>
      </c>
      <c r="J20" s="28"/>
      <c r="K20" s="35" t="str">
        <f t="shared" si="6"/>
        <v xml:space="preserve">					&lt;div class='col-md-12 form-group row'&gt;
						&lt;label class='col-md-2 form-control title'&gt;Id Line&lt;/label&gt;
						&lt;input type='text' class='col-md-10 form-control input-text' name='IdLine' [(ngModel)]='rowdata.idLine'&gt;
					&lt;/div&gt;</v>
      </c>
      <c r="L20" s="56" t="str">
        <f t="shared" si="19"/>
        <v/>
      </c>
      <c r="M20" s="28"/>
      <c r="N20" s="28"/>
      <c r="O20" s="28"/>
      <c r="P20" s="28"/>
      <c r="Q20" s="28"/>
      <c r="R20" s="28"/>
      <c r="S20" s="28" t="str">
        <f t="shared" si="13"/>
        <v xml:space="preserve">	idLine : string = '' ; </v>
      </c>
      <c r="T20" s="28" t="str">
        <f t="shared" si="14"/>
        <v xml:space="preserve">			this.idLine,</v>
      </c>
      <c r="U20" s="28" t="str">
        <f t="shared" si="15"/>
        <v xml:space="preserve">		this.idLine = '',</v>
      </c>
      <c r="V20" s="28" t="str">
        <f t="shared" si="8"/>
        <v/>
      </c>
    </row>
    <row r="21" spans="1:22" ht="18" customHeight="1" x14ac:dyDescent="0.3">
      <c r="A21" t="s">
        <v>378</v>
      </c>
      <c r="B21" s="28" t="str">
        <f t="shared" si="16"/>
        <v>Shop</v>
      </c>
      <c r="C21" s="28" t="str">
        <f t="shared" si="17"/>
        <v>Shop</v>
      </c>
      <c r="D21" s="28" t="str">
        <f t="shared" si="18"/>
        <v>shop</v>
      </c>
      <c r="E21" s="28" t="str">
        <f>A.Backend!H15</f>
        <v>string</v>
      </c>
      <c r="F21" s="28" t="str">
        <f>A.Backend!G15</f>
        <v>1</v>
      </c>
      <c r="G21" s="28" t="str">
        <f t="shared" si="3"/>
        <v xml:space="preserve"> : string = '' ; </v>
      </c>
      <c r="H21" s="35" t="str">
        <f t="shared" si="4"/>
        <v xml:space="preserve">			{headerName: this.l('Shop'),headerTooltip: this.l('Shop'),field:  'shop', cellClass: ['text-center'], width: 120, cellRenderer: 'agCellButtonComponent',
buttonDefTwo: { text: params =&gt; (params.data?.'shop' == 'Y') ? 'Active' : 'Inactive',iconName: 'fa fa-circle',className: params =&gt; (params.data?.'shop' == 'Y') ? 'btnActive' : 'btnInActive',},}</v>
      </c>
      <c r="I21" s="35" t="str">
        <f t="shared" si="5"/>
        <v xml:space="preserve">								&lt;div class='input-search'&gt;
									&lt;input [(ngModel)]='shop' name='shop'
									class='form-control' [placeholder]="l('Shop')"
									type='text' (keyup.enter)='searchDatas()'&gt;
								&lt;/div&gt;</v>
      </c>
      <c r="J21" s="28"/>
      <c r="K21" s="35" t="str">
        <f t="shared" si="6"/>
        <v xml:space="preserve">					&lt;div class='col-md-12 form-group row'&gt;
						&lt;label class='col-md-2 form-control title'&gt;Shop&lt;/label&gt;
						&lt;new-checkbox [(ngModel)]='_shop' name='shop' className='col-md-10' &gt; &lt;/new-checkbox&gt;
					&lt;/div&gt;</v>
      </c>
      <c r="L21" s="56" t="str">
        <f t="shared" si="19"/>
        <v/>
      </c>
      <c r="M21" s="28"/>
      <c r="N21" s="28"/>
      <c r="O21" s="28"/>
      <c r="P21" s="28"/>
      <c r="Q21" s="28"/>
      <c r="R21" s="28"/>
      <c r="S21" s="28" t="str">
        <f t="shared" si="13"/>
        <v xml:space="preserve">	shop : string = '' ; </v>
      </c>
      <c r="T21" s="28" t="str">
        <f t="shared" si="14"/>
        <v xml:space="preserve">			this.shop,</v>
      </c>
      <c r="U21" s="28" t="str">
        <f t="shared" si="15"/>
        <v xml:space="preserve">		this.shop = '',</v>
      </c>
      <c r="V21" s="28" t="str">
        <f t="shared" si="8"/>
        <v>shop</v>
      </c>
    </row>
    <row r="22" spans="1:22" ht="18" customHeight="1" x14ac:dyDescent="0.3">
      <c r="A22" t="s">
        <v>367</v>
      </c>
      <c r="B22" s="28" t="str">
        <f>SUBSTITUTE(PROPER(A22),"_","")</f>
        <v>BodyColor</v>
      </c>
      <c r="C22" s="28" t="str">
        <f>SUBSTITUTE(PROPER(A22),"_"," ")</f>
        <v>Body Color</v>
      </c>
      <c r="D22" s="28" t="str">
        <f>LOWER(LEFT(B22,1))&amp;RIGHT(B22,LEN(B22) - 1)</f>
        <v>bodyColor</v>
      </c>
      <c r="E22" s="28" t="str">
        <f>A.Backend!H16</f>
        <v>string</v>
      </c>
      <c r="F22" s="28" t="str">
        <f>A.Backend!G16</f>
        <v>100</v>
      </c>
      <c r="G22" s="28" t="str">
        <f t="shared" si="3"/>
        <v xml:space="preserve"> : string = '' ; </v>
      </c>
      <c r="H22" s="35" t="str">
        <f t="shared" si="4"/>
        <v xml:space="preserve">			{headerName: this.l('Body Color'),headerTooltip: this.l('Body Color'),field: 'bodyColor',flex: 1},</v>
      </c>
      <c r="I22" s="35" t="str">
        <f t="shared" si="5"/>
        <v xml:space="preserve">								&lt;div class='input-search'&gt;
									&lt;input [(ngModel)]='bodyColor' name='bodyColor'
									class='form-control' [placeholder]="l('Body Color')"
									type='text' (keyup.enter)='searchDatas()'&gt;
								&lt;/div&gt;</v>
      </c>
      <c r="J22" s="28"/>
      <c r="K22" s="35" t="str">
        <f t="shared" si="6"/>
        <v xml:space="preserve">					&lt;div class='col-md-12 form-group row'&gt;
						&lt;label class='col-md-2 form-control title'&gt;Body Color&lt;/label&gt;
						&lt;input type='text' class='col-md-10 form-control input-text' name='BodyColor' [(ngModel)]='rowdata.bodyColor'&gt;
					&lt;/div&gt;</v>
      </c>
      <c r="L22" s="56" t="str">
        <f>IF(E22="DateTime",
REPT(CHAR(9),2)&amp;"const dateValue =  this.rowdata."&amp;D22&amp;" ? new Date(this.rowdata."&amp;D22&amp;"?.toString()) : new Date();
"&amp;REPT(CHAR(9),2)&amp;"this.datepicker?.bsValueChange.emit(dateValue);","")</f>
        <v/>
      </c>
      <c r="M22" s="28"/>
      <c r="N22" s="28"/>
      <c r="O22" s="28"/>
      <c r="P22" s="28"/>
      <c r="Q22" s="28"/>
      <c r="R22" s="28"/>
      <c r="S22" s="28" t="str">
        <f t="shared" si="13"/>
        <v xml:space="preserve">	bodyColor : string = '' ; </v>
      </c>
      <c r="T22" s="28" t="str">
        <f t="shared" si="14"/>
        <v xml:space="preserve">			this.bodyColor,</v>
      </c>
      <c r="U22" s="28" t="str">
        <f t="shared" si="15"/>
        <v xml:space="preserve">		this.bodyColor = '',</v>
      </c>
      <c r="V22" s="28" t="str">
        <f t="shared" si="8"/>
        <v/>
      </c>
    </row>
    <row r="23" spans="1:22" ht="15" customHeight="1" x14ac:dyDescent="0.3">
      <c r="A23" t="s">
        <v>359</v>
      </c>
      <c r="B23" s="28" t="str">
        <f t="shared" ref="B23:B26" si="20">SUBSTITUTE(PROPER(A23),"_","")</f>
        <v>UsageQty</v>
      </c>
      <c r="C23" s="28" t="str">
        <f t="shared" ref="C23:C26" si="21">SUBSTITUTE(PROPER(A23),"_"," ")</f>
        <v>Usage Qty</v>
      </c>
      <c r="D23" s="28" t="str">
        <f t="shared" ref="D23:D26" si="22">LOWER(LEFT(B23,1))&amp;RIGHT(B23,LEN(B23) - 1)</f>
        <v>usageQty</v>
      </c>
      <c r="E23" s="28" t="str">
        <f>A.Backend!H17</f>
        <v>decimal?</v>
      </c>
      <c r="F23" s="28" t="str">
        <f>A.Backend!G17</f>
        <v>18,4</v>
      </c>
      <c r="G23" s="28" t="str">
        <f t="shared" si="3"/>
        <v/>
      </c>
      <c r="H23" s="35" t="str">
        <f t="shared" si="4"/>
        <v xml:space="preserve">			{headerName: this.l('Usage Qty'),headerTooltip: this.l('Usage Qty'),field: 'usageQty',flex: 1},</v>
      </c>
      <c r="I23" s="35" t="str">
        <f t="shared" si="5"/>
        <v/>
      </c>
      <c r="J23" s="28"/>
      <c r="K23" s="35" t="str">
        <f t="shared" si="6"/>
        <v/>
      </c>
      <c r="L23" s="56" t="str">
        <f t="shared" ref="L23:L26" si="23">IF(E23="DateTime",
REPT(CHAR(9),2)&amp;"const dateValue =  this.rowdata."&amp;D23&amp;" ? new Date(this.rowdata."&amp;D23&amp;"?.toString()) : new Date();
"&amp;REPT(CHAR(9),2)&amp;"this.datepicker?.bsValueChange.emit(dateValue);","")</f>
        <v/>
      </c>
      <c r="M23" s="28"/>
      <c r="N23" s="28"/>
      <c r="O23" s="28"/>
      <c r="P23" s="28"/>
      <c r="Q23" s="28"/>
      <c r="R23" s="28"/>
      <c r="S23" s="28" t="str">
        <f t="shared" si="13"/>
        <v xml:space="preserve">	usageQty</v>
      </c>
      <c r="T23" s="28" t="str">
        <f t="shared" si="14"/>
        <v xml:space="preserve">			this.usageQty,</v>
      </c>
      <c r="U23" s="28" t="str">
        <f t="shared" si="15"/>
        <v xml:space="preserve">		this.usageQty = '',</v>
      </c>
      <c r="V23" s="28" t="str">
        <f t="shared" si="8"/>
        <v/>
      </c>
    </row>
    <row r="24" spans="1:22" ht="18" customHeight="1" x14ac:dyDescent="0.3">
      <c r="A24" t="s">
        <v>379</v>
      </c>
      <c r="B24" s="28" t="str">
        <f t="shared" si="20"/>
        <v>StartLot</v>
      </c>
      <c r="C24" s="28" t="str">
        <f t="shared" si="21"/>
        <v>Start Lot</v>
      </c>
      <c r="D24" s="28" t="str">
        <f t="shared" si="22"/>
        <v>startLot</v>
      </c>
      <c r="E24" s="28" t="str">
        <f>A.Backend!H18</f>
        <v>string</v>
      </c>
      <c r="F24" s="28" t="str">
        <f>A.Backend!G18</f>
        <v>10</v>
      </c>
      <c r="G24" s="28" t="str">
        <f t="shared" si="3"/>
        <v xml:space="preserve"> : string = '' ; </v>
      </c>
      <c r="H24" s="35" t="str">
        <f t="shared" si="4"/>
        <v xml:space="preserve">			{headerName: this.l('Start Lot'),headerTooltip: this.l('Start Lot'),field: 'startLot',flex: 1},</v>
      </c>
      <c r="I24" s="35" t="str">
        <f t="shared" si="5"/>
        <v xml:space="preserve">								&lt;div class='input-search'&gt;
									&lt;input [(ngModel)]='startLot' name='startLot'
									class='form-control' [placeholder]="l('Start Lot')"
									type='text' (keyup.enter)='searchDatas()'&gt;
								&lt;/div&gt;</v>
      </c>
      <c r="J24" s="28"/>
      <c r="K24" s="35" t="str">
        <f t="shared" si="6"/>
        <v xml:space="preserve">					&lt;div class='col-md-12 form-group row'&gt;
						&lt;label class='col-md-2 form-control title'&gt;Start Lot&lt;/label&gt;
						&lt;input type='text' class='col-md-10 form-control input-text' name='StartLot' [(ngModel)]='rowdata.startLot'&gt;
					&lt;/div&gt;</v>
      </c>
      <c r="L24" s="56" t="str">
        <f t="shared" si="23"/>
        <v/>
      </c>
      <c r="M24" s="28"/>
      <c r="N24" s="28"/>
      <c r="O24" s="28"/>
      <c r="P24" s="28"/>
      <c r="Q24" s="28"/>
      <c r="R24" s="28"/>
      <c r="S24" s="28" t="str">
        <f t="shared" si="13"/>
        <v xml:space="preserve">	startLot : string = '' ; </v>
      </c>
      <c r="T24" s="28" t="str">
        <f t="shared" si="14"/>
        <v xml:space="preserve">			this.startLot,</v>
      </c>
      <c r="U24" s="28" t="str">
        <f t="shared" si="15"/>
        <v xml:space="preserve">		this.startLot = '',</v>
      </c>
      <c r="V24" s="28" t="str">
        <f t="shared" si="8"/>
        <v/>
      </c>
    </row>
    <row r="25" spans="1:22" ht="15" customHeight="1" x14ac:dyDescent="0.3">
      <c r="A25" t="s">
        <v>380</v>
      </c>
      <c r="B25" s="28" t="str">
        <f t="shared" si="20"/>
        <v>EndLot</v>
      </c>
      <c r="C25" s="28" t="str">
        <f t="shared" si="21"/>
        <v>End Lot</v>
      </c>
      <c r="D25" s="28" t="str">
        <f t="shared" si="22"/>
        <v>endLot</v>
      </c>
      <c r="E25" s="28" t="str">
        <f>A.Backend!H19</f>
        <v>string</v>
      </c>
      <c r="F25" s="28" t="str">
        <f>A.Backend!G19</f>
        <v>10</v>
      </c>
      <c r="G25" s="28" t="str">
        <f t="shared" si="3"/>
        <v xml:space="preserve"> : string = '' ; </v>
      </c>
      <c r="H25" s="35" t="str">
        <f t="shared" si="4"/>
        <v xml:space="preserve">			{headerName: this.l('End Lot'),headerTooltip: this.l('End Lot'),field: 'endLot',flex: 1},</v>
      </c>
      <c r="I25" s="35" t="str">
        <f t="shared" si="5"/>
        <v xml:space="preserve">								&lt;div class='input-search'&gt;
									&lt;input [(ngModel)]='endLot' name='endLot'
									class='form-control' [placeholder]="l('End Lot')"
									type='text' (keyup.enter)='searchDatas()'&gt;
								&lt;/div&gt;</v>
      </c>
      <c r="J25" s="28"/>
      <c r="K25" s="35" t="str">
        <f t="shared" si="6"/>
        <v xml:space="preserve">					&lt;div class='col-md-12 form-group row'&gt;
						&lt;label class='col-md-2 form-control title'&gt;End Lot&lt;/label&gt;
						&lt;input type='text' class='col-md-10 form-control input-text' name='EndLot' [(ngModel)]='rowdata.endLot'&gt;
					&lt;/div&gt;</v>
      </c>
      <c r="L25" s="56" t="str">
        <f t="shared" si="23"/>
        <v/>
      </c>
      <c r="M25" s="28"/>
      <c r="N25" s="28"/>
      <c r="O25" s="28"/>
      <c r="P25" s="28"/>
      <c r="Q25" s="28"/>
      <c r="R25" s="28"/>
      <c r="S25" s="28" t="str">
        <f t="shared" si="13"/>
        <v xml:space="preserve">	endLot : string = '' ; </v>
      </c>
      <c r="T25" s="28" t="str">
        <f t="shared" si="14"/>
        <v xml:space="preserve">			this.endLot,</v>
      </c>
      <c r="U25" s="28" t="str">
        <f t="shared" si="15"/>
        <v xml:space="preserve">		this.endLot = '',</v>
      </c>
      <c r="V25" s="28" t="str">
        <f t="shared" si="8"/>
        <v/>
      </c>
    </row>
    <row r="26" spans="1:22" ht="18" customHeight="1" x14ac:dyDescent="0.3">
      <c r="A26" t="s">
        <v>381</v>
      </c>
      <c r="B26" s="28" t="str">
        <f t="shared" si="20"/>
        <v>StartRun</v>
      </c>
      <c r="C26" s="28" t="str">
        <f t="shared" si="21"/>
        <v>Start Run</v>
      </c>
      <c r="D26" s="28" t="str">
        <f t="shared" si="22"/>
        <v>startRun</v>
      </c>
      <c r="E26" s="28" t="str">
        <f>A.Backend!H20</f>
        <v>string</v>
      </c>
      <c r="F26" s="28" t="str">
        <f>A.Backend!G20</f>
        <v>10</v>
      </c>
      <c r="G26" s="28" t="str">
        <f t="shared" si="3"/>
        <v xml:space="preserve"> : string = '' ; </v>
      </c>
      <c r="H26" s="35" t="str">
        <f t="shared" si="4"/>
        <v xml:space="preserve">			{headerName: this.l('Start Run'),headerTooltip: this.l('Start Run'),field: 'startRun',flex: 1},</v>
      </c>
      <c r="I26" s="35" t="str">
        <f t="shared" si="5"/>
        <v xml:space="preserve">								&lt;div class='input-search'&gt;
									&lt;input [(ngModel)]='startRun' name='startRun'
									class='form-control' [placeholder]="l('Start Run')"
									type='text' (keyup.enter)='searchDatas()'&gt;
								&lt;/div&gt;</v>
      </c>
      <c r="J26" s="28"/>
      <c r="K26" s="35" t="str">
        <f t="shared" si="6"/>
        <v xml:space="preserve">					&lt;div class='col-md-12 form-group row'&gt;
						&lt;label class='col-md-2 form-control title'&gt;Start Run&lt;/label&gt;
						&lt;input type='text' class='col-md-10 form-control input-text' name='StartRun' [(ngModel)]='rowdata.startRun'&gt;
					&lt;/div&gt;</v>
      </c>
      <c r="L26" s="56" t="str">
        <f t="shared" si="23"/>
        <v/>
      </c>
      <c r="M26" s="28"/>
      <c r="N26" s="28"/>
      <c r="O26" s="28"/>
      <c r="P26" s="28"/>
      <c r="Q26" s="28"/>
      <c r="R26" s="28"/>
      <c r="S26" s="28" t="str">
        <f t="shared" si="13"/>
        <v xml:space="preserve">	startRun : string = '' ; </v>
      </c>
      <c r="T26" s="28" t="str">
        <f t="shared" si="14"/>
        <v xml:space="preserve">			this.startRun,</v>
      </c>
      <c r="U26" s="28" t="str">
        <f t="shared" si="15"/>
        <v xml:space="preserve">		this.startRun = '',</v>
      </c>
      <c r="V26" s="28" t="str">
        <f t="shared" si="8"/>
        <v/>
      </c>
    </row>
    <row r="27" spans="1:22" ht="18" customHeight="1" x14ac:dyDescent="0.3">
      <c r="A27" t="s">
        <v>382</v>
      </c>
      <c r="B27" s="28" t="str">
        <f>SUBSTITUTE(PROPER(A27),"_","")</f>
        <v>EndRun</v>
      </c>
      <c r="C27" s="28" t="str">
        <f>SUBSTITUTE(PROPER(A27),"_"," ")</f>
        <v>End Run</v>
      </c>
      <c r="D27" s="28" t="str">
        <f>LOWER(LEFT(B27,1))&amp;RIGHT(B27,LEN(B27) - 1)</f>
        <v>endRun</v>
      </c>
      <c r="E27" s="28" t="str">
        <f>A.Backend!H21</f>
        <v>string</v>
      </c>
      <c r="F27" s="28" t="str">
        <f>A.Backend!G21</f>
        <v>10</v>
      </c>
      <c r="G27" s="28" t="str">
        <f t="shared" si="3"/>
        <v xml:space="preserve"> : string = '' ; </v>
      </c>
      <c r="H27" s="35" t="str">
        <f t="shared" si="4"/>
        <v xml:space="preserve">			{headerName: this.l('End Run'),headerTooltip: this.l('End Run'),field: 'endRun',flex: 1},</v>
      </c>
      <c r="I27" s="35" t="str">
        <f t="shared" si="5"/>
        <v xml:space="preserve">								&lt;div class='input-search'&gt;
									&lt;input [(ngModel)]='endRun' name='endRun'
									class='form-control' [placeholder]="l('End Run')"
									type='text' (keyup.enter)='searchDatas()'&gt;
								&lt;/div&gt;</v>
      </c>
      <c r="J27" s="28"/>
      <c r="K27" s="35" t="str">
        <f t="shared" si="6"/>
        <v xml:space="preserve">					&lt;div class='col-md-12 form-group row'&gt;
						&lt;label class='col-md-2 form-control title'&gt;End Run&lt;/label&gt;
						&lt;input type='text' class='col-md-10 form-control input-text' name='EndRun' [(ngModel)]='rowdata.endRun'&gt;
					&lt;/div&gt;</v>
      </c>
      <c r="L27" s="56" t="str">
        <f>IF(E27="DateTime",
REPT(CHAR(9),2)&amp;"const dateValue =  this.rowdata."&amp;D27&amp;" ? new Date(this.rowdata."&amp;D27&amp;"?.toString()) : new Date();
"&amp;REPT(CHAR(9),2)&amp;"this.datepicker?.bsValueChange.emit(dateValue);","")</f>
        <v/>
      </c>
      <c r="M27" s="28"/>
      <c r="N27" s="28"/>
      <c r="O27" s="28"/>
      <c r="P27" s="28"/>
      <c r="Q27" s="28"/>
      <c r="R27" s="28"/>
      <c r="S27" s="28" t="str">
        <f t="shared" si="13"/>
        <v xml:space="preserve">	endRun : string = '' ; </v>
      </c>
      <c r="T27" s="28" t="str">
        <f t="shared" si="14"/>
        <v xml:space="preserve">			this.endRun,</v>
      </c>
      <c r="U27" s="28" t="str">
        <f t="shared" si="15"/>
        <v xml:space="preserve">		this.endRun = '',</v>
      </c>
      <c r="V27" s="28" t="str">
        <f t="shared" si="8"/>
        <v/>
      </c>
    </row>
    <row r="28" spans="1:22" ht="15" customHeight="1" x14ac:dyDescent="0.3">
      <c r="A28" t="s">
        <v>383</v>
      </c>
      <c r="B28" s="28" t="str">
        <f t="shared" ref="B28:B30" si="24">SUBSTITUTE(PROPER(A28),"_","")</f>
        <v>EfFromPart</v>
      </c>
      <c r="C28" s="28" t="str">
        <f t="shared" ref="C28:C30" si="25">SUBSTITUTE(PROPER(A28),"_"," ")</f>
        <v>Ef From Part</v>
      </c>
      <c r="D28" s="28" t="str">
        <f t="shared" ref="D28:D30" si="26">LOWER(LEFT(B28,1))&amp;RIGHT(B28,LEN(B28) - 1)</f>
        <v>efFromPart</v>
      </c>
      <c r="E28" s="28" t="str">
        <f>A.Backend!H22</f>
        <v>DateTime?</v>
      </c>
      <c r="F28" s="28" t="str">
        <f>A.Backend!G22</f>
        <v/>
      </c>
      <c r="G28" s="28" t="str">
        <f t="shared" si="3"/>
        <v/>
      </c>
      <c r="H28" s="35" t="str">
        <f t="shared" si="4"/>
        <v xml:space="preserve">			{headerName: this.l('Ef From Part'),headerTooltip: this.l('Ef From Part'),field: 'efFromPart',flex: 1},</v>
      </c>
      <c r="I28" s="35" t="str">
        <f t="shared" si="5"/>
        <v/>
      </c>
      <c r="J28" s="28"/>
      <c r="K28" s="35" t="str">
        <f t="shared" si="6"/>
        <v/>
      </c>
      <c r="L28" s="56" t="str">
        <f t="shared" ref="L28:L30" si="27">IF(E28="DateTime",
REPT(CHAR(9),2)&amp;"const dateValue =  this.rowdata."&amp;D28&amp;" ? new Date(this.rowdata."&amp;D28&amp;"?.toString()) : new Date();
"&amp;REPT(CHAR(9),2)&amp;"this.datepicker?.bsValueChange.emit(dateValue);","")</f>
        <v/>
      </c>
      <c r="M28" s="28"/>
      <c r="N28" s="28"/>
      <c r="O28" s="28"/>
      <c r="P28" s="28"/>
      <c r="Q28" s="28"/>
      <c r="R28" s="28"/>
      <c r="S28" s="28" t="str">
        <f t="shared" si="13"/>
        <v xml:space="preserve">	efFromPart</v>
      </c>
      <c r="T28" s="28" t="str">
        <f t="shared" si="14"/>
        <v xml:space="preserve">			this.efFromPart,</v>
      </c>
      <c r="U28" s="28" t="str">
        <f t="shared" si="15"/>
        <v xml:space="preserve">		this.efFromPart = '',</v>
      </c>
      <c r="V28" s="28" t="str">
        <f t="shared" si="8"/>
        <v/>
      </c>
    </row>
    <row r="29" spans="1:22" ht="18" customHeight="1" x14ac:dyDescent="0.3">
      <c r="A29" t="s">
        <v>384</v>
      </c>
      <c r="B29" s="28" t="str">
        <f t="shared" si="24"/>
        <v>EfToPart</v>
      </c>
      <c r="C29" s="28" t="str">
        <f t="shared" si="25"/>
        <v>Ef To Part</v>
      </c>
      <c r="D29" s="28" t="str">
        <f t="shared" si="26"/>
        <v>efToPart</v>
      </c>
      <c r="E29" s="28" t="str">
        <f>A.Backend!H23</f>
        <v>DateTime?</v>
      </c>
      <c r="F29" s="28" t="str">
        <f>A.Backend!G23</f>
        <v/>
      </c>
      <c r="G29" s="28" t="str">
        <f t="shared" si="3"/>
        <v/>
      </c>
      <c r="H29" s="35" t="str">
        <f t="shared" si="4"/>
        <v xml:space="preserve">			{headerName: this.l('Ef To Part'),headerTooltip: this.l('Ef To Part'),field: 'efToPart',flex: 1},</v>
      </c>
      <c r="I29" s="35" t="str">
        <f t="shared" si="5"/>
        <v/>
      </c>
      <c r="J29" s="28"/>
      <c r="K29" s="35" t="str">
        <f t="shared" si="6"/>
        <v/>
      </c>
      <c r="L29" s="56" t="str">
        <f t="shared" si="27"/>
        <v/>
      </c>
      <c r="M29" s="28"/>
      <c r="N29" s="28"/>
      <c r="O29" s="28"/>
      <c r="P29" s="28"/>
      <c r="Q29" s="28"/>
      <c r="R29" s="28"/>
      <c r="S29" s="28" t="str">
        <f t="shared" si="13"/>
        <v xml:space="preserve">	efToPart</v>
      </c>
      <c r="T29" s="28" t="str">
        <f t="shared" si="14"/>
        <v xml:space="preserve">			this.efToPart,</v>
      </c>
      <c r="U29" s="28" t="str">
        <f t="shared" si="15"/>
        <v xml:space="preserve">		this.efToPart = '',</v>
      </c>
      <c r="V29" s="28" t="str">
        <f t="shared" si="8"/>
        <v/>
      </c>
    </row>
    <row r="30" spans="1:22" ht="15" customHeight="1" x14ac:dyDescent="0.3">
      <c r="A30" t="s">
        <v>385</v>
      </c>
      <c r="B30" s="28" t="str">
        <f t="shared" si="24"/>
        <v>OrderPattern</v>
      </c>
      <c r="C30" s="28" t="str">
        <f t="shared" si="25"/>
        <v>Order Pattern</v>
      </c>
      <c r="D30" s="28" t="str">
        <f t="shared" si="26"/>
        <v>orderPattern</v>
      </c>
      <c r="E30" s="28" t="str">
        <f>A.Backend!H24</f>
        <v>string</v>
      </c>
      <c r="F30" s="28" t="str">
        <f>A.Backend!G24</f>
        <v>10</v>
      </c>
      <c r="G30" s="28" t="str">
        <f t="shared" si="3"/>
        <v xml:space="preserve"> : string = '' ; </v>
      </c>
      <c r="H30" s="35" t="str">
        <f t="shared" si="4"/>
        <v xml:space="preserve">			{headerName: this.l('Order Pattern'),headerTooltip: this.l('Order Pattern'),field: 'orderPattern',flex: 1},</v>
      </c>
      <c r="I30" s="35" t="str">
        <f t="shared" si="5"/>
        <v xml:space="preserve">								&lt;div class='input-search'&gt;
									&lt;input [(ngModel)]='orderPattern' name='orderPattern'
									class='form-control' [placeholder]="l('Order Pattern')"
									type='text' (keyup.enter)='searchDatas()'&gt;
								&lt;/div&gt;</v>
      </c>
      <c r="J30" s="28"/>
      <c r="K30" s="35" t="str">
        <f t="shared" si="6"/>
        <v xml:space="preserve">					&lt;div class='col-md-12 form-group row'&gt;
						&lt;label class='col-md-2 form-control title'&gt;Order Pattern&lt;/label&gt;
						&lt;input type='text' class='col-md-10 form-control input-text' name='OrderPattern' [(ngModel)]='rowdata.orderPattern'&gt;
					&lt;/div&gt;</v>
      </c>
      <c r="L30" s="56" t="str">
        <f t="shared" si="27"/>
        <v/>
      </c>
      <c r="M30" s="28"/>
      <c r="N30" s="28"/>
      <c r="O30" s="28"/>
      <c r="P30" s="28"/>
      <c r="Q30" s="28"/>
      <c r="R30" s="28"/>
      <c r="S30" s="28" t="str">
        <f t="shared" si="13"/>
        <v xml:space="preserve">	orderPattern : string = '' ; </v>
      </c>
      <c r="T30" s="28" t="str">
        <f t="shared" si="14"/>
        <v xml:space="preserve">			this.orderPattern,</v>
      </c>
      <c r="U30" s="28" t="str">
        <f t="shared" si="15"/>
        <v xml:space="preserve">		this.orderPattern = '',</v>
      </c>
      <c r="V30" s="28" t="str">
        <f t="shared" si="8"/>
        <v/>
      </c>
    </row>
    <row r="31" spans="1:22" ht="15" customHeight="1" x14ac:dyDescent="0.3">
      <c r="A31" t="s">
        <v>372</v>
      </c>
      <c r="B31" s="28" t="str">
        <f t="shared" ref="B31" si="28">SUBSTITUTE(PROPER(A31),"_","")</f>
        <v>Remark</v>
      </c>
      <c r="C31" s="28" t="str">
        <f t="shared" ref="C31" si="29">SUBSTITUTE(PROPER(A31),"_"," ")</f>
        <v>Remark</v>
      </c>
      <c r="D31" s="28" t="str">
        <f t="shared" ref="D31" si="30">LOWER(LEFT(B31,1))&amp;RIGHT(B31,LEN(B31) - 1)</f>
        <v>remark</v>
      </c>
      <c r="E31" s="28" t="str">
        <f>A.Backend!H25</f>
        <v>string</v>
      </c>
      <c r="F31" s="28" t="str">
        <f>A.Backend!G25</f>
        <v>5000</v>
      </c>
      <c r="G31" s="28" t="str">
        <f t="shared" si="3"/>
        <v xml:space="preserve"> : string = '' ; </v>
      </c>
      <c r="H31" s="35" t="str">
        <f t="shared" si="4"/>
        <v xml:space="preserve">			{headerName: this.l('Remark'),headerTooltip: this.l('Remark'),field: 'remark',flex: 1},</v>
      </c>
      <c r="I31" s="35" t="str">
        <f t="shared" si="5"/>
        <v xml:space="preserve">								&lt;div class='input-search'&gt;
									&lt;input [(ngModel)]='remark' name='remark'
									class='form-control' [placeholder]="l('Remark')"
									type='text' (keyup.enter)='searchDatas()'&gt;
								&lt;/div&gt;</v>
      </c>
      <c r="J31" s="28"/>
      <c r="K31" s="35" t="str">
        <f t="shared" si="6"/>
        <v xml:space="preserve">					&lt;div class='col-md-12 form-group row'&gt;
						&lt;label class='col-md-2 form-control title'&gt;Remark&lt;/label&gt;
						&lt;input type='text' class='col-md-10 form-control input-text' name='Remark' [(ngModel)]='rowdata.remark'&gt;
					&lt;/div&gt;</v>
      </c>
      <c r="L31" s="56" t="str">
        <f t="shared" ref="L31" si="31">IF(E31="DateTime",
REPT(CHAR(9),2)&amp;"const dateValue =  this.rowdata."&amp;D31&amp;" ? new Date(this.rowdata."&amp;D31&amp;"?.toString()) : new Date();
"&amp;REPT(CHAR(9),2)&amp;"this.datepicker?.bsValueChange.emit(dateValue);","")</f>
        <v/>
      </c>
      <c r="M31" s="28"/>
      <c r="N31" s="28"/>
      <c r="O31" s="28"/>
      <c r="P31" s="28"/>
      <c r="Q31" s="28"/>
      <c r="R31" s="28"/>
      <c r="S31" s="28" t="str">
        <f t="shared" si="13"/>
        <v xml:space="preserve">	remark : string = '' ; </v>
      </c>
      <c r="T31" s="28" t="str">
        <f t="shared" si="14"/>
        <v xml:space="preserve">			this.remark,</v>
      </c>
      <c r="U31" s="28" t="str">
        <f t="shared" si="15"/>
        <v xml:space="preserve">		this.remark = '',</v>
      </c>
      <c r="V31" s="28" t="str">
        <f t="shared" si="8"/>
        <v/>
      </c>
    </row>
    <row r="32" spans="1:22" ht="18" customHeight="1" x14ac:dyDescent="0.3">
      <c r="A32" t="s">
        <v>319</v>
      </c>
      <c r="B32" s="28" t="str">
        <f t="shared" ref="B32" si="32">SUBSTITUTE(PROPER(A32),"_","")</f>
        <v>IsActive</v>
      </c>
      <c r="C32" s="28" t="str">
        <f t="shared" ref="C32" si="33">SUBSTITUTE(PROPER(A32),"_"," ")</f>
        <v>Is Active</v>
      </c>
      <c r="D32" s="28" t="str">
        <f t="shared" ref="D32" si="34">LOWER(LEFT(B32,1))&amp;RIGHT(B32,LEN(B32) - 1)</f>
        <v>isActive</v>
      </c>
      <c r="E32" s="28" t="str">
        <f>A.Backend!H26</f>
        <v>string</v>
      </c>
      <c r="F32" s="28" t="str">
        <f>A.Backend!G26</f>
        <v>1</v>
      </c>
      <c r="G32" s="28" t="str">
        <f t="shared" si="3"/>
        <v xml:space="preserve"> : string = '' ; </v>
      </c>
      <c r="H32" s="35" t="str">
        <f t="shared" si="4"/>
        <v xml:space="preserve">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32" s="35" t="str">
        <f t="shared" si="5"/>
        <v xml:space="preserve">								&lt;div class='input-search'&gt;
									&lt;input [(ngModel)]='isActive' name='isActive'
									class='form-control' [placeholder]="l('Is Active')"
									type='text' (keyup.enter)='searchDatas()'&gt;
								&lt;/div&gt;</v>
      </c>
      <c r="J32" s="28"/>
      <c r="K32" s="35" t="str">
        <f t="shared" si="6"/>
        <v xml:space="preserve">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32" s="56" t="str">
        <f t="shared" ref="L32" si="35">IF(E32="DateTime",
REPT(CHAR(9),2)&amp;"const dateValue =  this.rowdata."&amp;D32&amp;" ? new Date(this.rowdata."&amp;D32&amp;"?.toString()) : new Date();
"&amp;REPT(CHAR(9),2)&amp;"this.datepicker?.bsValueChange.emit(dateValue);","")</f>
        <v/>
      </c>
      <c r="M32" s="28"/>
      <c r="N32" s="28"/>
      <c r="O32" s="28"/>
      <c r="P32" s="28"/>
      <c r="Q32" s="28"/>
      <c r="R32" s="28"/>
      <c r="S32" s="28" t="str">
        <f t="shared" si="13"/>
        <v xml:space="preserve">	isActive : string = '' ; </v>
      </c>
      <c r="T32" s="28" t="str">
        <f t="shared" si="14"/>
        <v xml:space="preserve">			this.isActive,</v>
      </c>
      <c r="U32" s="28" t="str">
        <f t="shared" si="15"/>
        <v xml:space="preserve">		this.isActive = '',</v>
      </c>
      <c r="V32" s="28" t="str">
        <f t="shared" si="8"/>
        <v>isActive</v>
      </c>
    </row>
    <row r="34" ht="17.25" customHeight="1" x14ac:dyDescent="0.3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workbookViewId="0">
      <selection activeCell="B24" sqref="B24"/>
    </sheetView>
  </sheetViews>
  <sheetFormatPr defaultColWidth="8.77734375" defaultRowHeight="14.4" x14ac:dyDescent="0.3"/>
  <cols>
    <col min="1" max="1" width="22.44140625" bestFit="1" customWidth="1"/>
    <col min="2" max="2" width="29.77734375" bestFit="1" customWidth="1"/>
  </cols>
  <sheetData>
    <row r="1" spans="1:2" x14ac:dyDescent="0.3">
      <c r="A1" s="1" t="s">
        <v>16</v>
      </c>
      <c r="B1" s="1" t="s">
        <v>17</v>
      </c>
    </row>
    <row r="2" spans="1:2" x14ac:dyDescent="0.3">
      <c r="A2" t="s">
        <v>19</v>
      </c>
      <c r="B2" t="s">
        <v>32</v>
      </c>
    </row>
    <row r="3" spans="1:2" x14ac:dyDescent="0.3">
      <c r="A3" t="s">
        <v>18</v>
      </c>
      <c r="B3" t="s">
        <v>32</v>
      </c>
    </row>
    <row r="4" spans="1:2" x14ac:dyDescent="0.3">
      <c r="A4" t="s">
        <v>20</v>
      </c>
      <c r="B4" t="s">
        <v>21</v>
      </c>
    </row>
    <row r="5" spans="1:2" x14ac:dyDescent="0.3">
      <c r="A5" t="s">
        <v>22</v>
      </c>
      <c r="B5" t="s">
        <v>34</v>
      </c>
    </row>
    <row r="6" spans="1:2" x14ac:dyDescent="0.3">
      <c r="A6" t="s">
        <v>23</v>
      </c>
      <c r="B6" t="s">
        <v>355</v>
      </c>
    </row>
    <row r="7" spans="1:2" x14ac:dyDescent="0.3">
      <c r="A7" t="s">
        <v>24</v>
      </c>
      <c r="B7" t="s">
        <v>350</v>
      </c>
    </row>
    <row r="8" spans="1:2" x14ac:dyDescent="0.3">
      <c r="A8" t="s">
        <v>4</v>
      </c>
      <c r="B8" t="s">
        <v>350</v>
      </c>
    </row>
    <row r="9" spans="1:2" x14ac:dyDescent="0.3">
      <c r="A9" t="s">
        <v>0</v>
      </c>
      <c r="B9" t="s">
        <v>351</v>
      </c>
    </row>
    <row r="10" spans="1:2" x14ac:dyDescent="0.3">
      <c r="A10" t="s">
        <v>25</v>
      </c>
      <c r="B10" t="s">
        <v>354</v>
      </c>
    </row>
    <row r="11" spans="1:2" x14ac:dyDescent="0.3">
      <c r="A11" t="s">
        <v>26</v>
      </c>
      <c r="B11" t="s">
        <v>354</v>
      </c>
    </row>
    <row r="12" spans="1:2" x14ac:dyDescent="0.3">
      <c r="A12" t="s">
        <v>27</v>
      </c>
      <c r="B12" t="s">
        <v>354</v>
      </c>
    </row>
    <row r="13" spans="1:2" x14ac:dyDescent="0.3">
      <c r="A13" t="s">
        <v>28</v>
      </c>
      <c r="B13" t="s">
        <v>354</v>
      </c>
    </row>
    <row r="14" spans="1:2" x14ac:dyDescent="0.3">
      <c r="A14" t="s">
        <v>29</v>
      </c>
      <c r="B14" t="s">
        <v>354</v>
      </c>
    </row>
    <row r="15" spans="1:2" x14ac:dyDescent="0.3">
      <c r="A15" t="s">
        <v>30</v>
      </c>
      <c r="B15" t="s">
        <v>354</v>
      </c>
    </row>
    <row r="16" spans="1:2" x14ac:dyDescent="0.3">
      <c r="A16" t="s">
        <v>31</v>
      </c>
      <c r="B16" t="s">
        <v>352</v>
      </c>
    </row>
    <row r="17" spans="1:2" x14ac:dyDescent="0.3">
      <c r="A17" t="s">
        <v>3</v>
      </c>
      <c r="B17" t="s">
        <v>352</v>
      </c>
    </row>
    <row r="18" spans="1:2" x14ac:dyDescent="0.3">
      <c r="A18" t="s">
        <v>33</v>
      </c>
      <c r="B18" t="s">
        <v>352</v>
      </c>
    </row>
    <row r="19" spans="1:2" x14ac:dyDescent="0.3">
      <c r="A19" t="s">
        <v>2</v>
      </c>
      <c r="B19" t="s">
        <v>352</v>
      </c>
    </row>
    <row r="20" spans="1:2" x14ac:dyDescent="0.3">
      <c r="A20" t="s">
        <v>263</v>
      </c>
      <c r="B20" t="s">
        <v>353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workbookViewId="0">
      <selection activeCell="B99" sqref="B99"/>
    </sheetView>
  </sheetViews>
  <sheetFormatPr defaultColWidth="8.77734375" defaultRowHeight="15.6" x14ac:dyDescent="0.3"/>
  <cols>
    <col min="1" max="1" width="14.21875" customWidth="1"/>
    <col min="2" max="2" width="71.77734375" style="20" customWidth="1"/>
  </cols>
  <sheetData>
    <row r="2" spans="1:2" x14ac:dyDescent="0.3">
      <c r="A2" s="22" t="s">
        <v>190</v>
      </c>
      <c r="B2" s="23" t="s">
        <v>187</v>
      </c>
    </row>
    <row r="3" spans="1:2" x14ac:dyDescent="0.3">
      <c r="B3" s="20" t="s">
        <v>112</v>
      </c>
    </row>
    <row r="4" spans="1:2" x14ac:dyDescent="0.3">
      <c r="B4" s="20" t="s">
        <v>113</v>
      </c>
    </row>
    <row r="5" spans="1:2" x14ac:dyDescent="0.3">
      <c r="B5" s="20" t="s">
        <v>114</v>
      </c>
    </row>
    <row r="6" spans="1:2" x14ac:dyDescent="0.3">
      <c r="B6" s="20" t="s">
        <v>115</v>
      </c>
    </row>
    <row r="7" spans="1:2" x14ac:dyDescent="0.3">
      <c r="B7" s="20" t="s">
        <v>116</v>
      </c>
    </row>
    <row r="8" spans="1:2" x14ac:dyDescent="0.3">
      <c r="B8" s="20" t="s">
        <v>117</v>
      </c>
    </row>
    <row r="9" spans="1:2" x14ac:dyDescent="0.3">
      <c r="B9" s="20" t="s">
        <v>118</v>
      </c>
    </row>
    <row r="10" spans="1:2" x14ac:dyDescent="0.3">
      <c r="B10" s="20" t="s">
        <v>119</v>
      </c>
    </row>
    <row r="11" spans="1:2" x14ac:dyDescent="0.3">
      <c r="B11" s="20" t="s">
        <v>120</v>
      </c>
    </row>
    <row r="12" spans="1:2" x14ac:dyDescent="0.3">
      <c r="B12" s="20" t="s">
        <v>121</v>
      </c>
    </row>
    <row r="13" spans="1:2" x14ac:dyDescent="0.3">
      <c r="B13" s="20" t="s">
        <v>122</v>
      </c>
    </row>
    <row r="14" spans="1:2" x14ac:dyDescent="0.3">
      <c r="B14" s="20" t="s">
        <v>123</v>
      </c>
    </row>
    <row r="15" spans="1:2" x14ac:dyDescent="0.3">
      <c r="B15" s="20" t="s">
        <v>124</v>
      </c>
    </row>
    <row r="16" spans="1:2" x14ac:dyDescent="0.3">
      <c r="B16" s="20" t="s">
        <v>125</v>
      </c>
    </row>
    <row r="17" spans="1:3" x14ac:dyDescent="0.3">
      <c r="B17" s="20" t="s">
        <v>126</v>
      </c>
    </row>
    <row r="18" spans="1:3" x14ac:dyDescent="0.3">
      <c r="B18" s="20" t="s">
        <v>127</v>
      </c>
      <c r="C18" t="s">
        <v>189</v>
      </c>
    </row>
    <row r="19" spans="1:3" x14ac:dyDescent="0.3">
      <c r="B19" s="20" t="s">
        <v>128</v>
      </c>
    </row>
    <row r="20" spans="1:3" x14ac:dyDescent="0.3">
      <c r="B20" s="20" t="s">
        <v>129</v>
      </c>
    </row>
    <row r="21" spans="1:3" x14ac:dyDescent="0.3">
      <c r="B21" s="20" t="s">
        <v>130</v>
      </c>
    </row>
    <row r="22" spans="1:3" x14ac:dyDescent="0.3">
      <c r="B22" s="20" t="s">
        <v>131</v>
      </c>
      <c r="C22" t="s">
        <v>194</v>
      </c>
    </row>
    <row r="23" spans="1:3" x14ac:dyDescent="0.3">
      <c r="B23" s="20" t="s">
        <v>132</v>
      </c>
    </row>
    <row r="24" spans="1:3" x14ac:dyDescent="0.3">
      <c r="B24" s="20" t="s">
        <v>133</v>
      </c>
    </row>
    <row r="25" spans="1:3" x14ac:dyDescent="0.3">
      <c r="B25" s="20" t="s">
        <v>134</v>
      </c>
    </row>
    <row r="26" spans="1:3" x14ac:dyDescent="0.3">
      <c r="A26" s="22" t="s">
        <v>191</v>
      </c>
      <c r="B26" s="23" t="s">
        <v>188</v>
      </c>
    </row>
    <row r="27" spans="1:3" x14ac:dyDescent="0.3">
      <c r="B27" s="20" t="s">
        <v>135</v>
      </c>
    </row>
    <row r="28" spans="1:3" x14ac:dyDescent="0.3">
      <c r="B28" s="21" t="s">
        <v>136</v>
      </c>
    </row>
    <row r="29" spans="1:3" x14ac:dyDescent="0.3">
      <c r="B29" s="20" t="s">
        <v>137</v>
      </c>
    </row>
    <row r="30" spans="1:3" x14ac:dyDescent="0.3">
      <c r="B30" s="20" t="s">
        <v>138</v>
      </c>
    </row>
    <row r="31" spans="1:3" x14ac:dyDescent="0.3">
      <c r="B31" s="20" t="s">
        <v>139</v>
      </c>
    </row>
    <row r="32" spans="1:3" x14ac:dyDescent="0.3">
      <c r="B32" s="20" t="s">
        <v>140</v>
      </c>
    </row>
    <row r="33" spans="2:2" x14ac:dyDescent="0.3">
      <c r="B33" s="20" t="s">
        <v>141</v>
      </c>
    </row>
    <row r="34" spans="2:2" x14ac:dyDescent="0.3">
      <c r="B34" s="20" t="s">
        <v>142</v>
      </c>
    </row>
    <row r="35" spans="2:2" x14ac:dyDescent="0.3">
      <c r="B35" s="20" t="s">
        <v>143</v>
      </c>
    </row>
    <row r="36" spans="2:2" x14ac:dyDescent="0.3">
      <c r="B36" s="20" t="s">
        <v>144</v>
      </c>
    </row>
    <row r="37" spans="2:2" x14ac:dyDescent="0.3">
      <c r="B37" s="20" t="s">
        <v>145</v>
      </c>
    </row>
    <row r="38" spans="2:2" x14ac:dyDescent="0.3">
      <c r="B38" s="20" t="s">
        <v>146</v>
      </c>
    </row>
    <row r="39" spans="2:2" x14ac:dyDescent="0.3">
      <c r="B39" s="20" t="s">
        <v>147</v>
      </c>
    </row>
    <row r="40" spans="2:2" x14ac:dyDescent="0.3">
      <c r="B40" s="20" t="s">
        <v>148</v>
      </c>
    </row>
    <row r="41" spans="2:2" x14ac:dyDescent="0.3">
      <c r="B41" s="20" t="s">
        <v>149</v>
      </c>
    </row>
    <row r="42" spans="2:2" x14ac:dyDescent="0.3">
      <c r="B42" s="20" t="s">
        <v>150</v>
      </c>
    </row>
    <row r="43" spans="2:2" x14ac:dyDescent="0.3">
      <c r="B43" s="21" t="s">
        <v>151</v>
      </c>
    </row>
    <row r="44" spans="2:2" x14ac:dyDescent="0.3">
      <c r="B44" s="20" t="s">
        <v>137</v>
      </c>
    </row>
    <row r="45" spans="2:2" x14ac:dyDescent="0.3">
      <c r="B45" s="20" t="s">
        <v>152</v>
      </c>
    </row>
    <row r="46" spans="2:2" x14ac:dyDescent="0.3">
      <c r="B46" s="20" t="s">
        <v>153</v>
      </c>
    </row>
    <row r="47" spans="2:2" x14ac:dyDescent="0.3">
      <c r="B47" s="20" t="s">
        <v>154</v>
      </c>
    </row>
    <row r="48" spans="2:2" x14ac:dyDescent="0.3">
      <c r="B48" s="20" t="s">
        <v>155</v>
      </c>
    </row>
    <row r="49" spans="2:2" x14ac:dyDescent="0.3">
      <c r="B49" s="20" t="s">
        <v>138</v>
      </c>
    </row>
    <row r="50" spans="2:2" x14ac:dyDescent="0.3">
      <c r="B50" s="20" t="s">
        <v>139</v>
      </c>
    </row>
    <row r="51" spans="2:2" x14ac:dyDescent="0.3">
      <c r="B51" s="20" t="s">
        <v>140</v>
      </c>
    </row>
    <row r="52" spans="2:2" x14ac:dyDescent="0.3">
      <c r="B52" s="20" t="s">
        <v>141</v>
      </c>
    </row>
    <row r="53" spans="2:2" x14ac:dyDescent="0.3">
      <c r="B53" s="20" t="s">
        <v>142</v>
      </c>
    </row>
    <row r="54" spans="2:2" x14ac:dyDescent="0.3">
      <c r="B54" s="20" t="s">
        <v>143</v>
      </c>
    </row>
    <row r="55" spans="2:2" x14ac:dyDescent="0.3">
      <c r="B55" s="20" t="s">
        <v>144</v>
      </c>
    </row>
    <row r="56" spans="2:2" x14ac:dyDescent="0.3">
      <c r="B56" s="20" t="s">
        <v>156</v>
      </c>
    </row>
    <row r="57" spans="2:2" x14ac:dyDescent="0.3">
      <c r="B57" s="20" t="s">
        <v>157</v>
      </c>
    </row>
    <row r="58" spans="2:2" x14ac:dyDescent="0.3">
      <c r="B58" s="20" t="s">
        <v>145</v>
      </c>
    </row>
    <row r="59" spans="2:2" x14ac:dyDescent="0.3">
      <c r="B59" s="20" t="s">
        <v>146</v>
      </c>
    </row>
    <row r="60" spans="2:2" x14ac:dyDescent="0.3">
      <c r="B60" s="20" t="s">
        <v>158</v>
      </c>
    </row>
    <row r="61" spans="2:2" x14ac:dyDescent="0.3">
      <c r="B61" s="20" t="s">
        <v>159</v>
      </c>
    </row>
    <row r="62" spans="2:2" x14ac:dyDescent="0.3">
      <c r="B62" s="20" t="s">
        <v>160</v>
      </c>
    </row>
    <row r="63" spans="2:2" x14ac:dyDescent="0.3">
      <c r="B63" s="20" t="s">
        <v>155</v>
      </c>
    </row>
    <row r="64" spans="2:2" x14ac:dyDescent="0.3">
      <c r="B64" s="20" t="s">
        <v>147</v>
      </c>
    </row>
    <row r="65" spans="2:2" x14ac:dyDescent="0.3">
      <c r="B65" s="20" t="s">
        <v>148</v>
      </c>
    </row>
    <row r="66" spans="2:2" x14ac:dyDescent="0.3">
      <c r="B66" s="20" t="s">
        <v>161</v>
      </c>
    </row>
    <row r="67" spans="2:2" x14ac:dyDescent="0.3">
      <c r="B67" s="20" t="s">
        <v>155</v>
      </c>
    </row>
    <row r="68" spans="2:2" x14ac:dyDescent="0.3">
      <c r="B68" s="20" t="s">
        <v>149</v>
      </c>
    </row>
    <row r="69" spans="2:2" x14ac:dyDescent="0.3">
      <c r="B69" s="20" t="s">
        <v>162</v>
      </c>
    </row>
    <row r="70" spans="2:2" x14ac:dyDescent="0.3">
      <c r="B70" s="21" t="s">
        <v>163</v>
      </c>
    </row>
    <row r="71" spans="2:2" x14ac:dyDescent="0.3">
      <c r="B71" s="20" t="s">
        <v>137</v>
      </c>
    </row>
    <row r="72" spans="2:2" x14ac:dyDescent="0.3">
      <c r="B72" s="20" t="s">
        <v>138</v>
      </c>
    </row>
    <row r="73" spans="2:2" x14ac:dyDescent="0.3">
      <c r="B73" s="20" t="s">
        <v>139</v>
      </c>
    </row>
    <row r="74" spans="2:2" x14ac:dyDescent="0.3">
      <c r="B74" s="20" t="s">
        <v>140</v>
      </c>
    </row>
    <row r="75" spans="2:2" x14ac:dyDescent="0.3">
      <c r="B75" s="20" t="s">
        <v>144</v>
      </c>
    </row>
    <row r="76" spans="2:2" x14ac:dyDescent="0.3">
      <c r="B76" s="20" t="s">
        <v>146</v>
      </c>
    </row>
    <row r="77" spans="2:2" x14ac:dyDescent="0.3">
      <c r="B77" s="20" t="s">
        <v>147</v>
      </c>
    </row>
    <row r="78" spans="2:2" x14ac:dyDescent="0.3">
      <c r="B78" s="20" t="s">
        <v>148</v>
      </c>
    </row>
    <row r="79" spans="2:2" x14ac:dyDescent="0.3">
      <c r="B79" s="20" t="s">
        <v>149</v>
      </c>
    </row>
    <row r="80" spans="2:2" x14ac:dyDescent="0.3">
      <c r="B80" s="20" t="s">
        <v>162</v>
      </c>
    </row>
    <row r="81" spans="1:2" x14ac:dyDescent="0.3">
      <c r="B81" s="21" t="s">
        <v>164</v>
      </c>
    </row>
    <row r="82" spans="1:2" x14ac:dyDescent="0.3">
      <c r="B82" s="21" t="s">
        <v>165</v>
      </c>
    </row>
    <row r="83" spans="1:2" x14ac:dyDescent="0.3">
      <c r="B83" s="21" t="s">
        <v>166</v>
      </c>
    </row>
    <row r="84" spans="1:2" x14ac:dyDescent="0.3">
      <c r="B84" s="21" t="s">
        <v>167</v>
      </c>
    </row>
    <row r="85" spans="1:2" x14ac:dyDescent="0.3">
      <c r="B85" s="21" t="s">
        <v>168</v>
      </c>
    </row>
    <row r="86" spans="1:2" x14ac:dyDescent="0.3">
      <c r="B86" s="21" t="s">
        <v>169</v>
      </c>
    </row>
    <row r="87" spans="1:2" x14ac:dyDescent="0.3">
      <c r="B87" s="21" t="s">
        <v>170</v>
      </c>
    </row>
    <row r="88" spans="1:2" x14ac:dyDescent="0.3">
      <c r="A88" s="22" t="s">
        <v>192</v>
      </c>
      <c r="B88" s="24" t="s">
        <v>171</v>
      </c>
    </row>
    <row r="89" spans="1:2" x14ac:dyDescent="0.3">
      <c r="B89" s="20" t="s">
        <v>172</v>
      </c>
    </row>
    <row r="90" spans="1:2" x14ac:dyDescent="0.3">
      <c r="B90" s="20" t="s">
        <v>173</v>
      </c>
    </row>
    <row r="91" spans="1:2" x14ac:dyDescent="0.3">
      <c r="B91" s="20" t="s">
        <v>174</v>
      </c>
    </row>
    <row r="92" spans="1:2" x14ac:dyDescent="0.3">
      <c r="B92" s="20" t="s">
        <v>175</v>
      </c>
    </row>
    <row r="93" spans="1:2" x14ac:dyDescent="0.3">
      <c r="B93" s="20" t="s">
        <v>176</v>
      </c>
    </row>
    <row r="94" spans="1:2" x14ac:dyDescent="0.3">
      <c r="B94" s="20" t="s">
        <v>177</v>
      </c>
    </row>
    <row r="95" spans="1:2" x14ac:dyDescent="0.3">
      <c r="B95" s="20" t="s">
        <v>178</v>
      </c>
    </row>
    <row r="96" spans="1:2" x14ac:dyDescent="0.3">
      <c r="B96" s="20" t="s">
        <v>179</v>
      </c>
    </row>
    <row r="97" spans="2:2" x14ac:dyDescent="0.3">
      <c r="B97" s="20" t="s">
        <v>180</v>
      </c>
    </row>
    <row r="98" spans="2:2" x14ac:dyDescent="0.3">
      <c r="B98" s="20" t="s">
        <v>181</v>
      </c>
    </row>
    <row r="99" spans="2:2" x14ac:dyDescent="0.3">
      <c r="B99" s="20" t="s">
        <v>182</v>
      </c>
    </row>
    <row r="100" spans="2:2" x14ac:dyDescent="0.3">
      <c r="B100" s="20" t="s">
        <v>183</v>
      </c>
    </row>
    <row r="101" spans="2:2" x14ac:dyDescent="0.3">
      <c r="B101" s="20" t="s">
        <v>184</v>
      </c>
    </row>
    <row r="102" spans="2:2" x14ac:dyDescent="0.3">
      <c r="B102" s="20" t="s">
        <v>185</v>
      </c>
    </row>
    <row r="103" spans="2:2" x14ac:dyDescent="0.3">
      <c r="B103" s="20" t="s">
        <v>186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S_member</cp:lastModifiedBy>
  <dcterms:created xsi:type="dcterms:W3CDTF">2022-04-01T07:31:40Z</dcterms:created>
  <dcterms:modified xsi:type="dcterms:W3CDTF">2023-06-06T02:47:29Z</dcterms:modified>
</cp:coreProperties>
</file>
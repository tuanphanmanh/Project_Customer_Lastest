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I22" i="5"/>
  <c r="C22" i="5"/>
  <c r="B22" i="5"/>
  <c r="D22" i="5" s="1"/>
  <c r="I21" i="5"/>
  <c r="C21" i="5"/>
  <c r="B21" i="5"/>
  <c r="D21" i="5" s="1"/>
  <c r="T21" i="5" s="1"/>
  <c r="G33" i="5"/>
  <c r="I33" i="5"/>
  <c r="C33" i="5"/>
  <c r="B33" i="5"/>
  <c r="D33" i="5" s="1"/>
  <c r="I32" i="5"/>
  <c r="C32" i="5"/>
  <c r="B32" i="5"/>
  <c r="D32" i="5" s="1"/>
  <c r="T32" i="5" s="1"/>
  <c r="I31" i="5"/>
  <c r="C31" i="5"/>
  <c r="B31" i="5"/>
  <c r="D31" i="5" s="1"/>
  <c r="C30" i="5"/>
  <c r="B30" i="5"/>
  <c r="D30" i="5" s="1"/>
  <c r="T30" i="5" s="1"/>
  <c r="I39" i="5"/>
  <c r="C39" i="5"/>
  <c r="B39" i="5"/>
  <c r="D39" i="5" s="1"/>
  <c r="V38" i="5"/>
  <c r="C38" i="5"/>
  <c r="B38" i="5"/>
  <c r="D38" i="5" s="1"/>
  <c r="I37" i="5"/>
  <c r="C37" i="5"/>
  <c r="B37" i="5"/>
  <c r="D37" i="5" s="1"/>
  <c r="V36" i="5"/>
  <c r="C36" i="5"/>
  <c r="B36" i="5"/>
  <c r="D36" i="5" s="1"/>
  <c r="T36" i="5" s="1"/>
  <c r="I35" i="5"/>
  <c r="C35" i="5"/>
  <c r="B35" i="5"/>
  <c r="D35" i="5" s="1"/>
  <c r="I34" i="5"/>
  <c r="C34" i="5"/>
  <c r="B34" i="5"/>
  <c r="D34" i="5" s="1"/>
  <c r="T34" i="5" s="1"/>
  <c r="V22" i="5" l="1"/>
  <c r="G35" i="5"/>
  <c r="G22" i="5"/>
  <c r="G39" i="5"/>
  <c r="L22" i="5"/>
  <c r="U22" i="5"/>
  <c r="T22" i="5"/>
  <c r="S22" i="5"/>
  <c r="G37" i="5"/>
  <c r="G31" i="5"/>
  <c r="K21" i="5"/>
  <c r="U21" i="5"/>
  <c r="H22" i="5"/>
  <c r="V35" i="5"/>
  <c r="L37" i="5"/>
  <c r="L31" i="5"/>
  <c r="V33" i="5"/>
  <c r="G21" i="5"/>
  <c r="L21" i="5"/>
  <c r="V21" i="5"/>
  <c r="K22" i="5"/>
  <c r="H21" i="5"/>
  <c r="S21" i="5"/>
  <c r="L35" i="5"/>
  <c r="L39" i="5"/>
  <c r="V31" i="5"/>
  <c r="L33" i="5"/>
  <c r="H34" i="5"/>
  <c r="I30" i="5"/>
  <c r="U33" i="5"/>
  <c r="T33" i="5"/>
  <c r="S33" i="5"/>
  <c r="T31" i="5"/>
  <c r="S31" i="5"/>
  <c r="U31" i="5"/>
  <c r="H30" i="5"/>
  <c r="K31" i="5"/>
  <c r="H32" i="5"/>
  <c r="K30" i="5"/>
  <c r="U30" i="5"/>
  <c r="H31" i="5"/>
  <c r="K32" i="5"/>
  <c r="U32" i="5"/>
  <c r="H33" i="5"/>
  <c r="H37" i="5"/>
  <c r="I38" i="5"/>
  <c r="V39" i="5"/>
  <c r="G30" i="5"/>
  <c r="S30" i="5" s="1"/>
  <c r="L30" i="5"/>
  <c r="V30" i="5"/>
  <c r="G32" i="5"/>
  <c r="S32" i="5" s="1"/>
  <c r="L32" i="5"/>
  <c r="V32" i="5"/>
  <c r="K33" i="5"/>
  <c r="T37" i="5"/>
  <c r="S37" i="5"/>
  <c r="U37" i="5"/>
  <c r="U39" i="5"/>
  <c r="T39" i="5"/>
  <c r="S39" i="5"/>
  <c r="U35" i="5"/>
  <c r="T35" i="5"/>
  <c r="S35" i="5"/>
  <c r="K35" i="5"/>
  <c r="H36" i="5"/>
  <c r="K37" i="5"/>
  <c r="I36" i="5"/>
  <c r="V37" i="5"/>
  <c r="T38" i="5"/>
  <c r="K34" i="5"/>
  <c r="U34" i="5"/>
  <c r="H35" i="5"/>
  <c r="K36" i="5"/>
  <c r="U36" i="5"/>
  <c r="K38" i="5"/>
  <c r="U38" i="5"/>
  <c r="H39" i="5"/>
  <c r="G34" i="5"/>
  <c r="S34" i="5" s="1"/>
  <c r="L34" i="5"/>
  <c r="V34" i="5"/>
  <c r="G36" i="5"/>
  <c r="L36" i="5"/>
  <c r="G38" i="5"/>
  <c r="S38" i="5" s="1"/>
  <c r="L38" i="5"/>
  <c r="S36" i="5"/>
  <c r="H38" i="5"/>
  <c r="K39" i="5"/>
  <c r="L19" i="1"/>
  <c r="G19" i="1"/>
  <c r="E19" i="1"/>
  <c r="H19" i="1" s="1"/>
  <c r="D19" i="1"/>
  <c r="V19" i="1" s="1"/>
  <c r="L18" i="1"/>
  <c r="G18" i="1"/>
  <c r="E18" i="1"/>
  <c r="H18" i="1" s="1"/>
  <c r="W18" i="1" s="1"/>
  <c r="D18" i="1"/>
  <c r="V18" i="1" s="1"/>
  <c r="L22" i="1"/>
  <c r="G22" i="1"/>
  <c r="F28" i="5" s="1"/>
  <c r="E22" i="1"/>
  <c r="H22" i="1" s="1"/>
  <c r="E28" i="5" s="1"/>
  <c r="D22" i="1"/>
  <c r="V22" i="1" s="1"/>
  <c r="L23" i="1"/>
  <c r="G23" i="1"/>
  <c r="E23" i="1"/>
  <c r="H23" i="1" s="1"/>
  <c r="D23" i="1"/>
  <c r="V23" i="1" s="1"/>
  <c r="L21" i="1"/>
  <c r="G21" i="1"/>
  <c r="E21" i="1"/>
  <c r="H21" i="1" s="1"/>
  <c r="D21" i="1"/>
  <c r="V21" i="1" s="1"/>
  <c r="L20" i="1"/>
  <c r="G20" i="1"/>
  <c r="E20" i="1"/>
  <c r="H20" i="1" s="1"/>
  <c r="D20" i="1"/>
  <c r="V20" i="1" s="1"/>
  <c r="L17" i="1"/>
  <c r="G17" i="1"/>
  <c r="E17" i="1"/>
  <c r="H17" i="1" s="1"/>
  <c r="D17" i="1"/>
  <c r="V17" i="1" s="1"/>
  <c r="P26" i="1"/>
  <c r="L26" i="1"/>
  <c r="G26" i="1"/>
  <c r="E26" i="1"/>
  <c r="H26" i="1" s="1"/>
  <c r="W26" i="1" s="1"/>
  <c r="D26" i="1"/>
  <c r="T26" i="1" s="1"/>
  <c r="L25" i="1"/>
  <c r="G25" i="1"/>
  <c r="E25" i="1"/>
  <c r="H25" i="1" s="1"/>
  <c r="D25" i="1"/>
  <c r="V25" i="1" s="1"/>
  <c r="L24" i="1"/>
  <c r="G24" i="1"/>
  <c r="E24" i="1"/>
  <c r="H24" i="1" s="1"/>
  <c r="D24" i="1"/>
  <c r="T24" i="1" s="1"/>
  <c r="L16" i="1"/>
  <c r="G16" i="1"/>
  <c r="E16" i="1"/>
  <c r="H16" i="1" s="1"/>
  <c r="W16" i="1" s="1"/>
  <c r="D16" i="1"/>
  <c r="V16" i="1" s="1"/>
  <c r="P16" i="1" l="1"/>
  <c r="T16" i="1"/>
  <c r="W19" i="1"/>
  <c r="O19" i="1"/>
  <c r="J19" i="1"/>
  <c r="N19" i="1"/>
  <c r="I19" i="1"/>
  <c r="M19" i="1"/>
  <c r="P19" i="1"/>
  <c r="T19" i="1"/>
  <c r="P18" i="1"/>
  <c r="T18" i="1"/>
  <c r="M18" i="1"/>
  <c r="I18" i="1"/>
  <c r="N18" i="1"/>
  <c r="J18" i="1"/>
  <c r="O18" i="1"/>
  <c r="W22" i="1"/>
  <c r="O22" i="1"/>
  <c r="J22" i="1"/>
  <c r="N22" i="1"/>
  <c r="I22" i="1"/>
  <c r="M22" i="1"/>
  <c r="P22" i="1"/>
  <c r="T22" i="1"/>
  <c r="W23" i="1"/>
  <c r="O23" i="1"/>
  <c r="J23" i="1"/>
  <c r="N23" i="1"/>
  <c r="I23" i="1"/>
  <c r="M23" i="1"/>
  <c r="P23" i="1"/>
  <c r="T23" i="1"/>
  <c r="N21" i="1"/>
  <c r="I21" i="1"/>
  <c r="M21" i="1"/>
  <c r="W21" i="1"/>
  <c r="O21" i="1"/>
  <c r="J21" i="1"/>
  <c r="P21" i="1"/>
  <c r="T21" i="1"/>
  <c r="P20" i="1"/>
  <c r="W20" i="1"/>
  <c r="T20" i="1"/>
  <c r="M20" i="1"/>
  <c r="I20" i="1"/>
  <c r="N20" i="1"/>
  <c r="J20" i="1"/>
  <c r="O20" i="1"/>
  <c r="W17" i="1"/>
  <c r="O17" i="1"/>
  <c r="J17" i="1"/>
  <c r="I17" i="1"/>
  <c r="M17" i="1"/>
  <c r="N17" i="1"/>
  <c r="P17" i="1"/>
  <c r="T17" i="1"/>
  <c r="I26" i="1"/>
  <c r="N26" i="1"/>
  <c r="V26" i="1"/>
  <c r="M26" i="1"/>
  <c r="J26" i="1"/>
  <c r="O26" i="1"/>
  <c r="W25" i="1"/>
  <c r="O25" i="1"/>
  <c r="J25" i="1"/>
  <c r="N25" i="1"/>
  <c r="I25" i="1"/>
  <c r="M25" i="1"/>
  <c r="P25" i="1"/>
  <c r="T25" i="1"/>
  <c r="W24" i="1"/>
  <c r="O24" i="1"/>
  <c r="J24" i="1"/>
  <c r="M24" i="1"/>
  <c r="N24" i="1"/>
  <c r="I24" i="1"/>
  <c r="V24" i="1"/>
  <c r="P24" i="1"/>
  <c r="M16" i="1"/>
  <c r="I16" i="1"/>
  <c r="N16" i="1"/>
  <c r="J16" i="1"/>
  <c r="O16" i="1"/>
  <c r="C42" i="5" l="1"/>
  <c r="B42" i="5"/>
  <c r="D42" i="5" s="1"/>
  <c r="T42" i="5" s="1"/>
  <c r="C41" i="5"/>
  <c r="B41" i="5"/>
  <c r="D41" i="5" s="1"/>
  <c r="T41" i="5" s="1"/>
  <c r="C40" i="5"/>
  <c r="B40" i="5"/>
  <c r="D40" i="5" s="1"/>
  <c r="T4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51" i="1"/>
  <c r="G51" i="1"/>
  <c r="E51" i="1"/>
  <c r="H51" i="1" s="1"/>
  <c r="D51" i="1"/>
  <c r="V51" i="1" s="1"/>
  <c r="L50" i="1"/>
  <c r="G50" i="1"/>
  <c r="E50" i="1"/>
  <c r="H50" i="1" s="1"/>
  <c r="D50" i="1"/>
  <c r="P50" i="1" s="1"/>
  <c r="L49" i="1"/>
  <c r="G49" i="1"/>
  <c r="E49" i="1"/>
  <c r="H49" i="1" s="1"/>
  <c r="D49" i="1"/>
  <c r="T49" i="1" s="1"/>
  <c r="L48" i="1"/>
  <c r="G48" i="1"/>
  <c r="E48" i="1"/>
  <c r="H48" i="1" s="1"/>
  <c r="W48" i="1" s="1"/>
  <c r="D48" i="1"/>
  <c r="L47" i="1"/>
  <c r="G47" i="1"/>
  <c r="E47" i="1"/>
  <c r="H47" i="1" s="1"/>
  <c r="D47" i="1"/>
  <c r="V47" i="1" s="1"/>
  <c r="L46" i="1"/>
  <c r="G46" i="1"/>
  <c r="E46" i="1"/>
  <c r="H46" i="1" s="1"/>
  <c r="O46" i="1" s="1"/>
  <c r="D46" i="1"/>
  <c r="P46" i="1" s="1"/>
  <c r="L45" i="1"/>
  <c r="G45" i="1"/>
  <c r="E45" i="1"/>
  <c r="H45" i="1" s="1"/>
  <c r="D45" i="1"/>
  <c r="T45" i="1" s="1"/>
  <c r="L44" i="1"/>
  <c r="G44" i="1"/>
  <c r="E44" i="1"/>
  <c r="H44" i="1" s="1"/>
  <c r="D44" i="1"/>
  <c r="L43" i="1"/>
  <c r="G43" i="1"/>
  <c r="E43" i="1"/>
  <c r="H43" i="1" s="1"/>
  <c r="D43" i="1"/>
  <c r="V43" i="1" s="1"/>
  <c r="L42" i="1"/>
  <c r="G42" i="1"/>
  <c r="E42" i="1"/>
  <c r="H42" i="1" s="1"/>
  <c r="D42" i="1"/>
  <c r="P42" i="1" s="1"/>
  <c r="L41" i="1"/>
  <c r="G41" i="1"/>
  <c r="E41" i="1"/>
  <c r="H41" i="1" s="1"/>
  <c r="D41" i="1"/>
  <c r="T41" i="1" s="1"/>
  <c r="L40" i="1"/>
  <c r="G40" i="1"/>
  <c r="E40" i="1"/>
  <c r="H40" i="1" s="1"/>
  <c r="W40" i="1" s="1"/>
  <c r="D40" i="1"/>
  <c r="L39" i="1"/>
  <c r="G39" i="1"/>
  <c r="E39" i="1"/>
  <c r="H39" i="1" s="1"/>
  <c r="D39" i="1"/>
  <c r="V39" i="1" s="1"/>
  <c r="L38" i="1"/>
  <c r="G38" i="1"/>
  <c r="E38" i="1"/>
  <c r="H38" i="1" s="1"/>
  <c r="D38" i="1"/>
  <c r="P38" i="1" s="1"/>
  <c r="L37" i="1"/>
  <c r="G37" i="1"/>
  <c r="E37" i="1"/>
  <c r="H37" i="1" s="1"/>
  <c r="D37" i="1"/>
  <c r="T37" i="1" s="1"/>
  <c r="L36" i="1"/>
  <c r="G36" i="1"/>
  <c r="E36" i="1"/>
  <c r="H36" i="1" s="1"/>
  <c r="W36" i="1" s="1"/>
  <c r="D36" i="1"/>
  <c r="L35" i="1"/>
  <c r="G35" i="1"/>
  <c r="E35" i="1"/>
  <c r="H35" i="1" s="1"/>
  <c r="D35" i="1"/>
  <c r="V35" i="1" s="1"/>
  <c r="L65" i="1"/>
  <c r="G65" i="1"/>
  <c r="E65" i="1"/>
  <c r="H65" i="1" s="1"/>
  <c r="D65" i="1"/>
  <c r="V65" i="1" s="1"/>
  <c r="L64" i="1"/>
  <c r="G64" i="1"/>
  <c r="E64" i="1"/>
  <c r="H64" i="1" s="1"/>
  <c r="D64" i="1"/>
  <c r="V64" i="1" s="1"/>
  <c r="L63" i="1"/>
  <c r="G63" i="1"/>
  <c r="E63" i="1"/>
  <c r="H63" i="1" s="1"/>
  <c r="D63" i="1"/>
  <c r="T63" i="1" s="1"/>
  <c r="L62" i="1"/>
  <c r="H62" i="1"/>
  <c r="G62" i="1"/>
  <c r="E62" i="1"/>
  <c r="D62" i="1"/>
  <c r="P62" i="1" s="1"/>
  <c r="L61" i="1"/>
  <c r="G61" i="1"/>
  <c r="E61" i="1"/>
  <c r="H61" i="1" s="1"/>
  <c r="D61" i="1"/>
  <c r="V61" i="1" s="1"/>
  <c r="L60" i="1"/>
  <c r="G60" i="1"/>
  <c r="E60" i="1"/>
  <c r="H60" i="1" s="1"/>
  <c r="D60" i="1"/>
  <c r="V60" i="1" s="1"/>
  <c r="L59" i="1"/>
  <c r="G59" i="1"/>
  <c r="E59" i="1"/>
  <c r="H59" i="1" s="1"/>
  <c r="D59" i="1"/>
  <c r="T59" i="1" s="1"/>
  <c r="L58" i="1"/>
  <c r="G58" i="1"/>
  <c r="E58" i="1"/>
  <c r="H58" i="1" s="1"/>
  <c r="O58" i="1" s="1"/>
  <c r="D58" i="1"/>
  <c r="V58" i="1" s="1"/>
  <c r="L57" i="1"/>
  <c r="G57" i="1"/>
  <c r="E57" i="1"/>
  <c r="H57" i="1" s="1"/>
  <c r="D57" i="1"/>
  <c r="V57" i="1" s="1"/>
  <c r="L56" i="1"/>
  <c r="G56" i="1"/>
  <c r="E56" i="1"/>
  <c r="H56" i="1" s="1"/>
  <c r="D56" i="1"/>
  <c r="V56" i="1" s="1"/>
  <c r="L55" i="1"/>
  <c r="G55" i="1"/>
  <c r="E55" i="1"/>
  <c r="H55" i="1" s="1"/>
  <c r="D55" i="1"/>
  <c r="T55" i="1" s="1"/>
  <c r="L54" i="1"/>
  <c r="G54" i="1"/>
  <c r="E54" i="1"/>
  <c r="H54" i="1" s="1"/>
  <c r="O54" i="1" s="1"/>
  <c r="D54" i="1"/>
  <c r="V54" i="1" s="1"/>
  <c r="L53" i="1"/>
  <c r="G53" i="1"/>
  <c r="E53" i="1"/>
  <c r="H53" i="1" s="1"/>
  <c r="D53" i="1"/>
  <c r="V53" i="1" s="1"/>
  <c r="L52" i="1"/>
  <c r="G52" i="1"/>
  <c r="E52" i="1"/>
  <c r="H52" i="1" s="1"/>
  <c r="D52" i="1"/>
  <c r="P52" i="1" s="1"/>
  <c r="T62" i="1" l="1"/>
  <c r="K65" i="5"/>
  <c r="K42" i="5"/>
  <c r="G71" i="5"/>
  <c r="G48" i="5"/>
  <c r="V48" i="5"/>
  <c r="G54" i="5"/>
  <c r="V54" i="5"/>
  <c r="I46" i="5"/>
  <c r="G46" i="5"/>
  <c r="V46" i="5"/>
  <c r="K46" i="5"/>
  <c r="V52" i="5"/>
  <c r="G52" i="5"/>
  <c r="G56" i="5"/>
  <c r="V56" i="5"/>
  <c r="G59" i="5"/>
  <c r="K59" i="5"/>
  <c r="I59" i="5"/>
  <c r="V59" i="5"/>
  <c r="I63" i="5"/>
  <c r="K63" i="5"/>
  <c r="G63" i="5"/>
  <c r="V63" i="5"/>
  <c r="K67" i="5"/>
  <c r="G67" i="5"/>
  <c r="V67" i="5"/>
  <c r="I67" i="5"/>
  <c r="V44" i="5"/>
  <c r="G44" i="5"/>
  <c r="G69" i="5"/>
  <c r="V69" i="5"/>
  <c r="I69" i="5"/>
  <c r="K69" i="5"/>
  <c r="G45" i="5"/>
  <c r="V45" i="5"/>
  <c r="I45" i="5"/>
  <c r="K45" i="5"/>
  <c r="G51" i="5"/>
  <c r="V51" i="5"/>
  <c r="I70" i="5"/>
  <c r="G70" i="5"/>
  <c r="V70" i="5"/>
  <c r="K70" i="5"/>
  <c r="V60" i="5"/>
  <c r="G60" i="5"/>
  <c r="K60" i="5"/>
  <c r="I60" i="5"/>
  <c r="G62" i="5"/>
  <c r="V62" i="5"/>
  <c r="K62" i="5"/>
  <c r="I62" i="5"/>
  <c r="K64" i="5"/>
  <c r="I64" i="5"/>
  <c r="G64" i="5"/>
  <c r="V64" i="5"/>
  <c r="V68" i="5"/>
  <c r="K68" i="5"/>
  <c r="G68" i="5"/>
  <c r="I68" i="5"/>
  <c r="V58" i="5"/>
  <c r="G66" i="5"/>
  <c r="G58" i="5"/>
  <c r="G50" i="5"/>
  <c r="G42" i="5"/>
  <c r="S42" i="5" s="1"/>
  <c r="V57" i="5"/>
  <c r="V49" i="5"/>
  <c r="V42" i="5"/>
  <c r="G65" i="5"/>
  <c r="G57" i="5"/>
  <c r="G49" i="5"/>
  <c r="H42" i="5"/>
  <c r="I66" i="5"/>
  <c r="I42" i="5"/>
  <c r="U42" i="5"/>
  <c r="V50" i="5"/>
  <c r="L42" i="5"/>
  <c r="I65" i="5"/>
  <c r="K66" i="5"/>
  <c r="V66" i="5"/>
  <c r="T50" i="1"/>
  <c r="P49" i="1"/>
  <c r="M44" i="1"/>
  <c r="T38" i="1"/>
  <c r="P58" i="1"/>
  <c r="P37" i="1"/>
  <c r="V42" i="1"/>
  <c r="V49" i="1"/>
  <c r="V37" i="1"/>
  <c r="O50" i="1"/>
  <c r="I50" i="1"/>
  <c r="O38" i="1"/>
  <c r="I38" i="1"/>
  <c r="O42" i="1"/>
  <c r="I42" i="1"/>
  <c r="V59" i="1"/>
  <c r="V62" i="1"/>
  <c r="I46" i="1"/>
  <c r="M48" i="1"/>
  <c r="T58" i="1"/>
  <c r="M40" i="1"/>
  <c r="P45" i="1"/>
  <c r="T46" i="1"/>
  <c r="V50" i="1"/>
  <c r="V55" i="1"/>
  <c r="M36" i="1"/>
  <c r="P41" i="1"/>
  <c r="T42" i="1"/>
  <c r="V45" i="1"/>
  <c r="V46" i="1"/>
  <c r="O62" i="1"/>
  <c r="V41" i="1"/>
  <c r="W44" i="1"/>
  <c r="P54" i="1"/>
  <c r="T54" i="1"/>
  <c r="V63" i="1"/>
  <c r="V38" i="1"/>
  <c r="O41" i="1"/>
  <c r="N41" i="1"/>
  <c r="M41" i="1"/>
  <c r="W41" i="1"/>
  <c r="J41" i="1"/>
  <c r="I41" i="1"/>
  <c r="W39" i="1"/>
  <c r="J39" i="1"/>
  <c r="I39" i="1"/>
  <c r="O39" i="1"/>
  <c r="N39" i="1"/>
  <c r="M39" i="1"/>
  <c r="O37" i="1"/>
  <c r="N37" i="1"/>
  <c r="M37" i="1"/>
  <c r="W37" i="1"/>
  <c r="J37" i="1"/>
  <c r="I37" i="1"/>
  <c r="W51" i="1"/>
  <c r="J51" i="1"/>
  <c r="I51" i="1"/>
  <c r="O51" i="1"/>
  <c r="N51" i="1"/>
  <c r="M51" i="1"/>
  <c r="W47" i="1"/>
  <c r="J47" i="1"/>
  <c r="I47" i="1"/>
  <c r="O47" i="1"/>
  <c r="N47" i="1"/>
  <c r="M47" i="1"/>
  <c r="O45" i="1"/>
  <c r="N45" i="1"/>
  <c r="M45" i="1"/>
  <c r="W45" i="1"/>
  <c r="J45" i="1"/>
  <c r="I45" i="1"/>
  <c r="W35" i="1"/>
  <c r="J35" i="1"/>
  <c r="I35" i="1"/>
  <c r="O35" i="1"/>
  <c r="N35" i="1"/>
  <c r="M35" i="1"/>
  <c r="W43" i="1"/>
  <c r="J43" i="1"/>
  <c r="I43" i="1"/>
  <c r="O43" i="1"/>
  <c r="N43" i="1"/>
  <c r="M43" i="1"/>
  <c r="O49" i="1"/>
  <c r="N49" i="1"/>
  <c r="M49" i="1"/>
  <c r="W49" i="1"/>
  <c r="J49" i="1"/>
  <c r="I49" i="1"/>
  <c r="N44" i="1"/>
  <c r="N48" i="1"/>
  <c r="O36" i="1"/>
  <c r="J38" i="1"/>
  <c r="W38" i="1"/>
  <c r="O40" i="1"/>
  <c r="J42" i="1"/>
  <c r="W42" i="1"/>
  <c r="O44" i="1"/>
  <c r="J46" i="1"/>
  <c r="W46" i="1"/>
  <c r="O48" i="1"/>
  <c r="J50" i="1"/>
  <c r="W50" i="1"/>
  <c r="P36" i="1"/>
  <c r="P40" i="1"/>
  <c r="P44" i="1"/>
  <c r="P48" i="1"/>
  <c r="T36" i="1"/>
  <c r="M38" i="1"/>
  <c r="T40" i="1"/>
  <c r="M42" i="1"/>
  <c r="T44" i="1"/>
  <c r="M46" i="1"/>
  <c r="T48" i="1"/>
  <c r="M50" i="1"/>
  <c r="P35" i="1"/>
  <c r="I36" i="1"/>
  <c r="V36" i="1"/>
  <c r="N38" i="1"/>
  <c r="P39" i="1"/>
  <c r="I40" i="1"/>
  <c r="V40" i="1"/>
  <c r="N42" i="1"/>
  <c r="P43" i="1"/>
  <c r="I44" i="1"/>
  <c r="V44" i="1"/>
  <c r="N46" i="1"/>
  <c r="P47" i="1"/>
  <c r="I48" i="1"/>
  <c r="V48" i="1"/>
  <c r="N50" i="1"/>
  <c r="P51" i="1"/>
  <c r="T35" i="1"/>
  <c r="J36" i="1"/>
  <c r="T39" i="1"/>
  <c r="J40" i="1"/>
  <c r="T43" i="1"/>
  <c r="J44" i="1"/>
  <c r="T47" i="1"/>
  <c r="J48" i="1"/>
  <c r="T51" i="1"/>
  <c r="N36" i="1"/>
  <c r="N40" i="1"/>
  <c r="W64" i="1"/>
  <c r="J64" i="1"/>
  <c r="N64" i="1"/>
  <c r="I64" i="1"/>
  <c r="O64" i="1"/>
  <c r="M64" i="1"/>
  <c r="W60" i="1"/>
  <c r="J60" i="1"/>
  <c r="M60" i="1"/>
  <c r="I60" i="1"/>
  <c r="O60" i="1"/>
  <c r="N60" i="1"/>
  <c r="I63" i="1"/>
  <c r="O63" i="1"/>
  <c r="N63" i="1"/>
  <c r="W63" i="1"/>
  <c r="J63" i="1"/>
  <c r="M63" i="1"/>
  <c r="M57" i="1"/>
  <c r="O57" i="1"/>
  <c r="W57" i="1"/>
  <c r="J57" i="1"/>
  <c r="I57" i="1"/>
  <c r="N57" i="1"/>
  <c r="N55" i="1"/>
  <c r="I55" i="1"/>
  <c r="J55" i="1"/>
  <c r="O55" i="1"/>
  <c r="W55" i="1"/>
  <c r="M55" i="1"/>
  <c r="M53" i="1"/>
  <c r="I53" i="1"/>
  <c r="O53" i="1"/>
  <c r="N53" i="1"/>
  <c r="W53" i="1"/>
  <c r="J53" i="1"/>
  <c r="W56" i="1"/>
  <c r="J56" i="1"/>
  <c r="I56" i="1"/>
  <c r="M56" i="1"/>
  <c r="N56" i="1"/>
  <c r="O56" i="1"/>
  <c r="I59" i="1"/>
  <c r="O59" i="1"/>
  <c r="N59" i="1"/>
  <c r="W59" i="1"/>
  <c r="J59" i="1"/>
  <c r="M59" i="1"/>
  <c r="W52" i="1"/>
  <c r="J52" i="1"/>
  <c r="I52" i="1"/>
  <c r="M52" i="1"/>
  <c r="N52" i="1"/>
  <c r="O52" i="1"/>
  <c r="M65" i="1"/>
  <c r="W65" i="1"/>
  <c r="J65" i="1"/>
  <c r="I65" i="1"/>
  <c r="O65" i="1"/>
  <c r="N65" i="1"/>
  <c r="M61" i="1"/>
  <c r="N61" i="1"/>
  <c r="W61" i="1"/>
  <c r="J61" i="1"/>
  <c r="O61" i="1"/>
  <c r="I61" i="1"/>
  <c r="P53" i="1"/>
  <c r="I62" i="1"/>
  <c r="P65" i="1"/>
  <c r="T53" i="1"/>
  <c r="J54" i="1"/>
  <c r="W54" i="1"/>
  <c r="T57" i="1"/>
  <c r="J58" i="1"/>
  <c r="W58" i="1"/>
  <c r="T61" i="1"/>
  <c r="J62" i="1"/>
  <c r="W62" i="1"/>
  <c r="T65" i="1"/>
  <c r="P61" i="1"/>
  <c r="P57" i="1"/>
  <c r="I58" i="1"/>
  <c r="P56" i="1"/>
  <c r="P60" i="1"/>
  <c r="P64" i="1"/>
  <c r="T52" i="1"/>
  <c r="M54" i="1"/>
  <c r="T56" i="1"/>
  <c r="M58" i="1"/>
  <c r="T60" i="1"/>
  <c r="M62" i="1"/>
  <c r="T64" i="1"/>
  <c r="V52" i="1"/>
  <c r="P59" i="1"/>
  <c r="N62" i="1"/>
  <c r="P63" i="1"/>
  <c r="I54" i="1"/>
  <c r="N54" i="1"/>
  <c r="P55" i="1"/>
  <c r="N58" i="1"/>
  <c r="B7" i="5"/>
  <c r="B6" i="5"/>
  <c r="B2" i="5"/>
  <c r="V65" i="5" l="1"/>
  <c r="G53" i="5"/>
  <c r="V53" i="5"/>
  <c r="V43" i="5"/>
  <c r="G43" i="5"/>
  <c r="G61" i="5"/>
  <c r="V61" i="5"/>
  <c r="I61" i="5"/>
  <c r="K61" i="5"/>
  <c r="G47" i="5"/>
  <c r="V47" i="5"/>
  <c r="G55" i="5"/>
  <c r="V55" i="5"/>
  <c r="B8" i="5"/>
  <c r="B3" i="5"/>
  <c r="C71" i="5"/>
  <c r="B71" i="5"/>
  <c r="D71" i="5" s="1"/>
  <c r="S71" i="5" s="1"/>
  <c r="C70" i="5"/>
  <c r="B70" i="5"/>
  <c r="D70" i="5" s="1"/>
  <c r="C69" i="5"/>
  <c r="B69" i="5"/>
  <c r="D69" i="5" s="1"/>
  <c r="S69" i="5" s="1"/>
  <c r="C68" i="5"/>
  <c r="B68" i="5"/>
  <c r="D68" i="5" s="1"/>
  <c r="C67" i="5"/>
  <c r="B67" i="5"/>
  <c r="D67" i="5" s="1"/>
  <c r="C66" i="5"/>
  <c r="B66" i="5"/>
  <c r="D66" i="5" s="1"/>
  <c r="C65" i="5"/>
  <c r="B65" i="5"/>
  <c r="D65" i="5" s="1"/>
  <c r="S65" i="5" s="1"/>
  <c r="C64" i="5"/>
  <c r="B64" i="5"/>
  <c r="D64" i="5" s="1"/>
  <c r="C63" i="5"/>
  <c r="B63" i="5"/>
  <c r="D63" i="5" s="1"/>
  <c r="S63" i="5" s="1"/>
  <c r="C62" i="5"/>
  <c r="B62" i="5"/>
  <c r="D62" i="5" s="1"/>
  <c r="C61" i="5"/>
  <c r="B61" i="5"/>
  <c r="D61" i="5" s="1"/>
  <c r="T61" i="5" s="1"/>
  <c r="C60" i="5"/>
  <c r="B60" i="5"/>
  <c r="D60" i="5" s="1"/>
  <c r="S60" i="5" s="1"/>
  <c r="C59" i="5"/>
  <c r="B59" i="5"/>
  <c r="D59" i="5" s="1"/>
  <c r="C58" i="5"/>
  <c r="B58" i="5"/>
  <c r="D58" i="5" s="1"/>
  <c r="C57" i="5"/>
  <c r="B57" i="5"/>
  <c r="D57" i="5" s="1"/>
  <c r="C56" i="5"/>
  <c r="B56" i="5"/>
  <c r="D56" i="5" s="1"/>
  <c r="S56" i="5" s="1"/>
  <c r="C55" i="5"/>
  <c r="B55" i="5"/>
  <c r="D55" i="5" s="1"/>
  <c r="T55" i="5" s="1"/>
  <c r="C54" i="5"/>
  <c r="B54" i="5"/>
  <c r="D54" i="5" s="1"/>
  <c r="C53" i="5"/>
  <c r="B53" i="5"/>
  <c r="D53" i="5" s="1"/>
  <c r="T53" i="5" s="1"/>
  <c r="C52" i="5"/>
  <c r="B52" i="5"/>
  <c r="D52" i="5" s="1"/>
  <c r="S52" i="5" s="1"/>
  <c r="C51" i="5"/>
  <c r="B51" i="5"/>
  <c r="D51" i="5" s="1"/>
  <c r="C50" i="5"/>
  <c r="B50" i="5"/>
  <c r="D50" i="5" s="1"/>
  <c r="C49" i="5"/>
  <c r="B49" i="5"/>
  <c r="D49" i="5" s="1"/>
  <c r="S49" i="5" s="1"/>
  <c r="C48" i="5"/>
  <c r="B48" i="5"/>
  <c r="D48" i="5" s="1"/>
  <c r="C47" i="5"/>
  <c r="B47" i="5"/>
  <c r="D47" i="5" s="1"/>
  <c r="T47" i="5" s="1"/>
  <c r="C46" i="5"/>
  <c r="B46" i="5"/>
  <c r="D46" i="5" s="1"/>
  <c r="C45" i="5"/>
  <c r="B45" i="5"/>
  <c r="D45" i="5" s="1"/>
  <c r="S45" i="5" s="1"/>
  <c r="L55" i="5"/>
  <c r="L34" i="1"/>
  <c r="G34" i="1"/>
  <c r="E34" i="1"/>
  <c r="H34" i="1" s="1"/>
  <c r="D34" i="1"/>
  <c r="V34" i="1" s="1"/>
  <c r="G33" i="1"/>
  <c r="E33" i="1"/>
  <c r="H33" i="1" s="1"/>
  <c r="D33" i="1"/>
  <c r="T33" i="1" s="1"/>
  <c r="L32" i="1"/>
  <c r="G32" i="1"/>
  <c r="E32" i="1"/>
  <c r="H32" i="1" s="1"/>
  <c r="D32" i="1"/>
  <c r="V32" i="1" s="1"/>
  <c r="L31" i="1"/>
  <c r="G31" i="1"/>
  <c r="E31" i="1"/>
  <c r="H31" i="1" s="1"/>
  <c r="D31" i="1"/>
  <c r="T31" i="1" s="1"/>
  <c r="L30" i="1"/>
  <c r="G30" i="1"/>
  <c r="E30" i="1"/>
  <c r="H30" i="1" s="1"/>
  <c r="D30" i="1"/>
  <c r="V30" i="1" s="1"/>
  <c r="G29" i="1"/>
  <c r="E29" i="1"/>
  <c r="H29" i="1" s="1"/>
  <c r="D29" i="1"/>
  <c r="T29" i="1" s="1"/>
  <c r="L28" i="1"/>
  <c r="G28" i="1"/>
  <c r="E28" i="1"/>
  <c r="H28" i="1" s="1"/>
  <c r="D28" i="1"/>
  <c r="V28" i="1" s="1"/>
  <c r="L27" i="1"/>
  <c r="G27" i="1"/>
  <c r="E27" i="1"/>
  <c r="H27" i="1" s="1"/>
  <c r="D27" i="1"/>
  <c r="T27" i="1" s="1"/>
  <c r="L15" i="1"/>
  <c r="G15" i="1"/>
  <c r="E15" i="1"/>
  <c r="H15" i="1" s="1"/>
  <c r="D15" i="1"/>
  <c r="V15" i="1" s="1"/>
  <c r="G14" i="1"/>
  <c r="E14" i="1"/>
  <c r="H14" i="1" s="1"/>
  <c r="D14" i="1"/>
  <c r="T14" i="1" s="1"/>
  <c r="K47" i="5" l="1"/>
  <c r="K55" i="5"/>
  <c r="I53" i="5"/>
  <c r="H47" i="5"/>
  <c r="H55" i="5"/>
  <c r="H53" i="5"/>
  <c r="H61" i="5"/>
  <c r="H65" i="5"/>
  <c r="H69" i="5"/>
  <c r="T59" i="5"/>
  <c r="U59" i="5"/>
  <c r="S59" i="5"/>
  <c r="T46" i="5"/>
  <c r="U46" i="5"/>
  <c r="H46" i="5"/>
  <c r="K58" i="5"/>
  <c r="H58" i="5"/>
  <c r="T70" i="5"/>
  <c r="U70" i="5"/>
  <c r="T51" i="5"/>
  <c r="U51" i="5"/>
  <c r="I51" i="5"/>
  <c r="H62" i="5"/>
  <c r="H66" i="5"/>
  <c r="H70" i="5"/>
  <c r="U55" i="5"/>
  <c r="S47" i="5"/>
  <c r="S61" i="5"/>
  <c r="K53" i="5"/>
  <c r="S46" i="5"/>
  <c r="T62" i="5"/>
  <c r="U62" i="5"/>
  <c r="H59" i="5"/>
  <c r="T63" i="5"/>
  <c r="U63" i="5"/>
  <c r="T67" i="5"/>
  <c r="U67" i="5"/>
  <c r="T58" i="5"/>
  <c r="I58" i="5"/>
  <c r="U58" i="5"/>
  <c r="K51" i="5"/>
  <c r="H51" i="5"/>
  <c r="T48" i="5"/>
  <c r="I48" i="5"/>
  <c r="U48" i="5"/>
  <c r="T52" i="5"/>
  <c r="U52" i="5"/>
  <c r="I52" i="5"/>
  <c r="T56" i="5"/>
  <c r="I56" i="5"/>
  <c r="U56" i="5"/>
  <c r="H63" i="5"/>
  <c r="H67" i="5"/>
  <c r="S55" i="5"/>
  <c r="I47" i="5"/>
  <c r="U53" i="5"/>
  <c r="S51" i="5"/>
  <c r="T54" i="5"/>
  <c r="I54" i="5"/>
  <c r="U54" i="5"/>
  <c r="H52" i="5"/>
  <c r="K52" i="5"/>
  <c r="K56" i="5"/>
  <c r="H56" i="5"/>
  <c r="T60" i="5"/>
  <c r="U60" i="5"/>
  <c r="T64" i="5"/>
  <c r="U64" i="5"/>
  <c r="T68" i="5"/>
  <c r="U68" i="5"/>
  <c r="T71" i="5"/>
  <c r="U71" i="5"/>
  <c r="I71" i="5"/>
  <c r="V71" i="5"/>
  <c r="S70" i="5"/>
  <c r="S58" i="5"/>
  <c r="S62" i="5"/>
  <c r="T50" i="5"/>
  <c r="U50" i="5"/>
  <c r="I50" i="5"/>
  <c r="S50" i="5"/>
  <c r="K54" i="5"/>
  <c r="H54" i="5"/>
  <c r="T66" i="5"/>
  <c r="U66" i="5"/>
  <c r="K48" i="5"/>
  <c r="H48" i="5"/>
  <c r="T49" i="5"/>
  <c r="U49" i="5"/>
  <c r="I49" i="5"/>
  <c r="T57" i="5"/>
  <c r="I57" i="5"/>
  <c r="U57" i="5"/>
  <c r="H60" i="5"/>
  <c r="H64" i="5"/>
  <c r="H68" i="5"/>
  <c r="K71" i="5"/>
  <c r="H71" i="5"/>
  <c r="I55" i="5"/>
  <c r="S53" i="5"/>
  <c r="S66" i="5"/>
  <c r="S67" i="5"/>
  <c r="S64" i="5"/>
  <c r="H50" i="5"/>
  <c r="K50" i="5"/>
  <c r="T45" i="5"/>
  <c r="U45" i="5"/>
  <c r="H45" i="5"/>
  <c r="K49" i="5"/>
  <c r="H49" i="5"/>
  <c r="K57" i="5"/>
  <c r="H57" i="5"/>
  <c r="T65" i="5"/>
  <c r="U65" i="5"/>
  <c r="T69" i="5"/>
  <c r="U69" i="5"/>
  <c r="U47" i="5"/>
  <c r="U61" i="5"/>
  <c r="S54" i="5"/>
  <c r="S48" i="5"/>
  <c r="S68" i="5"/>
  <c r="S57" i="5"/>
  <c r="G27" i="5"/>
  <c r="S27" i="5" s="1"/>
  <c r="V27" i="5"/>
  <c r="U27" i="5"/>
  <c r="L27" i="5"/>
  <c r="I27" i="5"/>
  <c r="H27" i="5"/>
  <c r="K27" i="5"/>
  <c r="I29" i="5"/>
  <c r="K29" i="5"/>
  <c r="H29" i="5"/>
  <c r="G29" i="5"/>
  <c r="S29" i="5" s="1"/>
  <c r="V29" i="5"/>
  <c r="U29" i="5"/>
  <c r="L29" i="5"/>
  <c r="U25" i="5"/>
  <c r="V25" i="5"/>
  <c r="K25" i="5"/>
  <c r="I25" i="5"/>
  <c r="G25" i="5"/>
  <c r="S25" i="5" s="1"/>
  <c r="H25" i="5"/>
  <c r="L25" i="5"/>
  <c r="K41" i="5"/>
  <c r="I41" i="5"/>
  <c r="H41" i="5"/>
  <c r="U41" i="5"/>
  <c r="G41" i="5"/>
  <c r="S41" i="5" s="1"/>
  <c r="V41" i="5"/>
  <c r="L41" i="5"/>
  <c r="I31" i="1"/>
  <c r="K40" i="5"/>
  <c r="I40" i="5"/>
  <c r="H40" i="5"/>
  <c r="G40" i="5"/>
  <c r="S40" i="5" s="1"/>
  <c r="V40" i="5"/>
  <c r="U40" i="5"/>
  <c r="L40" i="5"/>
  <c r="K20" i="5"/>
  <c r="I20" i="5"/>
  <c r="H20" i="5"/>
  <c r="G20" i="5"/>
  <c r="S20" i="5" s="1"/>
  <c r="L20" i="5"/>
  <c r="V20" i="5"/>
  <c r="U20" i="5"/>
  <c r="L23" i="5"/>
  <c r="K23" i="5"/>
  <c r="I23" i="5"/>
  <c r="H23" i="5"/>
  <c r="G23" i="5"/>
  <c r="S23" i="5" s="1"/>
  <c r="V23" i="5"/>
  <c r="U23" i="5"/>
  <c r="U24" i="5"/>
  <c r="K24" i="5"/>
  <c r="I24" i="5"/>
  <c r="V24" i="5"/>
  <c r="H24" i="5"/>
  <c r="G24" i="5"/>
  <c r="S24" i="5" s="1"/>
  <c r="L24" i="5"/>
  <c r="L26" i="5"/>
  <c r="V26" i="5"/>
  <c r="G26" i="5"/>
  <c r="S26" i="5" s="1"/>
  <c r="U26" i="5"/>
  <c r="H26" i="5"/>
  <c r="K26" i="5"/>
  <c r="I26" i="5"/>
  <c r="L68" i="5"/>
  <c r="L60" i="5"/>
  <c r="L47" i="5"/>
  <c r="L62" i="5"/>
  <c r="L64" i="5"/>
  <c r="L70" i="5"/>
  <c r="L66" i="5"/>
  <c r="L71" i="5"/>
  <c r="L65" i="5"/>
  <c r="L49" i="5"/>
  <c r="L53" i="5"/>
  <c r="L45" i="5"/>
  <c r="L50" i="5"/>
  <c r="L52" i="5"/>
  <c r="L54" i="5"/>
  <c r="L56" i="5"/>
  <c r="L58" i="5"/>
  <c r="L46" i="5"/>
  <c r="L48" i="5"/>
  <c r="M29" i="1"/>
  <c r="I29" i="1"/>
  <c r="M33" i="1"/>
  <c r="I33" i="1"/>
  <c r="P15" i="1"/>
  <c r="P32" i="1"/>
  <c r="P34" i="1"/>
  <c r="W15" i="1"/>
  <c r="P30" i="1"/>
  <c r="M31" i="1"/>
  <c r="W30" i="1"/>
  <c r="O30" i="1"/>
  <c r="J30" i="1"/>
  <c r="N30" i="1"/>
  <c r="I30" i="1"/>
  <c r="M30" i="1"/>
  <c r="W34" i="1"/>
  <c r="O34" i="1"/>
  <c r="J34" i="1"/>
  <c r="N34" i="1"/>
  <c r="I34" i="1"/>
  <c r="M34" i="1"/>
  <c r="W32" i="1"/>
  <c r="O32" i="1"/>
  <c r="J32" i="1"/>
  <c r="N32" i="1"/>
  <c r="I32" i="1"/>
  <c r="M32" i="1"/>
  <c r="N29" i="1"/>
  <c r="V29" i="1"/>
  <c r="N31" i="1"/>
  <c r="V31" i="1"/>
  <c r="N33" i="1"/>
  <c r="V33" i="1"/>
  <c r="J29" i="1"/>
  <c r="O29" i="1"/>
  <c r="W29" i="1"/>
  <c r="T30" i="1"/>
  <c r="J31" i="1"/>
  <c r="O31" i="1"/>
  <c r="W31" i="1"/>
  <c r="T32" i="1"/>
  <c r="J33" i="1"/>
  <c r="O33" i="1"/>
  <c r="W33" i="1"/>
  <c r="T34" i="1"/>
  <c r="P29" i="1"/>
  <c r="P31" i="1"/>
  <c r="P33" i="1"/>
  <c r="P28" i="1"/>
  <c r="W28" i="1"/>
  <c r="O28" i="1"/>
  <c r="J28" i="1"/>
  <c r="N28" i="1"/>
  <c r="I28" i="1"/>
  <c r="M28" i="1"/>
  <c r="M27" i="1"/>
  <c r="N27" i="1"/>
  <c r="I27" i="1"/>
  <c r="W27" i="1"/>
  <c r="O27" i="1"/>
  <c r="J27" i="1"/>
  <c r="M14" i="1"/>
  <c r="N14" i="1"/>
  <c r="I14" i="1"/>
  <c r="W14" i="1"/>
  <c r="O14" i="1"/>
  <c r="J14" i="1"/>
  <c r="M15" i="1"/>
  <c r="T15" i="1"/>
  <c r="T28" i="1"/>
  <c r="V14" i="1"/>
  <c r="V27" i="1"/>
  <c r="I15" i="1"/>
  <c r="N15" i="1"/>
  <c r="P27" i="1"/>
  <c r="P14" i="1"/>
  <c r="J15" i="1"/>
  <c r="O15" i="1"/>
  <c r="C43" i="5"/>
  <c r="B43" i="5"/>
  <c r="D43" i="5" s="1"/>
  <c r="S43" i="5" s="1"/>
  <c r="C17" i="5"/>
  <c r="B17" i="5"/>
  <c r="D17" i="5" s="1"/>
  <c r="T17" i="5" s="1"/>
  <c r="C16" i="5"/>
  <c r="B16" i="5"/>
  <c r="D16" i="5" s="1"/>
  <c r="T16" i="5" s="1"/>
  <c r="T43" i="5" l="1"/>
  <c r="U43" i="5"/>
  <c r="I43" i="5"/>
  <c r="K43" i="5"/>
  <c r="H43" i="5"/>
  <c r="L28" i="5"/>
  <c r="H28" i="5"/>
  <c r="G28" i="5"/>
  <c r="S28" i="5" s="1"/>
  <c r="V28" i="5"/>
  <c r="U28" i="5"/>
  <c r="K28" i="5"/>
  <c r="I28" i="5"/>
  <c r="L69" i="5"/>
  <c r="L63" i="5"/>
  <c r="L51" i="5"/>
  <c r="L59" i="5"/>
  <c r="L57" i="5"/>
  <c r="L61" i="5"/>
  <c r="L67" i="5"/>
  <c r="B6" i="1"/>
  <c r="G13" i="1"/>
  <c r="E13" i="1"/>
  <c r="H13" i="1" s="1"/>
  <c r="D13" i="1"/>
  <c r="V13" i="1" s="1"/>
  <c r="I19" i="5" l="1"/>
  <c r="H19" i="5"/>
  <c r="G19" i="5"/>
  <c r="S19" i="5" s="1"/>
  <c r="K19" i="5"/>
  <c r="V19" i="5"/>
  <c r="U19" i="5"/>
  <c r="L19" i="5"/>
  <c r="W13" i="1"/>
  <c r="N13" i="1"/>
  <c r="I13" i="1"/>
  <c r="M13" i="1"/>
  <c r="O13" i="1"/>
  <c r="J13" i="1"/>
  <c r="L13" i="1"/>
  <c r="P13" i="1"/>
  <c r="T13" i="1"/>
  <c r="C44" i="5"/>
  <c r="B44" i="5"/>
  <c r="D44" i="5" s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T44" i="5" l="1"/>
  <c r="U44" i="5"/>
  <c r="I44" i="5"/>
  <c r="S44" i="5"/>
  <c r="K44" i="5"/>
  <c r="H44" i="5"/>
  <c r="H18" i="5"/>
  <c r="G18" i="5"/>
  <c r="S18" i="5" s="1"/>
  <c r="V18" i="5"/>
  <c r="I18" i="5"/>
  <c r="U18" i="5"/>
  <c r="K18" i="5"/>
  <c r="L18" i="5"/>
  <c r="G17" i="5"/>
  <c r="S17" i="5" s="1"/>
  <c r="V17" i="5"/>
  <c r="U17" i="5"/>
  <c r="H17" i="5"/>
  <c r="K17" i="5"/>
  <c r="I17" i="5"/>
  <c r="L43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V16" i="5" l="1"/>
  <c r="U16" i="5"/>
  <c r="K16" i="5"/>
  <c r="G16" i="5"/>
  <c r="S16" i="5" s="1"/>
  <c r="I16" i="5"/>
  <c r="H16" i="5"/>
  <c r="L16" i="5"/>
  <c r="L44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67" i="1"/>
  <c r="K12" i="5" l="1"/>
  <c r="H12" i="5"/>
  <c r="V12" i="5"/>
  <c r="T12" i="5"/>
  <c r="U12" i="5"/>
  <c r="I12" i="5"/>
  <c r="L12" i="5"/>
  <c r="S12" i="5"/>
  <c r="R3" i="1" l="1"/>
  <c r="D1" i="1"/>
  <c r="F6" i="1"/>
  <c r="T67" i="1"/>
  <c r="T13" i="5"/>
  <c r="T7" i="1" l="1"/>
  <c r="W67" i="1"/>
  <c r="G6" i="1" l="1"/>
  <c r="L13" i="5"/>
  <c r="K13" i="5"/>
  <c r="S13" i="5"/>
  <c r="H13" i="5"/>
  <c r="U13" i="5"/>
  <c r="I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9" i="1" l="1"/>
  <c r="L33" i="1"/>
  <c r="L14" i="1"/>
  <c r="L9" i="1"/>
  <c r="L10" i="1"/>
  <c r="C7" i="1"/>
  <c r="J67" i="1"/>
  <c r="I67" i="1"/>
  <c r="P67" i="1"/>
  <c r="N67" i="1"/>
  <c r="O67" i="1"/>
  <c r="Q7" i="1" l="1"/>
  <c r="M68" i="3" s="1"/>
  <c r="L7" i="1"/>
  <c r="G68" i="3" s="1"/>
  <c r="K68" i="3"/>
  <c r="J68" i="3"/>
  <c r="M67" i="1"/>
  <c r="K6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>
  <authors>
    <author>S_member</author>
  </authors>
  <commentList>
    <comment ref="A1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Link với bảng Container List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Kết hợp Module Case No luôn do Module/Case có thể bị null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Vị trí trong WH</t>
        </r>
      </text>
    </comment>
  </commentList>
</comments>
</file>

<file path=xl/sharedStrings.xml><?xml version="1.0" encoding="utf-8"?>
<sst xmlns="http://schemas.openxmlformats.org/spreadsheetml/2006/main" count="746" uniqueCount="498">
  <si>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</si>
  <si>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</si>
  <si>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</si>
  <si>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</si>
  <si>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</si>
  <si>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</si>
  <si>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</si>
  <si>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</si>
  <si>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</si>
  <si>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</si>
  <si>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</si>
  <si>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</si>
  <si>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</si>
  <si>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</si>
  <si>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</si>
  <si>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</si>
  <si>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</si>
  <si>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</si>
  <si>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</si>
  <si>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</si>
  <si>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</si>
  <si>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</si>
  <si>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</si>
  <si>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</si>
  <si>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</si>
  <si>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</si>
  <si>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</si>
  <si>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</si>
  <si>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</si>
  <si>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</si>
  <si>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</si>
  <si>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</si>
  <si>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</si>
  <si>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</si>
  <si>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</si>
  <si>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</si>
  <si>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</si>
  <si>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</si>
  <si>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</si>
  <si>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</si>
  <si>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</si>
  <si>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</si>
  <si>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</si>
  <si>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</si>
  <si>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</si>
  <si>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</si>
  <si>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</si>
  <si>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</si>
  <si>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</si>
  <si>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</si>
  <si>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</si>
  <si>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</si>
  <si>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</si>
  <si>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</si>
  <si>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</si>
  <si>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</si>
  <si>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</si>
  <si>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</si>
  <si>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</si>
  <si>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</si>
  <si>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</si>
  <si>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</si>
  <si>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</si>
  <si>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</si>
  <si>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</si>
  <si>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</si>
  <si>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</si>
  <si>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</si>
  <si>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</si>
  <si>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</si>
  <si>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</si>
  <si>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</si>
  <si>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</si>
  <si>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</si>
  <si>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</si>
  <si>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</si>
  <si>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</si>
  <si>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</si>
  <si>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</si>
  <si>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</si>
  <si>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</si>
  <si>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</si>
  <si>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</si>
  <si>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</si>
  <si>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</si>
  <si>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</si>
  <si>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</si>
  <si>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</si>
  <si>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</si>
  <si>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</si>
  <si>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</si>
  <si>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</si>
  <si>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</si>
  <si>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</si>
  <si>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</si>
  <si>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</si>
  <si>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</si>
  <si>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</si>
  <si>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</si>
  <si>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</si>
  <si>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</si>
  <si>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</si>
  <si>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</si>
  <si>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</si>
  <si>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</si>
  <si>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</si>
  <si>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</si>
  <si>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</si>
  <si>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</si>
  <si>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</si>
  <si>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</si>
  <si>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</si>
  <si>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</si>
  <si>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</si>
  <si>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</si>
  <si>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</si>
  <si>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</si>
  <si>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</si>
  <si>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</si>
  <si>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</si>
  <si>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</si>
  <si>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</si>
  <si>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</si>
  <si>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</si>
  <si>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</si>
  <si>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</si>
  <si>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</si>
  <si>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</si>
  <si>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</si>
  <si>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</si>
  <si>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</si>
  <si>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</si>
  <si>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</si>
  <si>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</si>
  <si>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</si>
  <si>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</si>
  <si>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</si>
  <si>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</si>
  <si>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</si>
  <si>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</si>
  <si>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</si>
  <si>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</si>
  <si>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</si>
  <si>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</si>
  <si>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</si>
  <si>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</si>
  <si>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</si>
  <si>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</si>
  <si>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</si>
  <si>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</si>
  <si>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</si>
  <si>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</si>
  <si>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</si>
  <si>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</si>
  <si>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</si>
  <si>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</si>
  <si>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</si>
  <si>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</si>
  <si>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</si>
  <si>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</si>
  <si>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</si>
  <si>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</si>
  <si>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</si>
  <si>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</si>
  <si>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</si>
  <si>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</si>
  <si>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</si>
  <si>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</si>
  <si>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</si>
  <si>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</si>
  <si>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</si>
  <si>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</si>
  <si>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</si>
  <si>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</si>
  <si>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</si>
  <si>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</si>
  <si>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</si>
  <si>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</si>
  <si>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</si>
  <si>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</si>
  <si>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</si>
  <si>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</si>
  <si>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</si>
  <si>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</si>
  <si>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</si>
  <si>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</si>
  <si>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</si>
  <si>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</si>
  <si>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</si>
  <si>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</si>
  <si>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</si>
  <si>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</si>
  <si>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</si>
  <si>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</si>
  <si>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</si>
  <si>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</si>
  <si>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</si>
  <si>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</si>
  <si>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</si>
  <si>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</si>
  <si>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</si>
  <si>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</si>
  <si>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</si>
  <si>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</si>
  <si>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</si>
  <si>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</si>
  <si>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</si>
  <si>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</si>
  <si>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</si>
  <si>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</si>
  <si>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</si>
  <si>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</si>
  <si>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</si>
  <si>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</si>
  <si>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</si>
  <si>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</si>
  <si>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</si>
  <si>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</si>
  <si>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</si>
  <si>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</si>
  <si>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</si>
  <si>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</si>
  <si>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</si>
  <si>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</si>
  <si>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</si>
  <si>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</si>
  <si>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</si>
  <si>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</si>
  <si>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</si>
  <si>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</si>
  <si>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</si>
  <si>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</si>
  <si>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</si>
  <si>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</si>
  <si>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</si>
  <si>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</si>
  <si>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</si>
  <si>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</si>
  <si>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</si>
  <si>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</si>
  <si>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</si>
  <si>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</si>
  <si>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</si>
  <si>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</si>
  <si>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</si>
  <si>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</si>
  <si>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</si>
  <si>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</si>
  <si>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</si>
  <si>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</si>
  <si>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</si>
  <si>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</si>
  <si>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</si>
  <si>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</si>
  <si>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</si>
  <si>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</si>
  <si>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</si>
  <si>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</si>
  <si>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</si>
  <si>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</si>
  <si>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</si>
  <si>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</si>
  <si>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</si>
  <si>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</si>
  <si>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</si>
  <si>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</si>
  <si>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</si>
  <si>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</si>
  <si>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</si>
  <si>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</si>
  <si>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</si>
  <si>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</si>
  <si>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</si>
  <si>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</si>
  <si>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</si>
  <si>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</si>
  <si>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</si>
  <si>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</si>
  <si>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</si>
  <si>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</si>
  <si>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</si>
  <si>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</si>
  <si>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</si>
  <si>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</si>
  <si>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</si>
  <si>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</si>
  <si>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</si>
  <si>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</si>
  <si>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</si>
  <si>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</si>
  <si>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</si>
  <si>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</si>
  <si>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</si>
  <si>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</si>
  <si>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</si>
  <si>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</si>
  <si>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</si>
  <si>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</si>
  <si>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</si>
  <si>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</si>
  <si>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</si>
  <si>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</si>
  <si>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</si>
  <si>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</si>
  <si>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</si>
  <si>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</si>
  <si>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</si>
  <si>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</si>
  <si>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</si>
  <si>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</si>
  <si>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</si>
  <si>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</si>
  <si>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</si>
  <si>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</si>
  <si>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</si>
  <si>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</si>
  <si>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</si>
  <si>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</si>
  <si>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</si>
  <si>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</si>
  <si>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</si>
  <si>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</si>
  <si>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</si>
  <si>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</si>
  <si>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</si>
  <si>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</si>
  <si>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</si>
  <si>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</si>
  <si>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</si>
  <si>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</si>
  <si>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</si>
  <si>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</si>
  <si>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</si>
  <si>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</si>
  <si>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</si>
  <si>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</si>
  <si>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</si>
  <si>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</si>
  <si>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</si>
  <si>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</si>
  <si>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</si>
  <si>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</si>
  <si>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</si>
  <si>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</si>
  <si>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</si>
  <si>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</si>
  <si>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</si>
  <si>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</si>
  <si>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</si>
  <si>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</si>
  <si>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</si>
  <si>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SUPPLIER_NO</t>
  </si>
  <si>
    <t>int?</t>
  </si>
  <si>
    <t>long?</t>
  </si>
  <si>
    <t>DateTime?</t>
  </si>
  <si>
    <t>TimeSpan?</t>
  </si>
  <si>
    <t>decimal?</t>
  </si>
  <si>
    <t>byte?</t>
  </si>
  <si>
    <t>VARCHAR(12)</t>
  </si>
  <si>
    <t>LOT_NO</t>
  </si>
  <si>
    <t>VARCHAR(10)</t>
  </si>
  <si>
    <t>CASE_NO</t>
  </si>
  <si>
    <t>MODULE_NO</t>
  </si>
  <si>
    <t>CONTAINER_NO</t>
  </si>
  <si>
    <t>VARCHAR(15)</t>
  </si>
  <si>
    <t>INVOICE_ID</t>
  </si>
  <si>
    <t>DECIMAL(18,5)</t>
  </si>
  <si>
    <t>DECIMAL(18,4)</t>
  </si>
  <si>
    <t>DATE</t>
  </si>
  <si>
    <t>VARCHAR(2)</t>
  </si>
  <si>
    <t>VARCHAR(1)</t>
  </si>
  <si>
    <t>InvCkdModuleCase</t>
  </si>
  <si>
    <t>ModuleCase</t>
  </si>
  <si>
    <t>RENBAN</t>
  </si>
  <si>
    <t>VARCHAR(6)</t>
  </si>
  <si>
    <t>NET_WEIGHT</t>
  </si>
  <si>
    <t>GROSS_WEIGHT</t>
  </si>
  <si>
    <t>MEASUAREMENT_M3</t>
  </si>
  <si>
    <t>LENGTHOFCASEMODULE</t>
  </si>
  <si>
    <t>WIDTHOFCASEMODULE</t>
  </si>
  <si>
    <t>HEIGHTOFCASEMODULE</t>
  </si>
  <si>
    <t>DUMMY</t>
  </si>
  <si>
    <t>PLANNEDPACKINGDATE</t>
  </si>
  <si>
    <t>DGFLAG</t>
  </si>
  <si>
    <t>VARCHAR(5)</t>
  </si>
  <si>
    <t>PACKING_TYPE</t>
  </si>
  <si>
    <t>VARCHAR(3)</t>
  </si>
  <si>
    <t>RR_TYPE</t>
  </si>
  <si>
    <t>FREIGHT_PER_INVOICE</t>
  </si>
  <si>
    <t>INSURANCE_PER_INVOICE</t>
  </si>
  <si>
    <t>INNER_MATERIAL_TYPE1</t>
  </si>
  <si>
    <t>INNER_MATERIAL_TYPE2</t>
  </si>
  <si>
    <t>INNER_MATERIAL_TYPE3</t>
  </si>
  <si>
    <t>INNER_MATERIAL_TYPE4</t>
  </si>
  <si>
    <t>INNER_MATERIAL_TYPE5</t>
  </si>
  <si>
    <t>INNER_MATERIAL_TYPE6</t>
  </si>
  <si>
    <t>INNER_MATERIAL_TYPE7</t>
  </si>
  <si>
    <t>INNER_MATERIAL_TYPE8</t>
  </si>
  <si>
    <t>INNER_MATERIAL_TYPE9</t>
  </si>
  <si>
    <t>INNER_MATERIAL_TYPE10</t>
  </si>
  <si>
    <t>INNER_MATERIAL_TYPE11</t>
  </si>
  <si>
    <t>INNER_MATERIAL_TYPE12</t>
  </si>
  <si>
    <t>INNER_MATERIAL_QUANTITY1</t>
  </si>
  <si>
    <t>INNER_MATERIAL_QUANTITY2</t>
  </si>
  <si>
    <t>INNER_MATERIAL_QUANTITY3</t>
  </si>
  <si>
    <t>INNER_MATERIAL_QUANTITY4</t>
  </si>
  <si>
    <t>INNER_MATERIAL_QUANTITY5</t>
  </si>
  <si>
    <t>INNER_MATERIAL_QUANTITY6</t>
  </si>
  <si>
    <t>INNER_MATERIAL_QUANTITY7</t>
  </si>
  <si>
    <t>INNER_MATERIAL_QUANTITY8</t>
  </si>
  <si>
    <t>INNER_MATERIAL_QUANTITY9</t>
  </si>
  <si>
    <t>INNER_MATERIAL_QUANTITY10</t>
  </si>
  <si>
    <t>INNER_MATERIAL_QUANTITY11</t>
  </si>
  <si>
    <t>INNER_MATERIAL_QUANTITY12</t>
  </si>
  <si>
    <t>CONTAINER_LIST_ID</t>
  </si>
  <si>
    <t>UNPACKING_TIME</t>
  </si>
  <si>
    <t>UNPACKING_DATE</t>
  </si>
  <si>
    <t>UNPACKING_DATETIME</t>
  </si>
  <si>
    <t>DATETIME2(7)</t>
  </si>
  <si>
    <t>MODULE_CASE_NO</t>
  </si>
  <si>
    <t>STORAGE_LOCATION_CODE</t>
  </si>
  <si>
    <t>BIGINT</t>
  </si>
  <si>
    <t>LOCATION_ID</t>
  </si>
  <si>
    <t>LOCATION_BY</t>
  </si>
  <si>
    <t>LOCATION_DATE</t>
  </si>
  <si>
    <t>VARCHAR(50)</t>
  </si>
  <si>
    <t>CKD Module Case Management</t>
  </si>
  <si>
    <t>INVOICE_NO</t>
  </si>
  <si>
    <t>VARCHAR(20)</t>
  </si>
  <si>
    <t>CD_DATE</t>
  </si>
  <si>
    <t xml:space="preserve">Search </t>
  </si>
  <si>
    <t>Container No</t>
  </si>
  <si>
    <t>Renban</t>
  </si>
  <si>
    <t>Supplier No</t>
  </si>
  <si>
    <t>Invoice No</t>
  </si>
  <si>
    <t>Case No</t>
  </si>
  <si>
    <t>Devanning From/To Date</t>
  </si>
  <si>
    <t>Unpacking From/To Date</t>
  </si>
  <si>
    <t>Storage Location Code</t>
  </si>
  <si>
    <t>List</t>
  </si>
  <si>
    <t>ModuleNo</t>
  </si>
  <si>
    <t>CaseNo</t>
  </si>
  <si>
    <t>ContainerNo</t>
  </si>
  <si>
    <t>LotNo</t>
  </si>
  <si>
    <t>SupplierNo</t>
  </si>
  <si>
    <t>ContainerListId</t>
  </si>
  <si>
    <t>ModuleCaseNo</t>
  </si>
  <si>
    <t>InvoiceNo</t>
  </si>
  <si>
    <t>CdDate</t>
  </si>
  <si>
    <t>StorageLocationCode</t>
  </si>
  <si>
    <t>LocationDate</t>
  </si>
  <si>
    <t>LocationBy</t>
  </si>
  <si>
    <t>UnpackingDate</t>
  </si>
  <si>
    <t>UnpackingTime</t>
  </si>
  <si>
    <t>UnpackingDatetime</t>
  </si>
  <si>
    <t xml:space="preserve"> Devanning Date</t>
  </si>
  <si>
    <t>Devanning Time</t>
  </si>
  <si>
    <t xml:space="preserve">View </t>
  </si>
  <si>
    <t>NetWeight</t>
  </si>
  <si>
    <t>GrossWeight</t>
  </si>
  <si>
    <t>MeasuarementM3</t>
  </si>
  <si>
    <t>Lengthofcasemodule</t>
  </si>
  <si>
    <t>Widthofcasemodule</t>
  </si>
  <si>
    <t>Heightofcasemodule</t>
  </si>
  <si>
    <t>Dummy</t>
  </si>
  <si>
    <t>Plannedpackingdate</t>
  </si>
  <si>
    <t>Dgflag</t>
  </si>
  <si>
    <t>PackingType</t>
  </si>
  <si>
    <t>RrType</t>
  </si>
  <si>
    <t>FreightPerInvoice</t>
  </si>
  <si>
    <t>InsurancePerInvoice</t>
  </si>
  <si>
    <t>InnerMaterialType1</t>
  </si>
  <si>
    <t>InnerMaterialType2</t>
  </si>
  <si>
    <t>InnerMaterialType3</t>
  </si>
  <si>
    <t>InnerMaterialType4</t>
  </si>
  <si>
    <t>InnerMaterialType5</t>
  </si>
  <si>
    <t>InnerMaterialType6</t>
  </si>
  <si>
    <t>InnerMaterialType7</t>
  </si>
  <si>
    <t>InnerMaterialType8</t>
  </si>
  <si>
    <t>InnerMaterialType9</t>
  </si>
  <si>
    <t>InnerMaterialType10</t>
  </si>
  <si>
    <t>InnerMaterialType11</t>
  </si>
  <si>
    <t>InnerMaterialType12</t>
  </si>
  <si>
    <t>InnerMaterialQuantity1</t>
  </si>
  <si>
    <t>InnerMaterialQuantity2</t>
  </si>
  <si>
    <t>InnerMaterialQuantity3</t>
  </si>
  <si>
    <t>InnerMaterialQuantity4</t>
  </si>
  <si>
    <t>InnerMaterialQuantity5</t>
  </si>
  <si>
    <t>InnerMaterialQuantity6</t>
  </si>
  <si>
    <t>InnerMaterialQuantity7</t>
  </si>
  <si>
    <t>InnerMaterialQuantity8</t>
  </si>
  <si>
    <t>InnerMaterialQuantity9</t>
  </si>
  <si>
    <t>InnerMaterialQuantity10</t>
  </si>
  <si>
    <t>InnerMaterialQuantity11</t>
  </si>
  <si>
    <t>InnerMaterialQuantity12</t>
  </si>
  <si>
    <t>1.General</t>
  </si>
  <si>
    <t>2. Packing Info</t>
  </si>
  <si>
    <t xml:space="preserve">3.Material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</si>
</sst>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0" fillId="8" borderId="0" xfId="0" applyFill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07"/>
  <sheetViews>
    <sheetView tabSelected="1" topLeftCell="A76" zoomScaleNormal="100" workbookViewId="0">
      <selection activeCell="C110" sqref="C110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346</v>
      </c>
      <c r="F18" s="1" t="s">
        <v>348</v>
      </c>
      <c r="G18" t="s">
        <v>347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320</v>
      </c>
      <c r="F42" s="1" t="s">
        <v>333</v>
      </c>
      <c r="G42" t="s">
        <v>333</v>
      </c>
    </row>
    <row r="43" spans="1:8" x14ac:dyDescent="0.25">
      <c r="A43" s="1"/>
      <c r="D43" t="s">
        <v>321</v>
      </c>
      <c r="F43" s="1" t="s">
        <v>327</v>
      </c>
      <c r="G43" t="s">
        <v>334</v>
      </c>
    </row>
    <row r="44" spans="1:8" x14ac:dyDescent="0.25">
      <c r="A44" s="1"/>
      <c r="D44" t="s">
        <v>323</v>
      </c>
      <c r="F44" s="1" t="s">
        <v>328</v>
      </c>
      <c r="G44" t="s">
        <v>335</v>
      </c>
    </row>
    <row r="45" spans="1:8" x14ac:dyDescent="0.25">
      <c r="A45" s="1"/>
      <c r="D45" t="s">
        <v>322</v>
      </c>
      <c r="F45" s="1" t="s">
        <v>329</v>
      </c>
      <c r="G45" t="s">
        <v>336</v>
      </c>
    </row>
    <row r="46" spans="1:8" x14ac:dyDescent="0.25">
      <c r="A46" s="1"/>
      <c r="D46" t="s">
        <v>325</v>
      </c>
      <c r="F46" s="1" t="s">
        <v>330</v>
      </c>
      <c r="G46" t="s">
        <v>337</v>
      </c>
    </row>
    <row r="47" spans="1:8" x14ac:dyDescent="0.25">
      <c r="A47" s="1"/>
      <c r="D47" t="s">
        <v>343</v>
      </c>
      <c r="F47" s="1" t="s">
        <v>344</v>
      </c>
      <c r="G47" t="s">
        <v>345</v>
      </c>
    </row>
    <row r="48" spans="1:8" x14ac:dyDescent="0.25">
      <c r="A48" s="1"/>
      <c r="D48" t="s">
        <v>326</v>
      </c>
      <c r="F48" s="1" t="s">
        <v>331</v>
      </c>
      <c r="G48" t="s">
        <v>338</v>
      </c>
    </row>
    <row r="49" spans="1:7" x14ac:dyDescent="0.25">
      <c r="A49" s="1"/>
      <c r="D49" t="s">
        <v>324</v>
      </c>
      <c r="F49" s="1" t="s">
        <v>332</v>
      </c>
      <c r="G49" t="s">
        <v>339</v>
      </c>
    </row>
    <row r="50" spans="1:7" x14ac:dyDescent="0.25">
      <c r="A50" s="1"/>
      <c r="D50" t="s">
        <v>340</v>
      </c>
      <c r="F50" s="1" t="s">
        <v>341</v>
      </c>
      <c r="G50" t="s">
        <v>342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[Table("InvCkdModuleCase")]
	public class InvCkdModuleCase: FullAuditedEntity&lt;long&gt;, IEntity&lt;long&gt;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[StringLength(MaxModuleNoLength)]
		public virtual string ModuleNo { get; set; }
		[StringLength(MaxCaseNoLength)]
		public virtual string CaseNo { get; set; }
		[StringLength(MaxContainerNoLength)]
		public virtual string ContainerNo { get; set; }
		[StringLength(MaxRenbanLength)]
		public virtual string Renban { get; set; }
		public virtual long? InvoiceId { get; set; }
		[StringLength(MaxLotNoLength)]
		public virtual string LotNo { get; set; }
		[StringLength(MaxSupplierNoLength)]
		public virtual string SupplierNo { get; set; }
		public virtual long? ContainerListId { get; set; }
		[StringLength(MaxModuleCaseNoLength)]
		public virtual string ModuleCaseNo { get; set; }
		[StringLength(MaxInvoiceNoLength)]
		public virtual string InvoiceNo { get; set; }
		public virtual DateTime? CdDate { get; set; }
		[StringLength(MaxStorageLocationCodeLength)]
		public virtual string StorageLocationCode { get; set; }
		public virtual long? LocationId { get; set; }
		public virtual DateTime? LocationDate { get; set; }
		[StringLength(MaxLocationByLength)]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[StringLength(MaxDummyLength)]
		public virtual string Dummy { get; set; }
		public virtual DateTime? Plannedpackingdate { get; set; }
		[StringLength(MaxDgflagLength)]
		public virtual string Dgflag { get; set; }
		[StringLength(MaxPackingTypeLength)]
		public virtual string PackingType { get; set; }
		[StringLength(MaxRrTypeLength)]
		public virtual string RrType { get; set; }
		public virtual decimal? FreightPerInvoice { get; set; }
		public virtual decimal? InsurancePerInvoice { get; set; }
		[StringLength(MaxInnerMaterialType1Length)]
		public virtual string InnerMaterialType1 { get; set; }
		[StringLength(MaxInnerMaterialType2Length)]
		public virtual string InnerMaterialType2 { get; set; }
		[StringLength(MaxInnerMaterialType3Length)]
		public virtual string InnerMaterialType3 { get; set; }
		[StringLength(MaxInnerMaterialType4Length)]
		public virtual string InnerMaterialType4 { get; set; }
		[StringLength(MaxInnerMaterialType5Length)]
		public virtual string InnerMaterialType5 { get; set; }
		[StringLength(MaxInnerMaterialType6Length)]
		public virtual string InnerMaterialType6 { get; set; }
		[StringLength(MaxInnerMaterialType7Length)]
		public virtual string InnerMaterialType7 { get; set; }
		[StringLength(MaxInnerMaterialType8Length)]
		public virtual string InnerMaterialType8 { get; set; }
		[StringLength(MaxInnerMaterialType9Length)]
		public virtual string InnerMaterialType9 { get; set; }
		[StringLength(MaxInnerMaterialType10Length)]
		public virtual string InnerMaterialType10 { get; set; }
		[StringLength(MaxInnerMaterialType11Length)]
		public virtual string InnerMaterialType11 { get; set; }
		[StringLength(MaxInnerMaterialType12Length)]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[StringLength(MaxIsActiveLength)]
		public virtual string IsActive { get; set; }
	}
}
</v>
      </c>
      <c r="D68" s="48" t="str">
        <f>A.Backend!O7</f>
        <v xml:space="preserve">		public const string Pages_Inventory_CKD_ModuleCase = "Pages.Inventory.CKD.ModuleCase";
		public const string Pages_Inventory_CKD_ModuleCase_CreateEdit = "Pages.Inventory.CKD.ModuleCase.CreateEdit";
		public const string Pages_Inventory_CKD_ModuleCase_Delete = "Pages.Inventory.CKD.ModuleCase.Delete";
</v>
      </c>
      <c r="E68" s="48" t="str">
        <f>A.Backend!N7</f>
        <v xml:space="preserve">		var perInvCkdModuleCase = PARENTS.CreateChildPermission(AppPermissions.Pages_Inventory_CKD_ModuleCase, L( "InventoryCKDModuleCase"), multiTenancySides: MultiTenancySides.Tenant);
		perInvCkdModuleCase.CreateChildPermission(AppPermissions.Pages_Inventory_CKD_ModuleCase_CreateEdit, L( "InventoryCKDModuleCaseCreateEdit"), multiTenancySides: MultiTenancySides.Tenant);
		perInvCkdModuleCase.CreateChildPermission(AppPermissions.Pages_Inventory_CKD_ModuleCase_Delete, L( "InventoryCKDModuleCaseDelete"), multiTenancySides: MultiTenancySides.Tenant);</v>
      </c>
      <c r="F68" s="48" t="str">
        <f>A.Backend!K7</f>
        <v>public virtual DbSet&lt;InvCkdModuleCase&gt; InvCkdModuleCases { get; set; }</v>
      </c>
      <c r="G68" s="48" t="str">
        <f ca="1">A.Backend!L7</f>
        <v xml:space="preserve">namespace prod.Inventory.CKD
{
	public class InvCkdModuleCaseConsts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InvCkdModuleCaseDto : EntityDto&lt;long?&gt;	
	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	public class CreateOrEditInvCkdModuleCaseDto : EntityDto&lt;long?&gt;	
	{
		[StringLength(InvCkdModuleCaseConsts.MaxModuleNoLength)]
		public virtual string ModuleNo { get; set; }
		[StringLength(InvCkdModuleCaseConsts.MaxCaseNoLength)]
		public virtual string CaseNo { get; set; }
		[StringLength(InvCkdModuleCaseConsts.MaxContainerNoLength)]
		public virtual string ContainerNo { get; set; }
		[StringLength(InvCkdModuleCaseConsts.MaxRenbanLength)]
		public virtual string Renban { get; set; }
		public virtual long? InvoiceId { get; set; }
		[StringLength(InvCkdModuleCaseConsts.MaxLotNoLength)]
		public virtual string LotNo { get; set; }
		[StringLength(InvCkdModuleCaseConsts.MaxSupplierNoLength)]
		public virtual string SupplierNo { get; set; }
		public virtual long? ContainerListId { get; set; }
		[StringLength(InvCkdModuleCaseConsts.MaxModuleCaseNoLength)]
		public virtual string ModuleCaseNo { get; set; }
		[StringLength(InvCkdModuleCaseConsts.MaxInvoiceNoLength)]
		public virtual string InvoiceNo { get; set; }
		public virtual DateTime? CdDate { get; set; }
		[StringLength(InvCkdModuleCaseConsts.MaxStorageLocationCodeLength)]
		public virtual string StorageLocationCode { get; set; }
		public virtual long? LocationId { get; set; }
		public virtual DateTime? LocationDate { get; set; }
		[StringLength(InvCkdModuleCaseConsts.MaxLocationByLength)]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[StringLength(InvCkdModuleCaseConsts.MaxDummyLength)]
		public virtual string Dummy { get; set; }
		public virtual DateTime? Plannedpackingdate { get; set; }
		[StringLength(InvCkdModuleCaseConsts.MaxDgflagLength)]
		public virtual string Dgflag { get; set; }
		[StringLength(InvCkdModuleCaseConsts.MaxPackingTypeLength)]
		public virtual string PackingType { get; set; }
		[StringLength(InvCkdModuleCaseConsts.MaxRrTypeLength)]
		public virtual string RrType { get; set; }
		public virtual decimal? FreightPerInvoice { get; set; }
		public virtual decimal? InsurancePerInvoice { get; set; }
		[StringLength(InvCkdModuleCaseConsts.MaxInnerMaterialType1Length)]
		public virtual string InnerMaterialType1 { get; set; }
		[StringLength(InvCkdModuleCaseConsts.MaxInnerMaterialType2Length)]
		public virtual string InnerMaterialType2 { get; set; }
		[StringLength(InvCkdModuleCaseConsts.MaxInnerMaterialType3Length)]
		public virtual string InnerMaterialType3 { get; set; }
		[StringLength(InvCkdModuleCaseConsts.MaxInnerMaterialType4Length)]
		public virtual string InnerMaterialType4 { get; set; }
		[StringLength(InvCkdModuleCaseConsts.MaxInnerMaterialType5Length)]
		public virtual string InnerMaterialType5 { get; set; }
		[StringLength(InvCkdModuleCaseConsts.MaxInnerMaterialType6Length)]
		public virtual string InnerMaterialType6 { get; set; }
		[StringLength(InvCkdModuleCaseConsts.MaxInnerMaterialType7Length)]
		public virtual string InnerMaterialType7 { get; set; }
		[StringLength(InvCkdModuleCaseConsts.MaxInnerMaterialType8Length)]
		public virtual string InnerMaterialType8 { get; set; }
		[StringLength(InvCkdModuleCaseConsts.MaxInnerMaterialType9Length)]
		public virtual string InnerMaterialType9 { get; set; }
		[StringLength(InvCkdModuleCaseConsts.MaxInnerMaterialType10Length)]
		public virtual string InnerMaterialType10 { get; set; }
		[StringLength(InvCkdModuleCaseConsts.MaxInnerMaterialType11Length)]
		public virtual string InnerMaterialType11 { get; set; }
		[StringLength(InvCkdModuleCaseConsts.MaxInnerMaterialType12Length)]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[StringLength(InvCkdModuleCaseConsts.MaxIsActiveLength)]
		public virtual string IsActive { get; set; }
	}
	public class GetInvCkdModuleCaseInput : PagedAndSortedResultRequestDto	
	{
		public virtual string ModuleNo { get; set; }
		public virtual string CaseNo { get; set; }
		public virtual string ContainerNo { get; set; }
		public virtual string Renban { get; set; }
		public virtual string LotNo { get; set; }
		public virtual string SupplierNo { get; set; }
		public virtual string ModuleCaseNo { get; set; }
		public virtual string InvoiceNo { get; set; }
		public virtual string StorageLocationCode { get; set; }
		public virtual string LocationBy { get; set; }
		public virtual string Dummy { get; set; }
		public virtual string Dgflag { get; set; }
		public virtual string PackingType { get; set; }
		public virtual string RrType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InvCkdModuleCaseExportInput{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IInvCkdModuleCaseAppService : IApplicationService
	{
		Task&lt;PagedResultDto&lt;InvCkdModuleCaseDto&gt;&gt; GetAll(GetInvCkdModuleCaseInput input);
		Task CreateOrEdit(CreateOrEditInvCkdModuleCaseDto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IInvCkdModuleCaseExcelExporter : IApplicationService
	{
		FileDto ExportToFile(List&lt;InvCkdModuleCaseDto&gt; invckdmodulecase);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InvCkdModuleCaseExcelExporter : NpoiExcelExporterBase, IInvCkdModuleCaseExcelExporter
    {
        public InvCkdModuleCaseExcelExporter(ITempFileCacheManager tempFileCacheManager) : base(tempFileCacheManager) { }
        public FileDto ExportToFile(List&lt;InvCkdModuleCaseDto&gt; modulecase)
        {
            return CreateExcelPackage(
				"InventoryCKDModuleCase.xlsx",
				excelPackage =&gt;
				 {
					var sheet = excelPackage.CreateSheet("ModuleCase");
					AddHeader(
								sheet,
								("ModuleNo"),
								("CaseNo"),
								("ContainerNo"),
								("Renban"),
								("InvoiceId"),
								("LotNo"),
								("SupplierNo"),
								("ContainerListId"),
								("ModuleCaseNo"),
								("InvoiceNo"),
								("CdDate"),
								("StorageLocationCode"),
								("LocationId"),
								("LocationDate"),
								("LocationBy"),
								("UnpackingDate"),
								("UnpackingTime"),
								("UnpackingDatetime"),
								("NetWeight"),
								("GrossWeight"),
								("MeasuarementM3"),
								("Lengthofcasemodule"),
								("Widthofcasemodule"),
								("Heightofcasemodule"),
								("Dummy"),
								("Plannedpackingdate"),
								("Dgflag"),
								("PackingType"),
								("RrType"),
								("FreightPerInvoice"),
								("InsurancePerInvoice"),
								("InnerMaterialType1"),
								("InnerMaterialType2"),
								("InnerMaterialType3"),
								("InnerMaterialType4"),
								("InnerMaterialType5"),
								("InnerMaterialType6"),
								("InnerMaterialType7"),
								("InnerMaterialType8"),
								("InnerMaterialType9"),
								("InnerMaterialType10"),
								("InnerMaterialType11"),
								("InnerMaterialType12"),
								("InnerMaterialQuantity1"),
								("InnerMaterialQuantity2"),
								("InnerMaterialQuantity3"),
								("InnerMaterialQuantity4"),
								("InnerMaterialQuantity5"),
								("InnerMaterialQuantity6"),
								("InnerMaterialQuantity7"),
								("InnerMaterialQuantity8"),
								("InnerMaterialQuantity9"),
								("InnerMaterialQuantity10"),
								("InnerMaterialQuantity11"),
								("InnerMaterialQuantity12"),
								("Status"),
								("IsActive"),
							   );
					AddObjects(
						 sheet, 1, modulecase,                                       
								_ =&gt; _.ModuleNo,
								_ =&gt; _.CaseNo,
								_ =&gt; _.ContainerNo,
								_ =&gt; _.Renban,
								_ =&gt; _.InvoiceId,
								_ =&gt; _.LotNo,
								_ =&gt; _.SupplierNo,
								_ =&gt; _.ContainerListId,
								_ =&gt; _.ModuleCaseNo,
								_ =&gt; _.InvoiceNo,
								_ =&gt; _.CdDate,
								_ =&gt; _.StorageLocationCode,
								_ =&gt; _.LocationId,
								_ =&gt; _.LocationDate,
								_ =&gt; _.LocationBy,
								_ =&gt; _.UnpackingDate,
								_ =&gt; _.UnpackingTime,
								_ =&gt; _.UnpackingDatetime,
								_ =&gt; _.NetWeight,
								_ =&gt; _.GrossWeight,
								_ =&gt; _.MeasuarementM3,
								_ =&gt; _.Lengthofcasemodule,
								_ =&gt; _.Widthofcasemodule,
								_ =&gt; _.Heightofcasemodule,
								_ =&gt; _.Dummy,
								_ =&gt; _.Plannedpackingdate,
								_ =&gt; _.Dgflag,
								_ =&gt; _.PackingType,
								_ =&gt; _.RrType,
								_ =&gt; _.FreightPerInvoice,
								_ =&gt; _.InsurancePerInvoice,
								_ =&gt; _.InnerMaterialType1,
								_ =&gt; _.InnerMaterialType2,
								_ =&gt; _.InnerMaterialType3,
								_ =&gt; _.InnerMaterialType4,
								_ =&gt; _.InnerMaterialType5,
								_ =&gt; _.InnerMaterialType6,
								_ =&gt; _.InnerMaterialType7,
								_ =&gt; _.InnerMaterialType8,
								_ =&gt; _.InnerMaterialType9,
								_ =&gt; _.InnerMaterialType10,
								_ =&gt; _.InnerMaterialType11,
								_ =&gt; _.InnerMaterialType12,
								_ =&gt; _.InnerMaterialQuantity1,
								_ =&gt; _.InnerMaterialQuantity2,
								_ =&gt; _.InnerMaterialQuantity3,
								_ =&gt; _.InnerMaterialQuantity4,
								_ =&gt; _.InnerMaterialQuantity5,
								_ =&gt; _.InnerMaterialQuantity6,
								_ =&gt; _.InnerMaterialQuantity7,
								_ =&gt; _.InnerMaterialQuantity8,
								_ =&gt; _.InnerMaterialQuantity9,
								_ =&gt; _.InnerMaterialQuantity10,
								_ =&gt; _.InnerMaterialQuantity11,
								_ =&gt; _.InnerMaterialQuantity12,
								_ =&gt; _.Status,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[AbpAuthorize(AppPermissions.Pages_Inventory_CKD_ModuleCase)]
    public class InvCkdModuleCaseAppService : vovinaAppServiceBase, IInvCkdModuleCaseAppService
    {
        private readonly IDapperRepository&lt;InvCkdModuleCase, long&gt; _dapperRepo;
        private readonly IRepository&lt;InvCkdModuleCase, long&gt; _repo;
        private readonly IInvCkdModuleCaseExcelExporter _calendarListExcelExporter;
        public InvCkdModuleCaseAppService(IRepository&lt;InvCkdModuleCase,long&gt; repo, 
                                         IDapperRepository&lt;InvCkdModuleCase,long&gt; dapperRepo,
                                        IInvCkdModuleCaseExcelExporter calendarListExcelExporter
            )
        {
            _repo = repo;
            _dapperRepo = dapperRepo;
            _calendarListExcelExporter = calendarListExcelExporter;
        }
        [AbpAuthorize(AppPermissions.Pages_Inventory_CKD_ModuleCase_CreateEdit)]
        public async Task CreateOrEdit(CreateOrEditInvCkdModuleCaseDto input)
        {
            if (input.Id == null) await Create(input);
            else await Update(input);
        }
        //CREATE
        private async Task Create(CreateOrEditInvCkdModuleCaseDto input)
        {          
            var mainObj = ObjectMapper.Map&lt;InvCkdModuleCase&gt;(input);
            await CurrentUnitOfWork.GetDbContext&lt;vovinaDbContext&gt;().AddAsync(mainObj);
        }
        // EDIT
        private async Task Update(CreateOrEditInvCkdModuleCaseDto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[AbpAuthorize(AppPermissions.Pages_Inventory_CKD_ModuleCase_Delete)]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Task&lt;PagedResultDto&lt;InvCkdModuleCaseDto&gt;&gt; GetAll(GetInvCkdModuleCaseInput input)
        {
            var filtered = _repo.GetAll()
				.WhereIf(!string.IsNullOrWhiteSpace(input.ModuleNo), e =&gt; e.ModuleNo.Contains(input.ModuleNo))
				.WhereIf(!string.IsNullOrWhiteSpace(input.CaseNo), e =&gt; e.CaseNo.Contains(input.CaseNo))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.WhereIf(!string.IsNullOrWhiteSpace(input.SupplierNo), e =&gt; e.SupplierNo.Contains(input.SupplierNo))
				.WhereIf(!string.IsNullOrWhiteSpace(input.ModuleCaseNo), e =&gt; e.ModuleCaseNo.Contains(input.ModuleCaseNo))
				.WhereIf(!string.IsNullOrWhiteSpace(input.InvoiceNo), e =&gt; e.InvoiceNo.Contains(input.InvoiceNo))
				.WhereIf(!string.IsNullOrWhiteSpace(input.StorageLocationCode), e =&gt; e.StorageLocationCode.Contains(input.StorageLocationCode))
				.WhereIf(!string.IsNullOrWhiteSpace(input.LocationBy), e =&gt; e.LocationBy.Contains(input.LocationBy))
				.WhereIf(!string.IsNullOrWhiteSpace(input.Dummy), e =&gt; e.Dummy.Contains(input.Dummy))
				.WhereIf(!string.IsNullOrWhiteSpace(input.Dgflag), e =&gt; e.Dgflag.Contains(input.Dgflag))
				.WhereIf(!string.IsNullOrWhiteSpace(input.PackingType), e =&gt; e.PackingType.Contains(input.PackingType))
				.WhereIf(!string.IsNullOrWhiteSpace(input.RrType), e =&gt; e.RrType.Contains(input.RrType))
				.WhereIf(!string.IsNullOrWhiteSpace(input.InnerMaterialType1), e =&gt; e.InnerMaterialType1.Contains(input.InnerMaterialType1))
				.WhereIf(!string.IsNullOrWhiteSpace(input.InnerMaterialType2), e =&gt; e.InnerMaterialType2.Contains(input.InnerMaterialType2))
				.WhereIf(!string.IsNullOrWhiteSpace(input.InnerMaterialType3), e =&gt; e.InnerMaterialType3.Contains(input.InnerMaterialType3))
				.WhereIf(!string.IsNullOrWhiteSpace(input.InnerMaterialType4), e =&gt; e.InnerMaterialType4.Contains(input.InnerMaterialType4))
				.WhereIf(!string.IsNullOrWhiteSpace(input.InnerMaterialType5), e =&gt; e.InnerMaterialType5.Contains(input.InnerMaterialType5))
				.WhereIf(!string.IsNullOrWhiteSpace(input.InnerMaterialType6), e =&gt; e.InnerMaterialType6.Contains(input.InnerMaterialType6))
				.WhereIf(!string.IsNullOrWhiteSpace(input.InnerMaterialType7), e =&gt; e.InnerMaterialType7.Contains(input.InnerMaterialType7))
				.WhereIf(!string.IsNullOrWhiteSpace(input.InnerMaterialType8), e =&gt; e.InnerMaterialType8.Contains(input.InnerMaterialType8))
				.WhereIf(!string.IsNullOrWhiteSpace(input.InnerMaterialType9), e =&gt; e.InnerMaterialType9.Contains(input.InnerMaterialType9))
				.WhereIf(!string.IsNullOrWhiteSpace(input.InnerMaterialType10), e =&gt; e.InnerMaterialType10.Contains(input.InnerMaterialType10))
				.WhereIf(!string.IsNullOrWhiteSpace(input.InnerMaterialType11), e =&gt; e.InnerMaterialType11.Contains(input.InnerMaterialType11))
				.WhereIf(!string.IsNullOrWhiteSpace(input.InnerMaterialType12), e =&gt; e.InnerMaterialType12.Contains(input.InnerMaterialType12))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totalCount = await filtered.CountAsync();
			var paged = system.PageBy(input);
            return new PagedResultDto&lt;InvCkdModuleCaseDto&gt;(
                totalCount,
                 await paged.ToListAsync()
            );
        }
        public async Task&lt;FileDto&gt; GetModuleCaseToExcel(InvCkdModuleCaseExportInput input)
        {
            var query = from o in _repo.GetAll()
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_dapperRepo.ExecuteAsync(InvCkdModuleCaseConsts.SP_MST_WPT_CALENDAR_GENERATE);
       // }
    }
}</v>
      </c>
      <c r="N68" s="58" t="str">
        <f>A.Backend!U7</f>
        <v xml:space="preserve">  configuration.CreateMap&lt;InvCkdModuleCaseDto, InvCkdModuleCase&gt;();
  configuration.CreateMap&lt;InvCkdModuleCase, InvCkdModuleCaseDto&gt;();
  configuration.CreateMap&lt;CreateOrEditInvCkdModuleCaseDto, InvCkdModuleCase&gt;();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modulecase</v>
      </c>
      <c r="C73" s="67" t="str">
        <f>"create folder " &amp;B73</f>
        <v>create folder modulecase</v>
      </c>
      <c r="D73" s="67"/>
      <c r="E73" s="67"/>
      <c r="F73" s="67"/>
      <c r="G73" s="67"/>
      <c r="H73" s="67"/>
      <c r="I73" s="67"/>
      <c r="J73" s="67"/>
      <c r="K73" s="68" t="s">
        <v>224</v>
      </c>
      <c r="L73" s="68"/>
      <c r="M73" s="28"/>
    </row>
    <row r="74" spans="2:14" s="26" customFormat="1" ht="18" customHeight="1" x14ac:dyDescent="0.25">
      <c r="B74" s="56" t="s">
        <v>225</v>
      </c>
      <c r="C74" s="28" t="str">
        <f>B.Frontend!H14</f>
        <v>modulecase.component.ts</v>
      </c>
      <c r="D74" s="28" t="str">
        <f>B.Frontend!I14</f>
        <v>modulecase.component.html</v>
      </c>
      <c r="E74" s="28" t="str">
        <f>B.Frontend!J14</f>
        <v>modulecase.component.less</v>
      </c>
      <c r="F74" s="28" t="str">
        <f>B.Frontend!K14</f>
        <v>create-or-edit-modulecase-modal.component.html</v>
      </c>
      <c r="G74" s="28" t="str">
        <f>B.Frontend!L14</f>
        <v>create-or-edit-modulecase-modal.component.ts</v>
      </c>
      <c r="H74" s="28" t="str">
        <f>B.Frontend!M14</f>
        <v>create-or-edit-modulecase-modal.component.less</v>
      </c>
      <c r="I74" s="28" t="str">
        <f>B.Frontend!N14</f>
        <v>modulecase.module.ts</v>
      </c>
      <c r="J74" s="28" t="str">
        <f>B.Frontend!O14</f>
        <v>modulecase-routing.module.ts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InvCkdModuleCaseDto, InvCkdModuleCaseServiceProxy } from '@shared/service-proxies/service-proxies';
import { finalize } from 'rxjs/internal/operators/finalize';
import { CreateOrEditModuleCaseModalComponent } from './create-or-edit-modulecase-modal.component';
import { DatePipe } from '@angular/common';
import { FileDownloadService } from '@shared/utils/file-download.service';
import ceil from 'lodash-es/ceil';
import { Paginator } from 'primeng/paginator';
@Component({
    templateUrl: './modulecase.component.html',
    styleUrls: ['./modulecase.component.less'],
})
export class ModuleCaseComponent extends AppComponentBase implements OnInit {
    @ViewChild('createOrEditModalModuleCase', { static: true }) createOrEditModalModuleCase:| CreateOrEditModuleCaseModalComponent|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InvCkdModuleCaseDto = new InvCkdModuleCaseDto();
    saveSelectedRow: InvCkdModuleCaseDto = new InvCkdModuleCaseDto();
    datas: InvCkdModuleCaseDto = new InvCkdModuleCaseDto();
    isLoading: boolean = false;
    dataParams: GridParams | undefined;
    rowData: any[] = [];
    gridApi!: GridApi;
    rowSelection = 'multiple';
    filter: string = '';
	pipe = new DatePipe('en-US');
	frameworkComponents: FrameworkComponent;
    	moduleNo : string = '' ; 
	caseNo : string = '' ; 
	containerNo : string = '' ; 
	renban : string = '' ; 
	invoiceId
	lotNo : string = '' ; 
	supplierNo : string = '' ; 
	containerListId
	moduleCaseNo : string = '' ; 
	invoiceNo : string = '' ; 
	cdDate
	storageLocationCode : string = '' ; 
	locationId
	locationDate
	locationBy : string = '' ; 
	unpackingDate
	unpackingTime
	unpackingDatetime
	netWeight
	grossWeight
	measuarementM3
	lengthofcasemodule
	widthofcasemodule
	heightofcasemodule
	dummy : string = '' ; 
	plannedpackingdate
	dgflag : string = '' ; 
	packingType : string = '' ; 
	rrType : string = '' ; 
	freightPerInvoice
	insurancePerInvoice
	innerMaterialType1 : string = '' ; 
	innerMaterialType2 : string = '' ; 
	innerMaterialType3 : string = '' ; 
	innerMaterialType4 : string = '' ; 
	innerMaterialType5 : string = '' ; 
	innerMaterialType6 : string = '' ; 
	innerMaterialType7 : string = '' ; 
	innerMaterialType8 : string = '' ; 
	innerMaterialType9 : string = '' ; 
	innerMaterialType10 : string = '' ; 
	innerMaterialType11 : string = '' ; 
	innerMaterialType12 : string = '' ; 
	innerMaterialQuantity1
	innerMaterialQuantity2
	innerMaterialQuantity3
	innerMaterialQuantity4
	innerMaterialQuantity5
	innerMaterialQuantity6
	innerMaterialQuantity7
	innerMaterialQuantity8
	innerMaterialQuantity9
	innerMaterialQuantity10
	innerMaterialQuantity11
	innerMaterialQuantity12
	status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InvCkdModuleCaseServiceProxy,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this.l('Module No'),headerTooltip: this.l('Module No'),field: 'moduleNo',flex: 1},
			{headerName: this.l('Case No'),headerTooltip: this.l('Case No'),field: 'caseNo',flex: 1},
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this.l('Lot No'),headerTooltip: this.l('Lot No'),field: 'lotNo',flex: 1},
			{headerName: this.l('Supplier No'),headerTooltip: this.l('Supplier No'),field: 'supplierNo',flex: 1},
			{headerName: this.l('Container List Id'),headerTooltip: this.l('Container List Id'),field: 'containerListId',flex: 1},
			{headerName: this.l('Module Case No'),headerTooltip: this.l('Module Case No'),field: 'moduleCaseNo',flex: 1},
			{headerName: this.l('Invoice No'),headerTooltip: this.l('Invoice No'),field: 'invoiceNo',flex: 1},
			{headerName: this.l('Cd Date'),headerTooltip: this.l('Cd Date'),field: 'cdDate',flex: 1},
			{headerName: this.l('Storage Location Code'),headerTooltip: this.l('Storage Location Code'),field: 'storageLocationCode',flex: 1},
			{headerName: this.l('Location Id'),headerTooltip: this.l('Location Id'),field: 'locationId',flex: 1},
			{headerName: this.l('Location Date'),headerTooltip: this.l('Location Date'),field: 'locationDate',flex: 1},
			{headerName: this.l('Location By'),headerTooltip: this.l('Location By'),field: 'locationBy',flex: 1},
			{headerName: this.l('Unpacking Date'),headerTooltip: this.l('Unpacking Date'),field: 'unpackingDate',flex: 1},
			{headerName: this.l('Unpacking Time'),headerTooltip: this.l('Unpacking Time'),field: 'unpackingTime',flex: 1},
			{headerName: this.l('Unpacking Datetime'),headerTooltip: this.l('Unpacking Datetime'),field: 'unpackingDatetime',flex: 1},
			{headerName: this.l('Net Weight'),headerTooltip: this.l('Net Weight'),field: 'netWeight',flex: 1},
			{headerName: this.l('Gross Weight'),headerTooltip: this.l('Gross Weight'),field: 'grossWeight',flex: 1},
			{headerName: this.l('Measuarement M3'),headerTooltip: this.l('Measuarement M3'),field: 'measuarementM3',flex: 1},
			{headerName: this.l('Lengthofcasemodule'),headerTooltip: this.l('Lengthofcasemodule'),field: 'lengthofcasemodule',flex: 1},
			{headerName: this.l('Widthofcasemodule'),headerTooltip: this.l('Widthofcasemodule'),field: 'widthofcasemodule',flex: 1},
			{headerName: this.l('Heightofcasemodule'),headerTooltip: this.l('Heightofcasemodule'),field: 'heightofcasemodule',flex: 1},
			{headerName: this.l('Dummy'),headerTooltip: this.l('Dummy'),field: 'dummy',flex: 1},
			{headerName: this.l('Plannedpackingdate'),headerTooltip: this.l('Plannedpackingdate'),field: 'plannedpackingdate',flex: 1},
			{headerName: this.l('Dgflag'),headerTooltip: this.l('Dgflag'),field: 'dgflag',flex: 1},
			{headerName: this.l('Packing Type'),headerTooltip: this.l('Packing Type'),field: 'packingType',flex: 1},
			{headerName: this.l('Rr Type'),headerTooltip: this.l('Rr Type'),field: 'rrType',flex: 1},
			{headerName: this.l('Freight Per Invoice'),headerTooltip: this.l('Freight Per Invoice'),field: 'freightPerInvoice',flex: 1},
			{headerName: this.l('Insurance Per Invoice'),headerTooltip: this.l('Insurance Per Invoice'),field: 'insurancePerInvoice',flex: 1},
			{headerName: this.l('Inner Material Type1'),headerTooltip: this.l('Inner Material Type1'),field: 'innerMaterialType1',flex: 1},
			{headerName: this.l('Inner Material Type2'),headerTooltip: this.l('Inner Material Type2'),field: 'innerMaterialType2',flex: 1},
			{headerName: this.l('Inner Material Type3'),headerTooltip: this.l('Inner Material Type3'),field: 'innerMaterialType3',flex: 1},
			{headerName: this.l('Inner Material Type4'),headerTooltip: this.l('Inner Material Type4'),field: 'innerMaterialType4',flex: 1},
			{headerName: this.l('Inner Material Type5'),headerTooltip: this.l('Inner Material Type5'),field: 'innerMaterialType5',flex: 1},
			{headerName: this.l('Inner Material Type6'),headerTooltip: this.l('Inner Material Type6'),field: 'innerMaterialType6',flex: 1},
			{headerName: this.l('Inner Material Type7'),headerTooltip: this.l('Inner Material Type7'),field: 'innerMaterialType7',flex: 1},
			{headerName: this.l('Inner Material Type8'),headerTooltip: this.l('Inner Material Type8'),field: 'innerMaterialType8',flex: 1},
			{headerName: this.l('Inner Material Type9'),headerTooltip: this.l('Inner Material Type9'),field: 'innerMaterialType9',flex: 1},
			{headerName: this.l('Inner Material Type10'),headerTooltip: this.l('Inner Material Type10'),field: 'innerMaterialType10',flex: 1},
			{headerName: this.l('Inner Material Type11'),headerTooltip: this.l('Inner Material Type11'),field: 'innerMaterialType11',flex: 1},
			{headerName: this.l('Inner Material Type12'),headerTooltip: this.l('Inner Material Type12'),field: 'innerMaterialType12',flex: 1},
			{headerName: this.l('Inner Material Quantity1'),headerTooltip: this.l('Inner Material Quantity1'),field: 'innerMaterialQuantity1',flex: 1},
			{headerName: this.l('Inner Material Quantity2'),headerTooltip: this.l('Inner Material Quantity2'),field: 'innerMaterialQuantity2',flex: 1},
			{headerName: this.l('Inner Material Quantity3'),headerTooltip: this.l('Inner Material Quantity3'),field: 'innerMaterialQuantity3',flex: 1},
			{headerName: this.l('Inner Material Quantity4'),headerTooltip: this.l('Inner Material Quantity4'),field: 'innerMaterialQuantity4',flex: 1},
			{headerName: this.l('Inner Material Quantity5'),headerTooltip: this.l('Inner Material Quantity5'),field: 'innerMaterialQuantity5',flex: 1},
			{headerName: this.l('Inner Material Quantity6'),headerTooltip: this.l('Inner Material Quantity6'),field: 'innerMaterialQuantity6',flex: 1},
			{headerName: this.l('Inner Material Quantity7'),headerTooltip: this.l('Inner Material Quantity7'),field: 'innerMaterialQuantity7',flex: 1},
			{headerName: this.l('Inner Material Quantity8'),headerTooltip: this.l('Inner Material Quantity8'),field: 'innerMaterialQuantity8',flex: 1},
			{headerName: this.l('Inner Material Quantity9'),headerTooltip: this.l('Inner Material Quantity9'),field: 'innerMaterialQuantity9',flex: 1},
			{headerName: this.l('Inner Material Quantity10'),headerTooltip: this.l('Inner Material Quantity10'),field: 'innerMaterialQuantity10',flex: 1},
			{headerName: this.l('Inner Material Quantity11'),headerTooltip: this.l('Inner Material Quantity11'),field: 'innerMaterialQuantity11',flex: 1},
			{headerName: this.l('Inner Material Quantity12'),headerTooltip: this.l('Inner Material Quantity12'),field: 'innerMaterialQuantity12',flex: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this.moduleNo = '',
		this.caseNo = '',
		this.containerNo = '',
		this.renban = '',
		this.invoiceId = '',
		this.lotNo = '',
		this.supplierNo = '',
		this.containerListId = '',
		this.moduleCaseNo = '',
		this.invoiceNo = '',
		this.cdDate = '',
		this.storageLocationCode = '',
		this.locationId = '',
		this.locationDate = '',
		this.locationBy = '',
		this.unpackingDate = '',
		this.unpackingTime = '',
		this.unpackingDatetime = '',
		this.netWeight = '',
		this.grossWeight = '',
		this.measuarementM3 = '',
		this.lengthofcasemodule = '',
		this.widthofcasemodule = '',
		this.heightofcasemodule = '',
		this.dummy = '',
		this.plannedpackingdate = '',
		this.dgflag = '',
		this.packingType = '',
		this.rrType = '',
		this.freightPerInvoice = '',
		this.insurancePerInvoice = '',
		this.innerMaterialType1 = '',
		this.innerMaterialType2 = '',
		this.innerMaterialType3 = '',
		this.innerMaterialType4 = '',
		this.innerMaterialType5 = '',
		this.innerMaterialType6 = '',
		this.innerMaterialType7 = '',
		this.innerMaterialType8 = '',
		this.innerMaterialType9 = '',
		this.innerMaterialType10 = '',
		this.innerMaterialType11 = '',
		this.innerMaterialType12 = '',
		this.innerMaterialQuantity1 = '',
		this.innerMaterialQuantity2 = '',
		this.innerMaterialQuantity3 = '',
		this.innerMaterialQuantity4 = '',
		this.innerMaterialQuantity5 = '',
		this.innerMaterialQuantity6 = '',
		this.innerMaterialQuantity7 = '',
		this.innerMaterialQuantity8 = '',
		this.innerMaterialQuantity9 = '',
		this.innerMaterialQuantity10 = '',
		this.innerMaterialQuantity11 = '',
		this.innerMaterialQuantity12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);
    }
    onChangeRowSelection(params: { api: { getSelectedRows: () =&gt; InvCkdModuleCaseDto[] } }) {
        this.saveSelectedRow = params.api.getSelectedRows()[0] ?? new InvCkdModuleCaseDto();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InvCkdModuleCaseDto):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this._service.getModuleCaseToExcel(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Module Case Management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[(ngModel)]='moduleCaseNo' name='moduleCaseNo'
									class='form-control' [placeholder]="l('Module Case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[(ngModel)]='storageLocationCode' name='storageLocationCode'
									class='form-control' [placeholder]="l('Storage Location Code')"
									type='text' (keyup.enter)='searchDatas()'&gt;
								&lt;/div&gt;
								&lt;div class='input-search'&gt;
									&lt;input [(ngModel)]='locationBy' name='locationBy'
									class='form-control' [placeholder]="l('Location By')"
									type='text' (keyup.enter)='searchDatas()'&gt;
								&lt;/div&gt;
								&lt;div class='input-search'&gt;
									&lt;input [(ngModel)]='dummy' name='dummy'
									class='form-control' [placeholder]="l('Dummy')"
									type='text' (keyup.enter)='searchDatas()'&gt;
								&lt;/div&gt;
								&lt;div class='input-search'&gt;
									&lt;input [(ngModel)]='dgflag' name='dgflag'
									class='form-control' [placeholder]="l('Dgflag')"
									type='text' (keyup.enter)='searchDatas()'&gt;
								&lt;/div&gt;
								&lt;div class='input-search'&gt;
									&lt;input [(ngModel)]='packingType' name='packingType'
									class='form-control' [placeholder]="l('Packing Type')"
									type='text' (keyup.enter)='searchDatas()'&gt;
								&lt;/div&gt;
								&lt;div class='input-search'&gt;
									&lt;input [(ngModel)]='rrType' name='rrType'
									class='form-control' [placeholder]="l('Rr Type')"
									type='text' (keyup.enter)='searchDatas()'&gt;
								&lt;/div&gt;
								&lt;div class='input-search'&gt;
									&lt;input [(ngModel)]='innerMaterialType1' name='innerMaterialType1'
									class='form-control' [placeholder]="l('Inner Material Type1')"
									type='text' (keyup.enter)='searchDatas()'&gt;
								&lt;/div&gt;
								&lt;div class='input-search'&gt;
									&lt;input [(ngModel)]='innerMaterialType2' name='innerMaterialType2'
									class='form-control' [placeholder]="l('Inner Material Type2')"
									type='text' (keyup.enter)='searchDatas()'&gt;
								&lt;/div&gt;
								&lt;div class='input-search'&gt;
									&lt;input [(ngModel)]='innerMaterialType3' name='innerMaterialType3'
									class='form-control' [placeholder]="l('Inner Material Type3')"
									type='text' (keyup.enter)='searchDatas()'&gt;
								&lt;/div&gt;
								&lt;div class='input-search'&gt;
									&lt;input [(ngModel)]='innerMaterialType4' name='innerMaterialType4'
									class='form-control' [placeholder]="l('Inner Material Type4')"
									type='text' (keyup.enter)='searchDatas()'&gt;
								&lt;/div&gt;
								&lt;div class='input-search'&gt;
									&lt;input [(ngModel)]='innerMaterialType5' name='innerMaterialType5'
									class='form-control' [placeholder]="l('Inner Material Type5')"
									type='text' (keyup.enter)='searchDatas()'&gt;
								&lt;/div&gt;
								&lt;div class='input-search'&gt;
									&lt;input [(ngModel)]='innerMaterialType6' name='innerMaterialType6'
									class='form-control' [placeholder]="l('Inner Material Type6')"
									type='text' (keyup.enter)='searchDatas()'&gt;
								&lt;/div&gt;
								&lt;div class='input-search'&gt;
									&lt;input [(ngModel)]='innerMaterialType7' name='innerMaterialType7'
									class='form-control' [placeholder]="l('Inner Material Type7')"
									type='text' (keyup.enter)='searchDatas()'&gt;
								&lt;/div&gt;
								&lt;div class='input-search'&gt;
									&lt;input [(ngModel)]='innerMaterialType8' name='innerMaterialType8'
									class='form-control' [placeholder]="l('Inner Material Type8')"
									type='text' (keyup.enter)='searchDatas()'&gt;
								&lt;/div&gt;
								&lt;div class='input-search'&gt;
									&lt;input [(ngModel)]='innerMaterialType9' name='innerMaterialType9'
									class='form-control' [placeholder]="l('Inner Material Type9')"
									type='text' (keyup.enter)='searchDatas()'&gt;
								&lt;/div&gt;
								&lt;div class='input-search'&gt;
									&lt;input [(ngModel)]='innerMaterialType10' name='innerMaterialType10'
									class='form-control' [placeholder]="l('Inner Material Type10')"
									type='text' (keyup.enter)='searchDatas()'&gt;
								&lt;/div&gt;
								&lt;div class='input-search'&gt;
									&lt;input [(ngModel)]='innerMaterialType11' name='innerMaterialType11'
									class='form-control' [placeholder]="l('Inner Material Type11')"
									type='text' (keyup.enter)='searchDatas()'&gt;
								&lt;/div&gt;
								&lt;div class='input-search'&gt;
									&lt;input [(ngModel)]='innerMaterialType12' name='innerMaterialType12'
									class='form-control' [placeholder]="l('Inner Material Type12')"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(click)="createOrEditModalModuleCase.show()"&gt;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(click)="createOrEditModalModuleCase.show(selectedRow)"&gt;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&lt;create-or-edit-modulecase-modal
    #createOrEditModalModuleCase
    (modalSave)="callBackDataGrid(dataParams)"
    (modalClose)="onChangeRowSelection(dataParams)"
&gt;
&lt;/create-or-edit-modulecase-modal&gt;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#createOrEditModalModuleCase="bs-modal"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ModuleCase')}}&lt;/h3&gt;
                    &lt;h3 *ngIf="!rowdata.id"&gt;{{('Create New ModuleCase')}}&lt;/h3&gt;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
					&lt;div class='col-md-12 form-group row'&gt;
						&lt;label class='col-md-2 form-control title'&gt;Location By&lt;/label&gt;
						&lt;input type='text' class='col-md-10 form-control input-text' name='LocationBy' [(ngModel)]='rowdata.locationBy'&gt;
					&lt;/div&gt;
					&lt;div class='col-md-12 form-group row'&gt;
						&lt;label class='col-md-2 form-control title'&gt;Dummy&lt;/label&gt;
						&lt;input type='text' class='col-md-10 form-control input-text' name='Dummy' [(ngModel)]='rowdata.dummy'&gt;
					&lt;/div&gt;
					&lt;div class='col-md-12 form-group row'&gt;
						&lt;label class='col-md-2 form-control title'&gt;Dgflag&lt;/label&gt;
						&lt;input type='text' class='col-md-10 form-control input-text' name='Dgflag' [(ngModel)]='rowdata.dgflag'&gt;
					&lt;/div&gt;
					&lt;div class='col-md-12 form-group row'&gt;
						&lt;label class='col-md-2 form-control title'&gt;Packing Type&lt;/label&gt;
						&lt;input type='text' class='col-md-10 form-control input-text' name='PackingType' [(ngModel)]='rowdata.packingType'&gt;
					&lt;/div&gt;
					&lt;div class='col-md-12 form-group row'&gt;
						&lt;label class='col-md-2 form-control title'&gt;Rr Type&lt;/label&gt;
						&lt;input type='text' class='col-md-10 form-control input-text' name='RrType' [(ngModel)]='rowdata.rrType'&gt;
					&lt;/div&gt;
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
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
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
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
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
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
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
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
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
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
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
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CreateOrEditInvCkdModuleCaseDto, InvCkdModuleCaseServiceProxy } from '@shared/service-proxies/service-proxies';
import { BsDatepickerDirective } from 'ngx-bootstrap/datepicker';
@Component({
    selector: 'create-or-edit-modulecase-modal',
    templateUrl: './create-or-edit-modulecase-modal.component.html',
    styleUrls: ['./create-or-edit-modulecase-modal.component.less']
    })
export class CreateOrEditModuleCaseModalComponent extends AppComponentBase {
    @ViewChild('createOrEditModalModuleCase',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CreateOrEditInvCkdModuleCaseDto = new CreateOrEditInvCkdModuleCaseDto();
    active: boolean = false;
    saving: boolean = false;
    _isActive: boolean;
    constructor(
        injector: Injector,
        private _mstwptModuleCaseService: InvCkdModuleCaseServiceProxy,
    ) 
    {
        super(injector);
    }
    show(rowdata?: CreateOrEditInvCkdModuleCaseDto): void {
        if (!rowdata) this.rowdata = new CreateOrEditInvCkdModuleCaseDto();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this._mstwptModuleCaseService.createOrEdit(this.rowdata)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ModuleCaseRoutingModule } from './modulecase-routing.module';
import { ModuleCaseComponent } from './modulecase.component';
import { CreateOrEditModuleCaseModalComponent } from './create-or-edit-modulecase-modal.component';
@NgModule({
    declarations: [
       ModuleCaseComponent, 
        CreateOrEditModuleCaseModalComponent
    ],
    imports: [
        AppSharedModule, ModuleCaseRoutingModule]
})
export class ModuleCaseModule {}</v>
      </c>
      <c r="J75" s="46" t="str">
        <f>B.Frontend!O10</f>
        <v>import {NgModule} from '@angular/core';
import {RouterModule, Routes} from '@angular/router';
import { ModuleCaseComponent } from './modulecase.component';
const routes: Routes = [{
    path: '',
    component: ModuleCaseComponent,
    pathMatch: 'full'
}];
@NgModule({
    imports: [RouterModule.forChild(routes)],
    exports: [RouterModule],
})
export class ModuleCaseRoutingModule {}</v>
      </c>
      <c r="K75" s="46" t="str">
        <f>B.Frontend!P10</f>
        <v xml:space="preserve"> new AppMenuItem("ModuleCase", "Pages.Inventory.CKD.ModuleCase", "flaticon-book",   "/app/main/inventory/ckd/modulecase"),</v>
      </c>
      <c r="L75" s="47" t="str">
        <f>B.Frontend!Q10</f>
        <v>{
    path: 'inventory/ckd/modulecase',
    loadChildren: () =&gt; import('./inventory/ckd/modulecase/modulecase.module').then(m =&gt; m.ModuleCaseModule),
    data: { permission: 'Pages.Inventory.CKD.ModuleCase' }
},</v>
      </c>
      <c r="M75" s="45" t="str">
        <f>B.Frontend!R10</f>
        <v>ApiServiceProxies.InvCkdModuleCaseServiceProxy,</v>
      </c>
    </row>
    <row r="77" spans="2:14" x14ac:dyDescent="0.25">
      <c r="B77" s="1" t="s">
        <v>72</v>
      </c>
    </row>
    <row r="80" spans="2:14" x14ac:dyDescent="0.25">
      <c r="B80" t="s">
        <v>430</v>
      </c>
      <c r="C80" t="s">
        <v>431</v>
      </c>
      <c r="D80" t="s">
        <v>432</v>
      </c>
      <c r="E80" t="s">
        <v>433</v>
      </c>
      <c r="F80" t="s">
        <v>434</v>
      </c>
      <c r="G80" t="s">
        <v>435</v>
      </c>
    </row>
    <row r="81" spans="2:7" x14ac:dyDescent="0.25">
      <c r="C81" t="s">
        <v>436</v>
      </c>
      <c r="D81" t="s">
        <v>437</v>
      </c>
      <c r="E81" t="s">
        <v>438</v>
      </c>
    </row>
    <row r="83" spans="2:7" s="70" customFormat="1" x14ac:dyDescent="0.25"/>
    <row r="84" spans="2:7" x14ac:dyDescent="0.25">
      <c r="B84" t="s">
        <v>439</v>
      </c>
      <c r="C84" t="s">
        <v>440</v>
      </c>
      <c r="D84" t="s">
        <v>441</v>
      </c>
      <c r="E84" t="s">
        <v>442</v>
      </c>
      <c r="F84" t="s">
        <v>432</v>
      </c>
    </row>
    <row r="85" spans="2:7" x14ac:dyDescent="0.25">
      <c r="C85" t="s">
        <v>443</v>
      </c>
      <c r="D85" t="s">
        <v>444</v>
      </c>
      <c r="E85" t="s">
        <v>445</v>
      </c>
      <c r="F85" t="s">
        <v>446</v>
      </c>
      <c r="G85" t="s">
        <v>447</v>
      </c>
    </row>
    <row r="86" spans="2:7" x14ac:dyDescent="0.25">
      <c r="C86" t="s">
        <v>448</v>
      </c>
      <c r="D86" t="s">
        <v>449</v>
      </c>
      <c r="F86" t="s">
        <v>450</v>
      </c>
      <c r="G86" t="s">
        <v>451</v>
      </c>
    </row>
    <row r="87" spans="2:7" x14ac:dyDescent="0.25">
      <c r="C87" t="s">
        <v>452</v>
      </c>
      <c r="D87" t="s">
        <v>453</v>
      </c>
      <c r="E87" t="s">
        <v>454</v>
      </c>
      <c r="F87" t="s">
        <v>455</v>
      </c>
      <c r="G87" t="s">
        <v>456</v>
      </c>
    </row>
    <row r="89" spans="2:7" s="70" customFormat="1" x14ac:dyDescent="0.25"/>
    <row r="90" spans="2:7" x14ac:dyDescent="0.25">
      <c r="B90" t="s">
        <v>457</v>
      </c>
      <c r="C90" s="64" t="s">
        <v>495</v>
      </c>
    </row>
    <row r="91" spans="2:7" x14ac:dyDescent="0.25">
      <c r="C91" t="s">
        <v>440</v>
      </c>
      <c r="D91" t="s">
        <v>441</v>
      </c>
      <c r="E91" t="s">
        <v>442</v>
      </c>
      <c r="F91" t="s">
        <v>432</v>
      </c>
    </row>
    <row r="92" spans="2:7" x14ac:dyDescent="0.25">
      <c r="C92" t="s">
        <v>443</v>
      </c>
      <c r="D92" t="s">
        <v>444</v>
      </c>
      <c r="E92" t="s">
        <v>445</v>
      </c>
      <c r="F92" t="s">
        <v>446</v>
      </c>
      <c r="G92" t="s">
        <v>447</v>
      </c>
    </row>
    <row r="93" spans="2:7" x14ac:dyDescent="0.25">
      <c r="C93" t="s">
        <v>448</v>
      </c>
      <c r="D93" t="s">
        <v>449</v>
      </c>
      <c r="F93" t="s">
        <v>450</v>
      </c>
      <c r="G93" t="s">
        <v>451</v>
      </c>
    </row>
    <row r="94" spans="2:7" x14ac:dyDescent="0.25">
      <c r="C94" t="s">
        <v>452</v>
      </c>
      <c r="D94" t="s">
        <v>453</v>
      </c>
      <c r="E94" t="s">
        <v>454</v>
      </c>
      <c r="F94" t="s">
        <v>455</v>
      </c>
      <c r="G94" t="s">
        <v>456</v>
      </c>
    </row>
    <row r="96" spans="2:7" x14ac:dyDescent="0.25">
      <c r="C96" s="64" t="s">
        <v>496</v>
      </c>
    </row>
    <row r="97" spans="3:7" x14ac:dyDescent="0.25">
      <c r="C97" t="s">
        <v>458</v>
      </c>
      <c r="D97" t="s">
        <v>459</v>
      </c>
      <c r="E97" t="s">
        <v>460</v>
      </c>
      <c r="F97" t="s">
        <v>461</v>
      </c>
      <c r="G97" t="s">
        <v>462</v>
      </c>
    </row>
    <row r="98" spans="3:7" x14ac:dyDescent="0.25">
      <c r="C98" t="s">
        <v>463</v>
      </c>
      <c r="D98" t="s">
        <v>464</v>
      </c>
      <c r="E98" t="s">
        <v>465</v>
      </c>
      <c r="F98" t="s">
        <v>466</v>
      </c>
      <c r="G98" t="s">
        <v>467</v>
      </c>
    </row>
    <row r="99" spans="3:7" x14ac:dyDescent="0.25">
      <c r="C99" t="s">
        <v>468</v>
      </c>
      <c r="D99" t="s">
        <v>469</v>
      </c>
      <c r="E99" t="s">
        <v>470</v>
      </c>
    </row>
    <row r="101" spans="3:7" x14ac:dyDescent="0.25">
      <c r="C101" s="69" t="s">
        <v>497</v>
      </c>
    </row>
    <row r="102" spans="3:7" x14ac:dyDescent="0.25">
      <c r="C102" t="s">
        <v>471</v>
      </c>
      <c r="D102" t="s">
        <v>472</v>
      </c>
      <c r="E102" t="s">
        <v>473</v>
      </c>
      <c r="F102" t="s">
        <v>474</v>
      </c>
      <c r="G102" t="s">
        <v>475</v>
      </c>
    </row>
    <row r="103" spans="3:7" x14ac:dyDescent="0.25">
      <c r="C103" t="s">
        <v>476</v>
      </c>
      <c r="D103" t="s">
        <v>477</v>
      </c>
      <c r="E103" t="s">
        <v>478</v>
      </c>
      <c r="F103" t="s">
        <v>479</v>
      </c>
      <c r="G103" t="s">
        <v>480</v>
      </c>
    </row>
    <row r="104" spans="3:7" x14ac:dyDescent="0.25">
      <c r="C104" t="s">
        <v>481</v>
      </c>
      <c r="D104" t="s">
        <v>482</v>
      </c>
    </row>
    <row r="105" spans="3:7" x14ac:dyDescent="0.25">
      <c r="C105" t="s">
        <v>483</v>
      </c>
      <c r="D105" t="s">
        <v>484</v>
      </c>
      <c r="E105" t="s">
        <v>485</v>
      </c>
      <c r="F105" t="s">
        <v>486</v>
      </c>
      <c r="G105" t="s">
        <v>487</v>
      </c>
    </row>
    <row r="106" spans="3:7" x14ac:dyDescent="0.25">
      <c r="C106" t="s">
        <v>488</v>
      </c>
      <c r="D106" t="s">
        <v>489</v>
      </c>
      <c r="E106" t="s">
        <v>490</v>
      </c>
      <c r="F106" t="s">
        <v>491</v>
      </c>
      <c r="G106" t="s">
        <v>492</v>
      </c>
    </row>
    <row r="107" spans="3:7" x14ac:dyDescent="0.25">
      <c r="C107" t="s">
        <v>493</v>
      </c>
      <c r="D107" t="s">
        <v>494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7"/>
  <sheetViews>
    <sheetView topLeftCell="A7" zoomScaleNormal="100" workbookViewId="0">
      <pane xSplit="1" topLeftCell="B1" activePane="topRight" state="frozen"/>
      <selection pane="topRight" activeCell="B16" sqref="B16"/>
    </sheetView>
  </sheetViews>
  <sheetFormatPr defaultColWidth="9.140625" defaultRowHeight="15" x14ac:dyDescent="0.25"/>
  <cols>
    <col min="1" max="1" width="3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371</v>
      </c>
      <c r="C3" s="9" t="s">
        <v>41</v>
      </c>
      <c r="D3" s="9" t="s">
        <v>42</v>
      </c>
      <c r="E3" s="9" t="s">
        <v>37</v>
      </c>
      <c r="F3" s="10" t="str">
        <f>"J"&amp;COUNTA($A:$A)</f>
        <v>J65</v>
      </c>
      <c r="G3" s="4" t="s">
        <v>54</v>
      </c>
      <c r="H3" s="9" t="str">
        <f>"I"&amp;COUNTA($A:$A)</f>
        <v>I65</v>
      </c>
      <c r="I3" s="9" t="str">
        <f>REPT(CHAR(9),2)&amp;"[Required]"&amp;"
"</f>
        <v xml:space="preserve">		[Required]
</v>
      </c>
      <c r="J3" s="10" t="str">
        <f>"L"&amp;COUNTA($A:$A)</f>
        <v>L65</v>
      </c>
      <c r="K3" s="5" t="s">
        <v>53</v>
      </c>
      <c r="L3" s="10" t="str">
        <f>"M"&amp;COUNTA($A:$A)</f>
        <v>M65</v>
      </c>
      <c r="M3" s="10" t="str">
        <f>"N"&amp;COUNTA($A:$A)</f>
        <v>N65</v>
      </c>
      <c r="N3" s="10" t="str">
        <f>"O"&amp;COUNTA($A:$A)</f>
        <v>O65</v>
      </c>
      <c r="O3" s="10" t="str">
        <f>"P"&amp;COUNTA($A:$A)</f>
        <v>P65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InvCkdModuleCaseExportInput{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T65</v>
      </c>
      <c r="V3" s="10" t="str">
        <f>"V"&amp;COUNTA($A:$A)</f>
        <v>V65</v>
      </c>
      <c r="W3" s="9" t="str">
        <f>"W"&amp;COUNTA($A:$A)</f>
        <v>W65</v>
      </c>
    </row>
    <row r="4" spans="1:23" s="10" customFormat="1" ht="33" customHeight="1" x14ac:dyDescent="0.2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InvCkdModuleCase: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InvCkdModuleCaseConsts	
	{
</v>
      </c>
      <c r="F6" s="10" t="str">
        <f>REPT(CHAR(9),1)&amp;"public class "&amp;B3&amp;"Dto"&amp;K3&amp;REPT(CHAR(9),1)&amp;"
"&amp;REPT(CHAR(9),1)&amp;C3</f>
        <v xml:space="preserve">	public class InvCkdModuleCaseDto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CreateOrEditInvCkdModuleCaseDto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GetInvCkdModuleCaseInput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InvCkdModuleCase</v>
      </c>
      <c r="C7" s="10" t="str">
        <f>REPT(CHAR(9),1)&amp;"[Table("""&amp;B7&amp;""")]"&amp;"
"</f>
        <v xml:space="preserve">	[Table("InvCkdModuleCase")]
</v>
      </c>
      <c r="D7" s="10"/>
      <c r="E7" s="10"/>
      <c r="F7" s="10"/>
      <c r="G7" s="10"/>
      <c r="H7" s="10"/>
      <c r="I7" s="10"/>
      <c r="J7" t="str">
        <f ca="1">SUBSTITUTE(SUBSTITUTE((B1&amp;C6&amp;C7&amp;K67&amp;D6&amp;I67&amp;E3&amp;J67&amp;""&amp;REPT(CHAR(9),1)&amp;D3&amp;D3),"WorkingPattern",$Q$3),"Master",$B$4)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[Table("InvCkdModuleCase")]
	public class InvCkdModuleCase: FullAuditedEntity&lt;long&gt;, IEntity&lt;long&gt;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[StringLength(MaxModuleNoLength)]
		public virtual string ModuleNo { get; set; }
		[StringLength(MaxCaseNoLength)]
		public virtual string CaseNo { get; set; }
		[StringLength(MaxContainerNoLength)]
		public virtual string ContainerNo { get; set; }
		[StringLength(MaxRenbanLength)]
		public virtual string Renban { get; set; }
		public virtual long? InvoiceId { get; set; }
		[StringLength(MaxLotNoLength)]
		public virtual string LotNo { get; set; }
		[StringLength(MaxSupplierNoLength)]
		public virtual string SupplierNo { get; set; }
		public virtual long? ContainerListId { get; set; }
		[StringLength(MaxModuleCaseNoLength)]
		public virtual string ModuleCaseNo { get; set; }
		[StringLength(MaxInvoiceNoLength)]
		public virtual string InvoiceNo { get; set; }
		public virtual DateTime? CdDate { get; set; }
		[StringLength(MaxStorageLocationCodeLength)]
		public virtual string StorageLocationCode { get; set; }
		public virtual long? LocationId { get; set; }
		public virtual DateTime? LocationDate { get; set; }
		[StringLength(MaxLocationByLength)]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[StringLength(MaxDummyLength)]
		public virtual string Dummy { get; set; }
		public virtual DateTime? Plannedpackingdate { get; set; }
		[StringLength(MaxDgflagLength)]
		public virtual string Dgflag { get; set; }
		[StringLength(MaxPackingTypeLength)]
		public virtual string PackingType { get; set; }
		[StringLength(MaxRrTypeLength)]
		public virtual string RrType { get; set; }
		public virtual decimal? FreightPerInvoice { get; set; }
		public virtual decimal? InsurancePerInvoice { get; set; }
		[StringLength(MaxInnerMaterialType1Length)]
		public virtual string InnerMaterialType1 { get; set; }
		[StringLength(MaxInnerMaterialType2Length)]
		public virtual string InnerMaterialType2 { get; set; }
		[StringLength(MaxInnerMaterialType3Length)]
		public virtual string InnerMaterialType3 { get; set; }
		[StringLength(MaxInnerMaterialType4Length)]
		public virtual string InnerMaterialType4 { get; set; }
		[StringLength(MaxInnerMaterialType5Length)]
		public virtual string InnerMaterialType5 { get; set; }
		[StringLength(MaxInnerMaterialType6Length)]
		public virtual string InnerMaterialType6 { get; set; }
		[StringLength(MaxInnerMaterialType7Length)]
		public virtual string InnerMaterialType7 { get; set; }
		[StringLength(MaxInnerMaterialType8Length)]
		public virtual string InnerMaterialType8 { get; set; }
		[StringLength(MaxInnerMaterialType9Length)]
		public virtual string InnerMaterialType9 { get; set; }
		[StringLength(MaxInnerMaterialType10Length)]
		public virtual string InnerMaterialType10 { get; set; }
		[StringLength(MaxInnerMaterialType11Length)]
		public virtual string InnerMaterialType11 { get; set; }
		[StringLength(MaxInnerMaterialType12Length)]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DbSet&lt;InvCkdModuleCase&gt; InvCkdModuleCases { get; set; }</v>
      </c>
      <c r="L7" t="str">
        <f ca="1">SUBSTITUTE(SUBSTITUTE((C6&amp;E6&amp;I67&amp;"
"&amp;REPT(CHAR(9),2)&amp;"// Define Store Name: Format SP_ + &lt;Store Name&gt; = &lt;Store Name&gt;
"&amp;E3&amp;REPT(CHAR(9),1)&amp;D3&amp;D3),"WorkingPattern",$Q$3),"Master",$B$4)</f>
        <v xml:space="preserve">namespace prod.Inventory.CKD
{
	public class InvCkdModuleCaseConsts	
	{
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		// Define Store Name: Format SP_ + &lt;Store Name&gt; = &lt;Store Name&gt;
	}
}
</v>
      </c>
      <c r="M7" t="str">
        <f ca="1">SUBSTITUTE(SUBSTITUTE((C1&amp;"namespace "&amp;B6&amp;".Dto"&amp;E3&amp;C3&amp;F6&amp;M67&amp;E3&amp;REPT(CHAR(9),1)&amp;D3&amp;G6&amp;N67&amp;REPT(CHAR(9),1)&amp;D3&amp;H6&amp;O67&amp;"
"&amp;REPT(CHAR(9),1)&amp;D3&amp;D3),"WorkingPattern",$Q$3),"Master",$B$4)</f>
        <v xml:space="preserve">using Abp.Application.Services.Dto;
using System;
using System.ComponentModel.DataAnnotations;
namespace prod.Inventory.CKD.Dto
{
	public class InvCkdModuleCaseDto : EntityDto&lt;long?&gt;	
	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	public class CreateOrEditInvCkdModuleCaseDto : EntityDto&lt;long?&gt;	
	{
		[StringLength(InvCkdModuleCaseConsts.MaxModuleNoLength)]
		public virtual string ModuleNo { get; set; }
		[StringLength(InvCkdModuleCaseConsts.MaxCaseNoLength)]
		public virtual string CaseNo { get; set; }
		[StringLength(InvCkdModuleCaseConsts.MaxContainerNoLength)]
		public virtual string ContainerNo { get; set; }
		[StringLength(InvCkdModuleCaseConsts.MaxRenbanLength)]
		public virtual string Renban { get; set; }
		public virtual long? InvoiceId { get; set; }
		[StringLength(InvCkdModuleCaseConsts.MaxLotNoLength)]
		public virtual string LotNo { get; set; }
		[StringLength(InvCkdModuleCaseConsts.MaxSupplierNoLength)]
		public virtual string SupplierNo { get; set; }
		public virtual long? ContainerListId { get; set; }
		[StringLength(InvCkdModuleCaseConsts.MaxModuleCaseNoLength)]
		public virtual string ModuleCaseNo { get; set; }
		[StringLength(InvCkdModuleCaseConsts.MaxInvoiceNoLength)]
		public virtual string InvoiceNo { get; set; }
		public virtual DateTime? CdDate { get; set; }
		[StringLength(InvCkdModuleCaseConsts.MaxStorageLocationCodeLength)]
		public virtual string StorageLocationCode { get; set; }
		public virtual long? LocationId { get; set; }
		public virtual DateTime? LocationDate { get; set; }
		[StringLength(InvCkdModuleCaseConsts.MaxLocationByLength)]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[StringLength(InvCkdModuleCaseConsts.MaxDummyLength)]
		public virtual string Dummy { get; set; }
		public virtual DateTime? Plannedpackingdate { get; set; }
		[StringLength(InvCkdModuleCaseConsts.MaxDgflagLength)]
		public virtual string Dgflag { get; set; }
		[StringLength(InvCkdModuleCaseConsts.MaxPackingTypeLength)]
		public virtual string PackingType { get; set; }
		[StringLength(InvCkdModuleCaseConsts.MaxRrTypeLength)]
		public virtual string RrType { get; set; }
		public virtual decimal? FreightPerInvoice { get; set; }
		public virtual decimal? InsurancePerInvoice { get; set; }
		[StringLength(InvCkdModuleCaseConsts.MaxInnerMaterialType1Length)]
		public virtual string InnerMaterialType1 { get; set; }
		[StringLength(InvCkdModuleCaseConsts.MaxInnerMaterialType2Length)]
		public virtual string InnerMaterialType2 { get; set; }
		[StringLength(InvCkdModuleCaseConsts.MaxInnerMaterialType3Length)]
		public virtual string InnerMaterialType3 { get; set; }
		[StringLength(InvCkdModuleCaseConsts.MaxInnerMaterialType4Length)]
		public virtual string InnerMaterialType4 { get; set; }
		[StringLength(InvCkdModuleCaseConsts.MaxInnerMaterialType5Length)]
		public virtual string InnerMaterialType5 { get; set; }
		[StringLength(InvCkdModuleCaseConsts.MaxInnerMaterialType6Length)]
		public virtual string InnerMaterialType6 { get; set; }
		[StringLength(InvCkdModuleCaseConsts.MaxInnerMaterialType7Length)]
		public virtual string InnerMaterialType7 { get; set; }
		[StringLength(InvCkdModuleCaseConsts.MaxInnerMaterialType8Length)]
		public virtual string InnerMaterialType8 { get; set; }
		[StringLength(InvCkdModuleCaseConsts.MaxInnerMaterialType9Length)]
		public virtual string InnerMaterialType9 { get; set; }
		[StringLength(InvCkdModuleCaseConsts.MaxInnerMaterialType10Length)]
		public virtual string InnerMaterialType10 { get; set; }
		[StringLength(InvCkdModuleCaseConsts.MaxInnerMaterialType11Length)]
		public virtual string InnerMaterialType11 { get; set; }
		[StringLength(InvCkdModuleCaseConsts.MaxInnerMaterialType12Length)]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[StringLength(InvCkdModuleCaseConsts.MaxIsActiveLength)]
		public virtual string IsActive { get; set; }
	}
	public class GetInvCkdModuleCaseInput : PagedAndSortedResultRequestDto	
	{
		public virtual string ModuleNo { get; set; }
		public virtual string CaseNo { get; set; }
		public virtual string ContainerNo { get; set; }
		public virtual string Renban { get; set; }
		public virtual string LotNo { get; set; }
		public virtual string SupplierNo { get; set; }
		public virtual string ModuleCaseNo { get; set; }
		public virtual string InvoiceNo { get; set; }
		public virtual string StorageLocationCode { get; set; }
		public virtual string LocationBy { get; set; }
		public virtual string Dummy { get; set; }
		public virtual string Dgflag { get; set; }
		public virtual string PackingType { get; set; }
		public virtual string RrType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perInvCkdModuleCase = PARENTS.CreateChildPermission(AppPermissions.Pages_Inventory_CKD_ModuleCase, L( "InventoryCKDModuleCase"), multiTenancySides: MultiTenancySides.Tenant);
		perInvCkdModuleCase.CreateChildPermission(AppPermissions.Pages_Inventory_CKD_ModuleCase_CreateEdit, L( "InventoryCKDModuleCaseCreateEdit"), multiTenancySides: MultiTenancySides.Tenant);
		perInvCkdModuleCase.CreateChildPermission(AppPermissions.Pages_Inventory_CKD_ModuleCase_Delete, L( "InventoryCKDModuleCaseDelete"),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Pages_Inventory_CKD_ModuleCase = "Pages.Inventory.CKD.ModuleCase";
		public const string Pages_Inventory_CKD_ModuleCase_CreateEdit = "Pages.Inventory.CKD.ModuleCase.CreateEdit";
		public const string Pages_Inventory_CKD_ModuleCase_Delete = "Pages.Inventory.CKD.ModuleCase.Delete";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IInvCkdModuleCaseAppService : IApplicationService
	{
		Task&lt;PagedResultDto&lt;InvCkdModuleCaseDto&gt;&gt; GetAll(GetInvCkdModuleCaseInput input);
		Task CreateOrEdit(CreateOrEditInvCkdModuleCaseDto input);
		Task Delete(EntityDto input);
	}
}
</v>
      </c>
      <c r="Q7" t="str">
        <f ca="1">SUBSTITUTE(SUBSTITUTE(SUBSTITUTE(SUBSTITUTE(SUBSTITUTE(SUBSTITUTE(E1,"MstWptCalendar",$B$3),"&lt;PROPERTIES&gt;",P67),"Calendar",$B$5),"WorkingPattern",$Q$3),"Master",$B$4),"&lt;PARAMS_SEARCH&gt;",$W$67)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[AbpAuthorize(AppPermissions.Pages_Inventory_CKD_ModuleCase)]
    public class InvCkdModuleCaseAppService : vovinaAppServiceBase, IInvCkdModuleCaseAppService
    {
        private readonly IDapperRepository&lt;InvCkdModuleCase, long&gt; _dapperRepo;
        private readonly IRepository&lt;InvCkdModuleCase, long&gt; _repo;
        private readonly IInvCkdModuleCaseExcelExporter _calendarListExcelExporter;
        public InvCkdModuleCaseAppService(IRepository&lt;InvCkdModuleCase,long&gt; repo, 
                                         IDapperRepository&lt;InvCkdModuleCase,long&gt; dapperRepo,
                                        IInvCkdModuleCaseExcelExporter calendarListExcelExporter
            )
        {
            _repo = repo;
            _dapperRepo = dapperRepo;
            _calendarListExcelExporter = calendarListExcelExporter;
        }
        [AbpAuthorize(AppPermissions.Pages_Inventory_CKD_ModuleCase_CreateEdit)]
        public async Task CreateOrEdit(CreateOrEditInvCkdModuleCaseDto input)
        {
            if (input.Id == null) await Create(input);
            else await Update(input);
        }
        //CREATE
        private async Task Create(CreateOrEditInvCkdModuleCaseDto input)
        {          
            var mainObj = ObjectMapper.Map&lt;InvCkdModuleCase&gt;(input);
            await CurrentUnitOfWork.GetDbContext&lt;vovinaDbContext&gt;().AddAsync(mainObj);
        }
        // EDIT
        private async Task Update(CreateOrEditInvCkdModuleCaseDto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[AbpAuthorize(AppPermissions.Pages_Inventory_CKD_ModuleCase_Delete)]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Task&lt;PagedResultDto&lt;InvCkdModuleCaseDto&gt;&gt; GetAll(GetInvCkdModuleCaseInput input)
        {
            var filtered = _repo.GetAll()
				.WhereIf(!string.IsNullOrWhiteSpace(input.ModuleNo), e =&gt; e.ModuleNo.Contains(input.ModuleNo))
				.WhereIf(!string.IsNullOrWhiteSpace(input.CaseNo), e =&gt; e.CaseNo.Contains(input.CaseNo))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.WhereIf(!string.IsNullOrWhiteSpace(input.SupplierNo), e =&gt; e.SupplierNo.Contains(input.SupplierNo))
				.WhereIf(!string.IsNullOrWhiteSpace(input.ModuleCaseNo), e =&gt; e.ModuleCaseNo.Contains(input.ModuleCaseNo))
				.WhereIf(!string.IsNullOrWhiteSpace(input.InvoiceNo), e =&gt; e.InvoiceNo.Contains(input.InvoiceNo))
				.WhereIf(!string.IsNullOrWhiteSpace(input.StorageLocationCode), e =&gt; e.StorageLocationCode.Contains(input.StorageLocationCode))
				.WhereIf(!string.IsNullOrWhiteSpace(input.LocationBy), e =&gt; e.LocationBy.Contains(input.LocationBy))
				.WhereIf(!string.IsNullOrWhiteSpace(input.Dummy), e =&gt; e.Dummy.Contains(input.Dummy))
				.WhereIf(!string.IsNullOrWhiteSpace(input.Dgflag), e =&gt; e.Dgflag.Contains(input.Dgflag))
				.WhereIf(!string.IsNullOrWhiteSpace(input.PackingType), e =&gt; e.PackingType.Contains(input.PackingType))
				.WhereIf(!string.IsNullOrWhiteSpace(input.RrType), e =&gt; e.RrType.Contains(input.RrType))
				.WhereIf(!string.IsNullOrWhiteSpace(input.InnerMaterialType1), e =&gt; e.InnerMaterialType1.Contains(input.InnerMaterialType1))
				.WhereIf(!string.IsNullOrWhiteSpace(input.InnerMaterialType2), e =&gt; e.InnerMaterialType2.Contains(input.InnerMaterialType2))
				.WhereIf(!string.IsNullOrWhiteSpace(input.InnerMaterialType3), e =&gt; e.InnerMaterialType3.Contains(input.InnerMaterialType3))
				.WhereIf(!string.IsNullOrWhiteSpace(input.InnerMaterialType4), e =&gt; e.InnerMaterialType4.Contains(input.InnerMaterialType4))
				.WhereIf(!string.IsNullOrWhiteSpace(input.InnerMaterialType5), e =&gt; e.InnerMaterialType5.Contains(input.InnerMaterialType5))
				.WhereIf(!string.IsNullOrWhiteSpace(input.InnerMaterialType6), e =&gt; e.InnerMaterialType6.Contains(input.InnerMaterialType6))
				.WhereIf(!string.IsNullOrWhiteSpace(input.InnerMaterialType7), e =&gt; e.InnerMaterialType7.Contains(input.InnerMaterialType7))
				.WhereIf(!string.IsNullOrWhiteSpace(input.InnerMaterialType8), e =&gt; e.InnerMaterialType8.Contains(input.InnerMaterialType8))
				.WhereIf(!string.IsNullOrWhiteSpace(input.InnerMaterialType9), e =&gt; e.InnerMaterialType9.Contains(input.InnerMaterialType9))
				.WhereIf(!string.IsNullOrWhiteSpace(input.InnerMaterialType10), e =&gt; e.InnerMaterialType10.Contains(input.InnerMaterialType10))
				.WhereIf(!string.IsNullOrWhiteSpace(input.InnerMaterialType11), e =&gt; e.InnerMaterialType11.Contains(input.InnerMaterialType11))
				.WhereIf(!string.IsNullOrWhiteSpace(input.InnerMaterialType12), e =&gt; e.InnerMaterialType12.Contains(input.InnerMaterialType12))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totalCount = await filtered.CountAsync();
			var paged = system.PageBy(input);
            return new PagedResultDto&lt;InvCkdModuleCaseDto&gt;(
                totalCount,
                 await paged.ToListAsync()
            );
        }
        public async Task&lt;FileDto&gt; GetModuleCaseToExcel(InvCkdModuleCaseExportInput input)
        {
            var query = from o in _repo.GetAll()
                        select new InvCkdModuleCaseDto
                        {
							Id = o.Id,
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_dapperRepo.ExecuteAsync(InvCkdModuleCaseConsts.SP_MST_WPT_CALENDAR_GENERATE);
       // }
    }
}</v>
      </c>
      <c r="R7" t="str">
        <f ca="1">SUBSTITUTE(SUBSTITUTE((C1&amp;"namespace "&amp;B6&amp;".Dto"&amp;E3&amp;C3&amp;R3&amp;M67&amp;E3&amp;REPT(CHAR(9),1)&amp;D3&amp;D3),"WorkingPattern",$Q$3),"Master",$B$4)</f>
        <v xml:space="preserve">using Abp.Application.Services.Dto;
using System;
using System.ComponentModel.DataAnnotations;
namespace prod.Inventory.CKD.Dto
{
	public class InvCkdModuleCaseExportInput{
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IInvCkdModuleCaseExcelExporter : IApplicationService
	{
		FileDto ExportToFile(List&lt;InvCkdModuleCaseDto&gt; invckdmodulecase);
	}
}
</v>
      </c>
      <c r="T7" s="26" t="str">
        <f ca="1">SUBSTITUTE(SUBSTITUTE(SUBSTITUTE(SUBSTITUTE(SUBSTITUTE(SUBSTITUTE(SUBSTITUTE(T1,"MstWptCalendar",$B$3),"&lt;PROPERTIES1&gt;",V67),"&lt;PROPERTIES&gt;",T67),"Calendar",$B$5),"calendar",LOWER(B5)),"WorkingPattern",$Q$3),"Master",$B$4)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InvCkdModuleCaseExcelExporter : NpoiExcelExporterBase, IInvCkdModuleCaseExcelExporter
    {
        public InvCkdModuleCaseExcelExporter(ITempFileCacheManager tempFileCacheManager) : base(tempFileCacheManager) { }
        public FileDto ExportToFile(List&lt;InvCkdModuleCaseDto&gt; modulecase)
        {
            return CreateExcelPackage(
				"InventoryCKDModuleCase.xlsx",
				excelPackage =&gt;
				 {
					var sheet = excelPackage.CreateSheet("ModuleCase");
					AddHeader(
								sheet,
								("ModuleNo"),
								("CaseNo"),
								("ContainerNo"),
								("Renban"),
								("InvoiceId"),
								("LotNo"),
								("SupplierNo"),
								("ContainerListId"),
								("ModuleCaseNo"),
								("InvoiceNo"),
								("CdDate"),
								("StorageLocationCode"),
								("LocationId"),
								("LocationDate"),
								("LocationBy"),
								("UnpackingDate"),
								("UnpackingTime"),
								("UnpackingDatetime"),
								("NetWeight"),
								("GrossWeight"),
								("MeasuarementM3"),
								("Lengthofcasemodule"),
								("Widthofcasemodule"),
								("Heightofcasemodule"),
								("Dummy"),
								("Plannedpackingdate"),
								("Dgflag"),
								("PackingType"),
								("RrType"),
								("FreightPerInvoice"),
								("InsurancePerInvoice"),
								("InnerMaterialType1"),
								("InnerMaterialType2"),
								("InnerMaterialType3"),
								("InnerMaterialType4"),
								("InnerMaterialType5"),
								("InnerMaterialType6"),
								("InnerMaterialType7"),
								("InnerMaterialType8"),
								("InnerMaterialType9"),
								("InnerMaterialType10"),
								("InnerMaterialType11"),
								("InnerMaterialType12"),
								("InnerMaterialQuantity1"),
								("InnerMaterialQuantity2"),
								("InnerMaterialQuantity3"),
								("InnerMaterialQuantity4"),
								("InnerMaterialQuantity5"),
								("InnerMaterialQuantity6"),
								("InnerMaterialQuantity7"),
								("InnerMaterialQuantity8"),
								("InnerMaterialQuantity9"),
								("InnerMaterialQuantity10"),
								("InnerMaterialQuantity11"),
								("InnerMaterialQuantity12"),
								("Status"),
								("IsActive"),
							   );
					AddObjects(
						 sheet, 1, modulecase,                                       
								_ =&gt; _.ModuleNo,
								_ =&gt; _.CaseNo,
								_ =&gt; _.ContainerNo,
								_ =&gt; _.Renban,
								_ =&gt; _.InvoiceId,
								_ =&gt; _.LotNo,
								_ =&gt; _.SupplierNo,
								_ =&gt; _.ContainerListId,
								_ =&gt; _.ModuleCaseNo,
								_ =&gt; _.InvoiceNo,
								_ =&gt; _.CdDate,
								_ =&gt; _.StorageLocationCode,
								_ =&gt; _.LocationId,
								_ =&gt; _.LocationDate,
								_ =&gt; _.LocationBy,
								_ =&gt; _.UnpackingDate,
								_ =&gt; _.UnpackingTime,
								_ =&gt; _.UnpackingDatetime,
								_ =&gt; _.NetWeight,
								_ =&gt; _.GrossWeight,
								_ =&gt; _.MeasuarementM3,
								_ =&gt; _.Lengthofcasemodule,
								_ =&gt; _.Widthofcasemodule,
								_ =&gt; _.Heightofcasemodule,
								_ =&gt; _.Dummy,
								_ =&gt; _.Plannedpackingdate,
								_ =&gt; _.Dgflag,
								_ =&gt; _.PackingType,
								_ =&gt; _.RrType,
								_ =&gt; _.FreightPerInvoice,
								_ =&gt; _.InsurancePerInvoice,
								_ =&gt; _.InnerMaterialType1,
								_ =&gt; _.InnerMaterialType2,
								_ =&gt; _.InnerMaterialType3,
								_ =&gt; _.InnerMaterialType4,
								_ =&gt; _.InnerMaterialType5,
								_ =&gt; _.InnerMaterialType6,
								_ =&gt; _.InnerMaterialType7,
								_ =&gt; _.InnerMaterialType8,
								_ =&gt; _.InnerMaterialType9,
								_ =&gt; _.InnerMaterialType10,
								_ =&gt; _.InnerMaterialType11,
								_ =&gt; _.InnerMaterialType12,
								_ =&gt; _.InnerMaterialQuantity1,
								_ =&gt; _.InnerMaterialQuantity2,
								_ =&gt; _.InnerMaterialQuantity3,
								_ =&gt; _.InnerMaterialQuantity4,
								_ =&gt; _.InnerMaterialQuantity5,
								_ =&gt; _.InnerMaterialQuantity6,
								_ =&gt; _.InnerMaterialQuantity7,
								_ =&gt; _.InnerMaterialQuantity8,
								_ =&gt; _.InnerMaterialQuantity9,
								_ =&gt; _.InnerMaterialQuantity10,
								_ =&gt; _.InnerMaterialQuantity11,
								_ =&gt; _.InnerMaterialQuantity12,
								_ =&gt; _.Status,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configuration.CreateMap&lt;InvCkdModuleCaseDto, InvCkdModuleCase&gt;();
  configuration.CreateMap&lt;InvCkdModuleCase, InvCkdModuleCaseDto&gt;();
  configuration.CreateMap&lt;CreateOrEditInvCkdModuleCaseDto, InvCkdModuleCase&gt;();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s="66" t="s">
        <v>362</v>
      </c>
      <c r="B9" t="s">
        <v>358</v>
      </c>
      <c r="C9" t="s">
        <v>1</v>
      </c>
      <c r="D9" t="str">
        <f t="shared" ref="D9" si="0">SUBSTITUTE(PROPER(A9),"_","")</f>
        <v>ModuleNo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MaxModuleNoLength = 12;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[StringLength(MaxModuleNoLength)]
		public virtual string ModuleNo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ModuleNo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[StringLength(InvCkdModuleCaseConsts.MaxModuleNoLength)]
		public virtual string ModuleNo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ModuleNo { get; set; }
</v>
      </c>
      <c r="P9" t="str">
        <f t="shared" ref="P9" si="9">REPT(CHAR(9),7)&amp;D9&amp;" = o." &amp;D9 &amp;","</f>
        <v xml:space="preserve">							ModuleNo = o.ModuleNo,</v>
      </c>
      <c r="T9" s="63" t="str">
        <f t="shared" ref="T9" si="10">REPT(CHAR(9),8)&amp;"("""&amp;D9&amp;"""),"</f>
        <v xml:space="preserve">								("ModuleNo"),</v>
      </c>
      <c r="V9" s="64" t="str">
        <f t="shared" ref="V9" si="11">REPT(CHAR(9),8)&amp;"_ =&gt; _."&amp;D9&amp;","</f>
        <v xml:space="preserve">								_ =&gt; _.ModuleNo,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.WhereIf(!string.IsNullOrWhiteSpace(input.ModuleNo), e =&gt; e.ModuleNo.Contains(input.ModuleNo))</v>
      </c>
    </row>
    <row r="10" spans="1:23" customFormat="1" ht="18.75" customHeight="1" x14ac:dyDescent="0.25">
      <c r="A10" s="66" t="s">
        <v>361</v>
      </c>
      <c r="B10" t="s">
        <v>358</v>
      </c>
      <c r="C10" t="s">
        <v>1</v>
      </c>
      <c r="D10" t="str">
        <f t="shared" ref="D10:D11" si="13">SUBSTITUTE(PROPER(A10),"_","")</f>
        <v>CaseNo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12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MaxCaseNoLength = 12;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[StringLength(MaxCaseNoLength)]
		public virtual string CaseNo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CaseNo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[StringLength(InvCkdModuleCaseConsts.MaxCaseNoLength)]
		public virtual string CaseNo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CaseNo { get; set; }
</v>
      </c>
      <c r="P10" t="str">
        <f t="shared" ref="P10:P11" si="22">REPT(CHAR(9),7)&amp;D10&amp;" = o." &amp;D10 &amp;","</f>
        <v xml:space="preserve">							CaseNo = o.CaseNo,</v>
      </c>
      <c r="T10" s="63" t="str">
        <f t="shared" ref="T10:T11" si="23">REPT(CHAR(9),8)&amp;"("""&amp;D10&amp;"""),"</f>
        <v xml:space="preserve">								("CaseNo"),</v>
      </c>
      <c r="V10" s="64" t="str">
        <f t="shared" ref="V10:V11" si="24">REPT(CHAR(9),8)&amp;"_ =&gt; _."&amp;D10&amp;","</f>
        <v xml:space="preserve">								_ =&gt; _.CaseNo,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.WhereIf(!string.IsNullOrWhiteSpace(input.CaseNo), e =&gt; e.CaseNo.Contains(input.CaseNo))</v>
      </c>
    </row>
    <row r="11" spans="1:23" customFormat="1" ht="18.75" customHeight="1" x14ac:dyDescent="0.25">
      <c r="A11" s="66" t="s">
        <v>363</v>
      </c>
      <c r="B11" t="s">
        <v>364</v>
      </c>
      <c r="C11" t="s">
        <v>1</v>
      </c>
      <c r="D11" t="str">
        <f t="shared" si="13"/>
        <v>ContainerNo</v>
      </c>
      <c r="E11" t="str">
        <f t="shared" si="14"/>
        <v>VARCHAR</v>
      </c>
      <c r="F11" s="6"/>
      <c r="G11" t="str">
        <f t="shared" si="15"/>
        <v>15</v>
      </c>
      <c r="H11" t="str">
        <f>+VLOOKUP(E11,'Data Type Mapping'!A:B,2,)</f>
        <v>string</v>
      </c>
      <c r="I11" t="str">
        <f t="shared" si="16"/>
        <v xml:space="preserve">		public const int MaxContainerNoLength = 15;
</v>
      </c>
      <c r="J11" t="str">
        <f t="shared" si="17"/>
        <v xml:space="preserve">		[StringLength(MaxContainerNoLength)]
		public virtual string ContainerNo { get; set; }
</v>
      </c>
      <c r="K11" s="6"/>
      <c r="L11" t="str">
        <f t="shared" si="18"/>
        <v/>
      </c>
      <c r="M11" t="str">
        <f t="shared" si="19"/>
        <v xml:space="preserve">		public virtual string ContainerNo { get; set; }
</v>
      </c>
      <c r="N11" t="str">
        <f t="shared" si="20"/>
        <v xml:space="preserve">		[StringLength(InvCkdModuleCaseConsts.MaxContainerNoLength)]
		public virtual string ContainerNo { get; set; }
</v>
      </c>
      <c r="O11" t="str">
        <f t="shared" si="21"/>
        <v xml:space="preserve">		public virtual string ContainerNo { get; set; }
</v>
      </c>
      <c r="P11" t="str">
        <f t="shared" si="22"/>
        <v xml:space="preserve">							ContainerNo = o.ContainerNo,</v>
      </c>
      <c r="T11" s="63" t="str">
        <f t="shared" si="23"/>
        <v xml:space="preserve">								("ContainerNo"),</v>
      </c>
      <c r="V11" s="64" t="str">
        <f t="shared" si="24"/>
        <v xml:space="preserve">								_ =&gt; _.ContainerNo,</v>
      </c>
      <c r="W11" s="63" t="str">
        <f t="shared" si="25"/>
        <v xml:space="preserve">				.WhereIf(!string.IsNullOrWhiteSpace(input.ContainerNo), e =&gt; e.ContainerNo.Contains(input.ContainerNo))</v>
      </c>
    </row>
    <row r="12" spans="1:23" customFormat="1" ht="18.75" customHeight="1" x14ac:dyDescent="0.25">
      <c r="A12" s="66" t="s">
        <v>373</v>
      </c>
      <c r="B12" t="s">
        <v>374</v>
      </c>
      <c r="C12" t="s">
        <v>1</v>
      </c>
      <c r="D12" t="str">
        <f t="shared" ref="D12:D15" si="26">SUBSTITUTE(PROPER(A12),"_","")</f>
        <v>Renban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6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MaxRenbanLength = 6;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[StringLength(MaxRenbanLength)]
		public virtual string Renban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Renban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[StringLength(InvCkdModuleCaseConsts.MaxRenbanLength)]
		public virtual string Renban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Renban { get; set; }
</v>
      </c>
      <c r="P12" t="str">
        <f t="shared" ref="P12:P15" si="35">REPT(CHAR(9),7)&amp;D12&amp;" = o." &amp;D12 &amp;","</f>
        <v xml:space="preserve">							Renban = o.Renban,</v>
      </c>
      <c r="T12" s="63" t="str">
        <f t="shared" ref="T12:T15" si="36">REPT(CHAR(9),8)&amp;"("""&amp;D12&amp;"""),"</f>
        <v xml:space="preserve">								("Renban"),</v>
      </c>
      <c r="V12" s="64" t="str">
        <f t="shared" ref="V12:V15" si="37">REPT(CHAR(9),8)&amp;"_ =&gt; _."&amp;D12&amp;","</f>
        <v xml:space="preserve">								_ =&gt; _.Renban,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.WhereIf(!string.IsNullOrWhiteSpace(input.Renban), e =&gt; e.Renban.Contains(input.Renban))</v>
      </c>
    </row>
    <row r="13" spans="1:23" customFormat="1" ht="18.75" customHeight="1" x14ac:dyDescent="0.25">
      <c r="A13" s="66" t="s">
        <v>365</v>
      </c>
      <c r="B13" t="s">
        <v>421</v>
      </c>
      <c r="C13" t="s">
        <v>1</v>
      </c>
      <c r="D13" t="str">
        <f t="shared" si="26"/>
        <v>InvoiceId</v>
      </c>
      <c r="E13" t="str">
        <f t="shared" si="27"/>
        <v>BIGINT</v>
      </c>
      <c r="F13" s="6"/>
      <c r="G13" t="str">
        <f t="shared" si="28"/>
        <v/>
      </c>
      <c r="H13" t="str">
        <f>+VLOOKUP(E13,'Data Type Mapping'!A:B,2,)</f>
        <v>long?</v>
      </c>
      <c r="I13" t="str">
        <f t="shared" si="29"/>
        <v/>
      </c>
      <c r="J13" t="str">
        <f t="shared" si="30"/>
        <v xml:space="preserve">		public virtual long? InvoiceId { get; set; }
</v>
      </c>
      <c r="K13" s="6"/>
      <c r="L13" t="str">
        <f t="shared" si="31"/>
        <v/>
      </c>
      <c r="M13" t="str">
        <f t="shared" si="32"/>
        <v xml:space="preserve">		public virtual long? InvoiceId { get; set; }
</v>
      </c>
      <c r="N13" t="str">
        <f t="shared" si="33"/>
        <v xml:space="preserve">		public virtual long? InvoiceId { get; set; }
</v>
      </c>
      <c r="O13" t="str">
        <f t="shared" si="34"/>
        <v/>
      </c>
      <c r="P13" t="str">
        <f t="shared" si="35"/>
        <v xml:space="preserve">							InvoiceId = o.InvoiceId,</v>
      </c>
      <c r="T13" s="63" t="str">
        <f t="shared" si="36"/>
        <v xml:space="preserve">								("InvoiceId"),</v>
      </c>
      <c r="V13" s="64" t="str">
        <f t="shared" si="37"/>
        <v xml:space="preserve">								_ =&gt; _.InvoiceId,</v>
      </c>
      <c r="W13" s="63" t="str">
        <f t="shared" si="38"/>
        <v/>
      </c>
    </row>
    <row r="14" spans="1:23" customFormat="1" ht="18.75" customHeight="1" x14ac:dyDescent="0.25">
      <c r="A14" s="66" t="s">
        <v>359</v>
      </c>
      <c r="B14" t="s">
        <v>360</v>
      </c>
      <c r="C14" t="s">
        <v>1</v>
      </c>
      <c r="D14" t="str">
        <f t="shared" si="26"/>
        <v>LotNo</v>
      </c>
      <c r="E14" t="str">
        <f t="shared" si="27"/>
        <v>VARCHAR</v>
      </c>
      <c r="F14" s="6"/>
      <c r="G14" t="str">
        <f t="shared" si="28"/>
        <v>10</v>
      </c>
      <c r="H14" t="str">
        <f>+VLOOKUP(E14,'Data Type Mapping'!A:B,2,)</f>
        <v>string</v>
      </c>
      <c r="I14" t="str">
        <f t="shared" si="29"/>
        <v xml:space="preserve">		public const int MaxLotNoLength = 10;
</v>
      </c>
      <c r="J14" t="str">
        <f t="shared" si="30"/>
        <v xml:space="preserve">		[StringLength(MaxLotNoLength)]
		public virtual string LotNo { get; set; }
</v>
      </c>
      <c r="K14" s="6"/>
      <c r="L14" t="str">
        <f t="shared" si="31"/>
        <v/>
      </c>
      <c r="M14" t="str">
        <f t="shared" si="32"/>
        <v xml:space="preserve">		public virtual string LotNo { get; set; }
</v>
      </c>
      <c r="N14" t="str">
        <f t="shared" si="33"/>
        <v xml:space="preserve">		[StringLength(InvCkdModuleCaseConsts.MaxLotNoLength)]
		public virtual string LotNo { get; set; }
</v>
      </c>
      <c r="O14" t="str">
        <f t="shared" si="34"/>
        <v xml:space="preserve">		public virtual string LotNo { get; set; }
</v>
      </c>
      <c r="P14" t="str">
        <f t="shared" si="35"/>
        <v xml:space="preserve">							LotNo = o.LotNo,</v>
      </c>
      <c r="T14" s="63" t="str">
        <f t="shared" si="36"/>
        <v xml:space="preserve">								("LotNo"),</v>
      </c>
      <c r="V14" s="64" t="str">
        <f t="shared" si="37"/>
        <v xml:space="preserve">								_ =&gt; _.LotNo,</v>
      </c>
      <c r="W14" s="63" t="str">
        <f t="shared" si="38"/>
        <v xml:space="preserve">				.WhereIf(!string.IsNullOrWhiteSpace(input.LotNo), e =&gt; e.LotNo.Contains(input.LotNo))</v>
      </c>
    </row>
    <row r="15" spans="1:23" customFormat="1" ht="18.75" customHeight="1" x14ac:dyDescent="0.25">
      <c r="A15" s="66" t="s">
        <v>351</v>
      </c>
      <c r="B15" t="s">
        <v>360</v>
      </c>
      <c r="C15" t="s">
        <v>1</v>
      </c>
      <c r="D15" t="str">
        <f t="shared" si="26"/>
        <v>SupplierNo</v>
      </c>
      <c r="E15" t="str">
        <f t="shared" si="27"/>
        <v>VARCHAR</v>
      </c>
      <c r="F15" s="6"/>
      <c r="G15" t="str">
        <f t="shared" si="28"/>
        <v>10</v>
      </c>
      <c r="H15" t="str">
        <f>+VLOOKUP(E15,'Data Type Mapping'!A:B,2,)</f>
        <v>string</v>
      </c>
      <c r="I15" t="str">
        <f t="shared" si="29"/>
        <v xml:space="preserve">		public const int MaxSupplierNoLength = 10;
</v>
      </c>
      <c r="J15" t="str">
        <f t="shared" si="30"/>
        <v xml:space="preserve">		[StringLength(MaxSupplierNoLength)]
		public virtual string SupplierNo { get; set; }
</v>
      </c>
      <c r="K15" s="6"/>
      <c r="L15" t="str">
        <f t="shared" si="31"/>
        <v/>
      </c>
      <c r="M15" t="str">
        <f t="shared" si="32"/>
        <v xml:space="preserve">		public virtual string SupplierNo { get; set; }
</v>
      </c>
      <c r="N15" t="str">
        <f t="shared" si="33"/>
        <v xml:space="preserve">		[StringLength(InvCkdModuleCaseConsts.MaxSupplierNoLength)]
		public virtual string SupplierNo { get; set; }
</v>
      </c>
      <c r="O15" t="str">
        <f t="shared" si="34"/>
        <v xml:space="preserve">		public virtual string SupplierNo { get; set; }
</v>
      </c>
      <c r="P15" t="str">
        <f t="shared" si="35"/>
        <v xml:space="preserve">							SupplierNo = o.SupplierNo,</v>
      </c>
      <c r="T15" s="63" t="str">
        <f t="shared" si="36"/>
        <v xml:space="preserve">								("SupplierNo"),</v>
      </c>
      <c r="V15" s="64" t="str">
        <f t="shared" si="37"/>
        <v xml:space="preserve">								_ =&gt; _.SupplierNo,</v>
      </c>
      <c r="W15" s="63" t="str">
        <f t="shared" si="38"/>
        <v xml:space="preserve">				.WhereIf(!string.IsNullOrWhiteSpace(input.SupplierNo), e =&gt; e.SupplierNo.Contains(input.SupplierNo))</v>
      </c>
    </row>
    <row r="16" spans="1:23" customFormat="1" ht="18.75" customHeight="1" x14ac:dyDescent="0.25">
      <c r="A16" s="22" t="s">
        <v>414</v>
      </c>
      <c r="B16" t="s">
        <v>421</v>
      </c>
      <c r="C16" t="s">
        <v>1</v>
      </c>
      <c r="D16" t="str">
        <f>SUBSTITUTE(PROPER(A16),"_","")</f>
        <v>ContainerListId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ContainerListId { get; set; }
</v>
      </c>
      <c r="K16" s="6"/>
      <c r="L16" t="str">
        <f>IF(K16="","",REPT(CHAR(9),1)&amp;"[Index(nameof("&amp;IF(D16="","",""&amp;D16)&amp;")"&amp;", Name="&amp;"""IX_"&amp;$B$7&amp;"_"&amp;D16&amp;""")]")</f>
        <v/>
      </c>
      <c r="M16" t="str">
        <f>REPT(CHAR(9),2)&amp;"public virtual "&amp;IF(OR(H16="DateTime",H16="TimeSpan"),H16&amp;"?",H16)&amp;IF(C16="?","? "," ")&amp;D16&amp;" { get; set; }" &amp; "
"</f>
        <v xml:space="preserve">		public virtual long? ContainerListId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ContainerListId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ContainerListId = o.ContainerListId,</v>
      </c>
      <c r="T16" s="63" t="str">
        <f>REPT(CHAR(9),8)&amp;"("""&amp;D16&amp;"""),"</f>
        <v xml:space="preserve">								("ContainerListId"),</v>
      </c>
      <c r="V16" s="64" t="str">
        <f>REPT(CHAR(9),8)&amp;"_ =&gt; _."&amp;D16&amp;","</f>
        <v xml:space="preserve">								_ =&gt; _.ContainerListId,</v>
      </c>
      <c r="W16" s="63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s="22" t="s">
        <v>419</v>
      </c>
      <c r="B17" t="s">
        <v>358</v>
      </c>
      <c r="C17" t="s">
        <v>1</v>
      </c>
      <c r="D17" t="str">
        <f t="shared" ref="D17" si="39">SUBSTITUTE(PROPER(A17),"_","")</f>
        <v>ModuleCaseNo</v>
      </c>
      <c r="E17" t="str">
        <f t="shared" ref="E17" si="40">IFERROR(LEFT(B17, FIND("(",B17)-1),B17)</f>
        <v>VARCHAR</v>
      </c>
      <c r="F17" s="6"/>
      <c r="G17" t="str">
        <f t="shared" ref="G17" si="41">IFERROR(MID(B17,FIND("(",B17) +1, FIND(")",B17) - FIND("(",B17) - 1),"")</f>
        <v>12</v>
      </c>
      <c r="H17" t="str">
        <f>+VLOOKUP(E17,'Data Type Mapping'!A:B,2,)</f>
        <v>string</v>
      </c>
      <c r="I17" t="str">
        <f t="shared" ref="I17" si="42">IF(H17="string",REPT(CHAR(9),2)&amp;"public const int Max"&amp;D17&amp;"Length = "&amp;G17&amp;";"&amp;$E$3,"" )</f>
        <v xml:space="preserve">		public const int MaxModuleCaseNoLength = 12;
</v>
      </c>
      <c r="J17" t="str">
        <f t="shared" ref="J17" si="43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[StringLength(MaxModuleCaseNoLength)]
		public virtual string ModuleCaseNo { get; set; }
</v>
      </c>
      <c r="K17" s="6"/>
      <c r="L17" t="str">
        <f t="shared" ref="L17" si="44">IF(K17="","",REPT(CHAR(9),1)&amp;"[Index(nameof("&amp;IF(D17="","",""&amp;D17)&amp;")"&amp;", Name="&amp;"""IX_"&amp;$B$7&amp;"_"&amp;D17&amp;""")]")</f>
        <v/>
      </c>
      <c r="M17" t="str">
        <f t="shared" ref="M17" si="45">REPT(CHAR(9),2)&amp;"public virtual "&amp;IF(OR(H17="DateTime",H17="TimeSpan"),H17&amp;"?",H17)&amp;IF(C17="?","? "," ")&amp;D17&amp;" { get; set; }" &amp; "
"</f>
        <v xml:space="preserve">		public virtual string ModuleCaseNo { get; set; }
</v>
      </c>
      <c r="N17" t="str">
        <f t="shared" ref="N17" si="4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[StringLength(InvCkdModuleCaseConsts.MaxModuleCaseNoLength)]
		public virtual string ModuleCaseNo { get; set; }
</v>
      </c>
      <c r="O17" t="str">
        <f t="shared" ref="O17" si="47">IF(OR(H17="string",H17="DateTime",H17="int"),REPT(CHAR(9),2)&amp;"public virtual "&amp;IF(OR(H17="DateTime",H17="TimeSpan"),H17&amp;"?",H17)&amp;IF(C17="?","? "," ")&amp;D17&amp;" { get; set; }"&amp;$E$3,"")</f>
        <v xml:space="preserve">		public virtual string ModuleCaseNo { get; set; }
</v>
      </c>
      <c r="P17" t="str">
        <f t="shared" ref="P17" si="48">REPT(CHAR(9),7)&amp;D17&amp;" = o." &amp;D17 &amp;","</f>
        <v xml:space="preserve">							ModuleCaseNo = o.ModuleCaseNo,</v>
      </c>
      <c r="T17" s="63" t="str">
        <f t="shared" ref="T17" si="49">REPT(CHAR(9),8)&amp;"("""&amp;D17&amp;"""),"</f>
        <v xml:space="preserve">								("ModuleCaseNo"),</v>
      </c>
      <c r="V17" s="64" t="str">
        <f t="shared" ref="V17" si="50">REPT(CHAR(9),8)&amp;"_ =&gt; _."&amp;D17&amp;","</f>
        <v xml:space="preserve">								_ =&gt; _.ModuleCaseNo,</v>
      </c>
      <c r="W17" s="63" t="str">
        <f t="shared" ref="W17" si="5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.WhereIf(!string.IsNullOrWhiteSpace(input.ModuleCaseNo), e =&gt; e.ModuleCaseNo.Contains(input.ModuleCaseNo))</v>
      </c>
    </row>
    <row r="18" spans="1:23" customFormat="1" ht="18.75" customHeight="1" x14ac:dyDescent="0.25">
      <c r="A18" s="22" t="s">
        <v>427</v>
      </c>
      <c r="B18" t="s">
        <v>428</v>
      </c>
      <c r="C18" t="s">
        <v>1</v>
      </c>
      <c r="D18" t="str">
        <f t="shared" ref="D18" si="52">SUBSTITUTE(PROPER(A18),"_","")</f>
        <v>InvoiceNo</v>
      </c>
      <c r="E18" t="str">
        <f t="shared" ref="E18" si="53">IFERROR(LEFT(B18, FIND("(",B18)-1),B18)</f>
        <v>VARCHAR</v>
      </c>
      <c r="F18" s="6"/>
      <c r="G18" t="str">
        <f t="shared" ref="G18" si="54">IFERROR(MID(B18,FIND("(",B18) +1, FIND(")",B18) - FIND("(",B18) - 1),"")</f>
        <v>20</v>
      </c>
      <c r="H18" t="str">
        <f>+VLOOKUP(E18,'Data Type Mapping'!A:B,2,)</f>
        <v>string</v>
      </c>
      <c r="I18" t="str">
        <f t="shared" ref="I18" si="55">IF(H18="string",REPT(CHAR(9),2)&amp;"public const int Max"&amp;D18&amp;"Length = "&amp;G18&amp;";"&amp;$E$3,"" )</f>
        <v xml:space="preserve">		public const int MaxInvoiceNoLength = 20;
</v>
      </c>
      <c r="J18" t="str">
        <f t="shared" ref="J18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[StringLength(MaxInvoiceNoLength)]
		public virtual string InvoiceNo { get; set; }
</v>
      </c>
      <c r="K18" s="6"/>
      <c r="L18" t="str">
        <f t="shared" ref="L18" si="57">IF(K18="","",REPT(CHAR(9),1)&amp;"[Index(nameof("&amp;IF(D18="","",""&amp;D18)&amp;")"&amp;", Name="&amp;"""IX_"&amp;$B$7&amp;"_"&amp;D18&amp;""")]")</f>
        <v/>
      </c>
      <c r="M18" t="str">
        <f t="shared" ref="M18" si="58">REPT(CHAR(9),2)&amp;"public virtual "&amp;IF(OR(H18="DateTime",H18="TimeSpan"),H18&amp;"?",H18)&amp;IF(C18="?","? "," ")&amp;D18&amp;" { get; set; }" &amp; "
"</f>
        <v xml:space="preserve">		public virtual string InvoiceNo { get; set; }
</v>
      </c>
      <c r="N18" t="str">
        <f t="shared" ref="N18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[StringLength(InvCkdModuleCaseConsts.MaxInvoiceNoLength)]
		public virtual string InvoiceNo { get; set; }
</v>
      </c>
      <c r="O18" t="str">
        <f t="shared" ref="O18" si="60">IF(OR(H18="string",H18="DateTime",H18="int"),REPT(CHAR(9),2)&amp;"public virtual "&amp;IF(OR(H18="DateTime",H18="TimeSpan"),H18&amp;"?",H18)&amp;IF(C18="?","? "," ")&amp;D18&amp;" { get; set; }"&amp;$E$3,"")</f>
        <v xml:space="preserve">		public virtual string InvoiceNo { get; set; }
</v>
      </c>
      <c r="P18" t="str">
        <f t="shared" ref="P18" si="61">REPT(CHAR(9),7)&amp;D18&amp;" = o." &amp;D18 &amp;","</f>
        <v xml:space="preserve">							InvoiceNo = o.InvoiceNo,</v>
      </c>
      <c r="T18" s="63" t="str">
        <f t="shared" ref="T18" si="62">REPT(CHAR(9),8)&amp;"("""&amp;D18&amp;"""),"</f>
        <v xml:space="preserve">								("InvoiceNo"),</v>
      </c>
      <c r="V18" s="64" t="str">
        <f t="shared" ref="V18" si="63">REPT(CHAR(9),8)&amp;"_ =&gt; _."&amp;D18&amp;","</f>
        <v xml:space="preserve">								_ =&gt; _.InvoiceNo,</v>
      </c>
      <c r="W18" s="63" t="str">
        <f t="shared" ref="W18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.WhereIf(!string.IsNullOrWhiteSpace(input.InvoiceNo), e =&gt; e.InvoiceNo.Contains(input.InvoiceNo))</v>
      </c>
    </row>
    <row r="19" spans="1:23" customFormat="1" ht="18.75" customHeight="1" x14ac:dyDescent="0.25">
      <c r="A19" s="22" t="s">
        <v>429</v>
      </c>
      <c r="B19" t="s">
        <v>368</v>
      </c>
      <c r="C19" t="s">
        <v>1</v>
      </c>
      <c r="D19" t="str">
        <f t="shared" ref="D19" si="65">SUBSTITUTE(PROPER(A19),"_","")</f>
        <v>CdDate</v>
      </c>
      <c r="E19" t="str">
        <f t="shared" ref="E19" si="66">IFERROR(LEFT(B19, FIND("(",B19)-1),B19)</f>
        <v>DATE</v>
      </c>
      <c r="F19" s="6"/>
      <c r="G19" t="str">
        <f t="shared" ref="G19" si="67">IFERROR(MID(B19,FIND("(",B19) +1, FIND(")",B19) - FIND("(",B19) - 1),"")</f>
        <v/>
      </c>
      <c r="H19" t="str">
        <f>+VLOOKUP(E19,'Data Type Mapping'!A:B,2,)</f>
        <v>DateTime?</v>
      </c>
      <c r="I19" t="str">
        <f t="shared" ref="I19" si="68">IF(H19="string",REPT(CHAR(9),2)&amp;"public const int Max"&amp;D19&amp;"Length = "&amp;G19&amp;";"&amp;$E$3,"" )</f>
        <v/>
      </c>
      <c r="J19" t="str">
        <f t="shared" ref="J19" si="69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DateTime? CdDate { get; set; }
</v>
      </c>
      <c r="K19" s="6"/>
      <c r="L19" t="str">
        <f t="shared" ref="L19" si="70">IF(K19="","",REPT(CHAR(9),1)&amp;"[Index(nameof("&amp;IF(D19="","",""&amp;D19)&amp;")"&amp;", Name="&amp;"""IX_"&amp;$B$7&amp;"_"&amp;D19&amp;""")]")</f>
        <v/>
      </c>
      <c r="M19" t="str">
        <f t="shared" ref="M19" si="71">REPT(CHAR(9),2)&amp;"public virtual "&amp;IF(OR(H19="DateTime",H19="TimeSpan"),H19&amp;"?",H19)&amp;IF(C19="?","? "," ")&amp;D19&amp;" { get; set; }" &amp; "
"</f>
        <v xml:space="preserve">		public virtual DateTime? CdDate { get; set; }
</v>
      </c>
      <c r="N19" t="str">
        <f t="shared" ref="N19" si="72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DateTime? CdDate { get; set; }
</v>
      </c>
      <c r="O19" t="str">
        <f t="shared" ref="O19" si="73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" si="74">REPT(CHAR(9),7)&amp;D19&amp;" = o." &amp;D19 &amp;","</f>
        <v xml:space="preserve">							CdDate = o.CdDate,</v>
      </c>
      <c r="T19" s="63" t="str">
        <f t="shared" ref="T19" si="75">REPT(CHAR(9),8)&amp;"("""&amp;D19&amp;"""),"</f>
        <v xml:space="preserve">								("CdDate"),</v>
      </c>
      <c r="V19" s="64" t="str">
        <f t="shared" ref="V19" si="76">REPT(CHAR(9),8)&amp;"_ =&gt; _."&amp;D19&amp;","</f>
        <v xml:space="preserve">								_ =&gt; _.CdDate,</v>
      </c>
      <c r="W19" s="63" t="str">
        <f t="shared" ref="W19" si="77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</row>
    <row r="20" spans="1:23" customFormat="1" ht="18.75" customHeight="1" x14ac:dyDescent="0.25">
      <c r="A20" s="22" t="s">
        <v>420</v>
      </c>
      <c r="B20" t="s">
        <v>358</v>
      </c>
      <c r="C20" t="s">
        <v>1</v>
      </c>
      <c r="D20" t="str">
        <f>SUBSTITUTE(PROPER(A20),"_","")</f>
        <v>StorageLocationCode</v>
      </c>
      <c r="E20" t="str">
        <f>IFERROR(LEFT(B20, FIND("(",B20)-1),B20)</f>
        <v>VARCHAR</v>
      </c>
      <c r="F20" s="6"/>
      <c r="G20" t="str">
        <f>IFERROR(MID(B20,FIND("(",B20) +1, FIND(")",B20) - FIND("(",B20) - 1),"")</f>
        <v>12</v>
      </c>
      <c r="H20" t="str">
        <f>+VLOOKUP(E20,'Data Type Mapping'!A:B,2,)</f>
        <v>string</v>
      </c>
      <c r="I20" t="str">
        <f>IF(H20="string",REPT(CHAR(9),2)&amp;"public const int Max"&amp;D20&amp;"Length = "&amp;G20&amp;";"&amp;$E$3,"" )</f>
        <v xml:space="preserve">		public const int MaxStorageLocationCodeLength = 12;
</v>
      </c>
      <c r="J20" t="str">
        <f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[StringLength(MaxStorageLocationCodeLength)]
		public virtual string StorageLocationCode { get; set; }
</v>
      </c>
      <c r="K20" s="6"/>
      <c r="L20" t="str">
        <f>IF(K20="","",REPT(CHAR(9),1)&amp;"[Index(nameof("&amp;IF(D20="","",""&amp;D20)&amp;")"&amp;", Name="&amp;"""IX_"&amp;$B$7&amp;"_"&amp;D20&amp;""")]")</f>
        <v/>
      </c>
      <c r="M20" t="str">
        <f>REPT(CHAR(9),2)&amp;"public virtual "&amp;IF(OR(H20="DateTime",H20="TimeSpan"),H20&amp;"?",H20)&amp;IF(C20="?","? "," ")&amp;D20&amp;" { get; set; }" &amp; "
"</f>
        <v xml:space="preserve">		public virtual string StorageLocationCode { get; set; }
</v>
      </c>
      <c r="N20" t="str">
        <f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[StringLength(InvCkdModuleCaseConsts.MaxStorageLocationCodeLength)]
		public virtual string StorageLocationCode { get; set; }
</v>
      </c>
      <c r="O20" t="str">
        <f>IF(OR(H20="string",H20="DateTime",H20="int"),REPT(CHAR(9),2)&amp;"public virtual "&amp;IF(OR(H20="DateTime",H20="TimeSpan"),H20&amp;"?",H20)&amp;IF(C20="?","? "," ")&amp;D20&amp;" { get; set; }"&amp;$E$3,"")</f>
        <v xml:space="preserve">		public virtual string StorageLocationCode { get; set; }
</v>
      </c>
      <c r="P20" t="str">
        <f>REPT(CHAR(9),7)&amp;D20&amp;" = o." &amp;D20 &amp;","</f>
        <v xml:space="preserve">							StorageLocationCode = o.StorageLocationCode,</v>
      </c>
      <c r="T20" s="63" t="str">
        <f>REPT(CHAR(9),8)&amp;"("""&amp;D20&amp;"""),"</f>
        <v xml:space="preserve">								("StorageLocationCode"),</v>
      </c>
      <c r="V20" s="64" t="str">
        <f>REPT(CHAR(9),8)&amp;"_ =&gt; _."&amp;D20&amp;","</f>
        <v xml:space="preserve">								_ =&gt; _.StorageLocationCode,</v>
      </c>
      <c r="W20" s="63" t="str">
        <f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.WhereIf(!string.IsNullOrWhiteSpace(input.StorageLocationCode), e =&gt; e.StorageLocationCode.Contains(input.StorageLocationCode))</v>
      </c>
    </row>
    <row r="21" spans="1:23" customFormat="1" ht="18.75" customHeight="1" x14ac:dyDescent="0.25">
      <c r="A21" s="22" t="s">
        <v>422</v>
      </c>
      <c r="B21" t="s">
        <v>421</v>
      </c>
      <c r="C21" t="s">
        <v>1</v>
      </c>
      <c r="D21" t="str">
        <f>SUBSTITUTE(PROPER(A21),"_","")</f>
        <v>LocationId</v>
      </c>
      <c r="E21" t="str">
        <f>IFERROR(LEFT(B21, FIND("(",B21)-1),B21)</f>
        <v>BIGINT</v>
      </c>
      <c r="F21" s="6"/>
      <c r="G21" t="str">
        <f>IFERROR(MID(B21,FIND("(",B21) +1, FIND(")",B21) - FIND("(",B21) - 1),"")</f>
        <v/>
      </c>
      <c r="H21" t="str">
        <f>+VLOOKUP(E21,'Data Type Mapping'!A:B,2,)</f>
        <v>long?</v>
      </c>
      <c r="I21" t="str">
        <f>IF(H21="string",REPT(CHAR(9),2)&amp;"public const int Max"&amp;D21&amp;"Length = "&amp;G21&amp;";"&amp;$E$3,"" )</f>
        <v/>
      </c>
      <c r="J21" t="str">
        <f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long? LocationId { get; set; }
</v>
      </c>
      <c r="K21" s="6"/>
      <c r="L21" t="str">
        <f>IF(K21="","",REPT(CHAR(9),1)&amp;"[Index(nameof("&amp;IF(D21="","",""&amp;D21)&amp;")"&amp;", Name="&amp;"""IX_"&amp;$B$7&amp;"_"&amp;D21&amp;""")]")</f>
        <v/>
      </c>
      <c r="M21" t="str">
        <f>REPT(CHAR(9),2)&amp;"public virtual "&amp;IF(OR(H21="DateTime",H21="TimeSpan"),H21&amp;"?",H21)&amp;IF(C21="?","? "," ")&amp;D21&amp;" { get; set; }" &amp; "
"</f>
        <v xml:space="preserve">		public virtual long? LocationId { get; set; }
</v>
      </c>
      <c r="N21" t="str">
        <f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long? LocationId { get; set; }
</v>
      </c>
      <c r="O21" t="str">
        <f>IF(OR(H21="string",H21="DateTime",H21="int"),REPT(CHAR(9),2)&amp;"public virtual "&amp;IF(OR(H21="DateTime",H21="TimeSpan"),H21&amp;"?",H21)&amp;IF(C21="?","? "," ")&amp;D21&amp;" { get; set; }"&amp;$E$3,"")</f>
        <v/>
      </c>
      <c r="P21" t="str">
        <f>REPT(CHAR(9),7)&amp;D21&amp;" = o." &amp;D21 &amp;","</f>
        <v xml:space="preserve">							LocationId = o.LocationId,</v>
      </c>
      <c r="T21" s="63" t="str">
        <f>REPT(CHAR(9),8)&amp;"("""&amp;D21&amp;"""),"</f>
        <v xml:space="preserve">								("LocationId"),</v>
      </c>
      <c r="V21" s="64" t="str">
        <f>REPT(CHAR(9),8)&amp;"_ =&gt; _."&amp;D21&amp;","</f>
        <v xml:space="preserve">								_ =&gt; _.LocationId,</v>
      </c>
      <c r="W21" s="63" t="str">
        <f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s="22" t="s">
        <v>424</v>
      </c>
      <c r="B22" t="s">
        <v>368</v>
      </c>
      <c r="C22" t="s">
        <v>1</v>
      </c>
      <c r="D22" t="str">
        <f>SUBSTITUTE(PROPER(A22),"_","")</f>
        <v>LocationDate</v>
      </c>
      <c r="E22" t="str">
        <f>IFERROR(LEFT(B22, FIND("(",B22)-1),B22)</f>
        <v>DATE</v>
      </c>
      <c r="F22" s="6"/>
      <c r="G22" t="str">
        <f>IFERROR(MID(B22,FIND("(",B22) +1, FIND(")",B22) - FIND("(",B22) - 1),"")</f>
        <v/>
      </c>
      <c r="H22" t="str">
        <f>+VLOOKUP(E22,'Data Type Mapping'!A:B,2,)</f>
        <v>DateTime?</v>
      </c>
      <c r="I22" t="str">
        <f>IF(H22="string",REPT(CHAR(9),2)&amp;"public const int Max"&amp;D22&amp;"Length = "&amp;G22&amp;";"&amp;$E$3,"" )</f>
        <v/>
      </c>
      <c r="J22" t="str">
        <f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DateTime? LocationDate { get; set; }
</v>
      </c>
      <c r="K22" s="6"/>
      <c r="L22" t="str">
        <f>IF(K22="","",REPT(CHAR(9),1)&amp;"[Index(nameof("&amp;IF(D22="","",""&amp;D22)&amp;")"&amp;", Name="&amp;"""IX_"&amp;$B$7&amp;"_"&amp;D22&amp;""")]")</f>
        <v/>
      </c>
      <c r="M22" t="str">
        <f>REPT(CHAR(9),2)&amp;"public virtual "&amp;IF(OR(H22="DateTime",H22="TimeSpan"),H22&amp;"?",H22)&amp;IF(C22="?","? "," ")&amp;D22&amp;" { get; set; }" &amp; "
"</f>
        <v xml:space="preserve">		public virtual DateTime? LocationDate { get; set; }
</v>
      </c>
      <c r="N22" t="str">
        <f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DateTime? LocationDate { get; set; }
</v>
      </c>
      <c r="O22" t="str">
        <f>IF(OR(H22="string",H22="DateTime",H22="int"),REPT(CHAR(9),2)&amp;"public virtual "&amp;IF(OR(H22="DateTime",H22="TimeSpan"),H22&amp;"?",H22)&amp;IF(C22="?","? "," ")&amp;D22&amp;" { get; set; }"&amp;$E$3,"")</f>
        <v/>
      </c>
      <c r="P22" t="str">
        <f>REPT(CHAR(9),7)&amp;D22&amp;" = o." &amp;D22 &amp;","</f>
        <v xml:space="preserve">							LocationDate = o.LocationDate,</v>
      </c>
      <c r="T22" s="63" t="str">
        <f>REPT(CHAR(9),8)&amp;"("""&amp;D22&amp;"""),"</f>
        <v xml:space="preserve">								("LocationDate"),</v>
      </c>
      <c r="V22" s="64" t="str">
        <f>REPT(CHAR(9),8)&amp;"_ =&gt; _."&amp;D22&amp;","</f>
        <v xml:space="preserve">								_ =&gt; _.LocationDate,</v>
      </c>
      <c r="W22" s="63" t="str">
        <f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18.75" customHeight="1" x14ac:dyDescent="0.25">
      <c r="A23" s="22" t="s">
        <v>423</v>
      </c>
      <c r="B23" t="s">
        <v>425</v>
      </c>
      <c r="C23" t="s">
        <v>1</v>
      </c>
      <c r="D23" t="str">
        <f>SUBSTITUTE(PROPER(A23),"_","")</f>
        <v>LocationBy</v>
      </c>
      <c r="E23" t="str">
        <f>IFERROR(LEFT(B23, FIND("(",B23)-1),B23)</f>
        <v>VARCHAR</v>
      </c>
      <c r="F23" s="6"/>
      <c r="G23" t="str">
        <f>IFERROR(MID(B23,FIND("(",B23) +1, FIND(")",B23) - FIND("(",B23) - 1),"")</f>
        <v>50</v>
      </c>
      <c r="H23" t="str">
        <f>+VLOOKUP(E23,'Data Type Mapping'!A:B,2,)</f>
        <v>string</v>
      </c>
      <c r="I23" t="str">
        <f>IF(H23="string",REPT(CHAR(9),2)&amp;"public const int Max"&amp;D23&amp;"Length = "&amp;G23&amp;";"&amp;$E$3,"" )</f>
        <v xml:space="preserve">		public const int MaxLocationByLength = 50;
</v>
      </c>
      <c r="J23" t="str">
        <f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[StringLength(MaxLocationByLength)]
		public virtual string LocationBy { get; set; }
</v>
      </c>
      <c r="K23" s="6"/>
      <c r="L23" t="str">
        <f>IF(K23="","",REPT(CHAR(9),1)&amp;"[Index(nameof("&amp;IF(D23="","",""&amp;D23)&amp;")"&amp;", Name="&amp;"""IX_"&amp;$B$7&amp;"_"&amp;D23&amp;""")]")</f>
        <v/>
      </c>
      <c r="M23" t="str">
        <f>REPT(CHAR(9),2)&amp;"public virtual "&amp;IF(OR(H23="DateTime",H23="TimeSpan"),H23&amp;"?",H23)&amp;IF(C23="?","? "," ")&amp;D23&amp;" { get; set; }" &amp; "
"</f>
        <v xml:space="preserve">		public virtual string LocationBy { get; set; }
</v>
      </c>
      <c r="N23" t="str">
        <f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[StringLength(InvCkdModuleCaseConsts.MaxLocationByLength)]
		public virtual string LocationBy { get; set; }
</v>
      </c>
      <c r="O23" t="str">
        <f>IF(OR(H23="string",H23="DateTime",H23="int"),REPT(CHAR(9),2)&amp;"public virtual "&amp;IF(OR(H23="DateTime",H23="TimeSpan"),H23&amp;"?",H23)&amp;IF(C23="?","? "," ")&amp;D23&amp;" { get; set; }"&amp;$E$3,"")</f>
        <v xml:space="preserve">		public virtual string LocationBy { get; set; }
</v>
      </c>
      <c r="P23" t="str">
        <f>REPT(CHAR(9),7)&amp;D23&amp;" = o." &amp;D23 &amp;","</f>
        <v xml:space="preserve">							LocationBy = o.LocationBy,</v>
      </c>
      <c r="T23" s="63" t="str">
        <f>REPT(CHAR(9),8)&amp;"("""&amp;D23&amp;"""),"</f>
        <v xml:space="preserve">								("LocationBy"),</v>
      </c>
      <c r="V23" s="64" t="str">
        <f>REPT(CHAR(9),8)&amp;"_ =&gt; _."&amp;D23&amp;","</f>
        <v xml:space="preserve">								_ =&gt; _.LocationBy,</v>
      </c>
      <c r="W23" s="63" t="str">
        <f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.WhereIf(!string.IsNullOrWhiteSpace(input.LocationBy), e =&gt; e.LocationBy.Contains(input.LocationBy))</v>
      </c>
    </row>
    <row r="24" spans="1:23" customFormat="1" ht="18.75" customHeight="1" x14ac:dyDescent="0.25">
      <c r="A24" s="22" t="s">
        <v>416</v>
      </c>
      <c r="B24" t="s">
        <v>368</v>
      </c>
      <c r="C24" t="s">
        <v>1</v>
      </c>
      <c r="D24" t="str">
        <f t="shared" ref="D24" si="78">SUBSTITUTE(PROPER(A24),"_","")</f>
        <v>UnpackingDate</v>
      </c>
      <c r="E24" t="str">
        <f t="shared" ref="E24" si="79">IFERROR(LEFT(B24, FIND("(",B24)-1),B24)</f>
        <v>DATE</v>
      </c>
      <c r="F24" s="6"/>
      <c r="G24" t="str">
        <f t="shared" ref="G24" si="80">IFERROR(MID(B24,FIND("(",B24) +1, FIND(")",B24) - FIND("(",B24) - 1),"")</f>
        <v/>
      </c>
      <c r="H24" t="str">
        <f>+VLOOKUP(E24,'Data Type Mapping'!A:B,2,)</f>
        <v>DateTime?</v>
      </c>
      <c r="I24" t="str">
        <f t="shared" ref="I24" si="81">IF(H24="string",REPT(CHAR(9),2)&amp;"public const int Max"&amp;D24&amp;"Length = "&amp;G24&amp;";"&amp;$E$3,"" )</f>
        <v/>
      </c>
      <c r="J24" t="str">
        <f t="shared" ref="J24" si="82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DateTime? UnpackingDate { get; set; }
</v>
      </c>
      <c r="K24" s="6"/>
      <c r="L24" t="str">
        <f t="shared" ref="L24" si="83">IF(K24="","",REPT(CHAR(9),1)&amp;"[Index(nameof("&amp;IF(D24="","",""&amp;D24)&amp;")"&amp;", Name="&amp;"""IX_"&amp;$B$7&amp;"_"&amp;D24&amp;""")]")</f>
        <v/>
      </c>
      <c r="M24" t="str">
        <f t="shared" ref="M24" si="84">REPT(CHAR(9),2)&amp;"public virtual "&amp;IF(OR(H24="DateTime",H24="TimeSpan"),H24&amp;"?",H24)&amp;IF(C24="?","? "," ")&amp;D24&amp;" { get; set; }" &amp; "
"</f>
        <v xml:space="preserve">		public virtual DateTime? UnpackingDate { get; set; }
</v>
      </c>
      <c r="N24" t="str">
        <f t="shared" ref="N24" si="85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DateTime? UnpackingDate { get; set; }
</v>
      </c>
      <c r="O24" t="str">
        <f t="shared" ref="O24" si="86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" si="87">REPT(CHAR(9),7)&amp;D24&amp;" = o." &amp;D24 &amp;","</f>
        <v xml:space="preserve">							UnpackingDate = o.UnpackingDate,</v>
      </c>
      <c r="T24" s="63" t="str">
        <f t="shared" ref="T24" si="88">REPT(CHAR(9),8)&amp;"("""&amp;D24&amp;"""),"</f>
        <v xml:space="preserve">								("UnpackingDate"),</v>
      </c>
      <c r="V24" s="64" t="str">
        <f t="shared" ref="V24" si="89">REPT(CHAR(9),8)&amp;"_ =&gt; _."&amp;D24&amp;","</f>
        <v xml:space="preserve">								_ =&gt; _.UnpackingDate,</v>
      </c>
      <c r="W24" s="63" t="str">
        <f t="shared" ref="W24" si="90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25">
      <c r="A25" s="22" t="s">
        <v>415</v>
      </c>
      <c r="B25" t="s">
        <v>368</v>
      </c>
      <c r="C25" t="s">
        <v>1</v>
      </c>
      <c r="D25" t="str">
        <f t="shared" ref="D25" si="91">SUBSTITUTE(PROPER(A25),"_","")</f>
        <v>UnpackingTime</v>
      </c>
      <c r="E25" t="str">
        <f t="shared" ref="E25" si="92">IFERROR(LEFT(B25, FIND("(",B25)-1),B25)</f>
        <v>DATE</v>
      </c>
      <c r="F25" s="6"/>
      <c r="G25" t="str">
        <f t="shared" ref="G25" si="93">IFERROR(MID(B25,FIND("(",B25) +1, FIND(")",B25) - FIND("(",B25) - 1),"")</f>
        <v/>
      </c>
      <c r="H25" t="str">
        <f>+VLOOKUP(E25,'Data Type Mapping'!A:B,2,)</f>
        <v>DateTime?</v>
      </c>
      <c r="I25" t="str">
        <f t="shared" ref="I25" si="94">IF(H25="string",REPT(CHAR(9),2)&amp;"public const int Max"&amp;D25&amp;"Length = "&amp;G25&amp;";"&amp;$E$3,"" )</f>
        <v/>
      </c>
      <c r="J25" t="str">
        <f t="shared" ref="J25" si="95"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public virtual DateTime? UnpackingTime { get; set; }
</v>
      </c>
      <c r="K25" s="6"/>
      <c r="L25" t="str">
        <f t="shared" ref="L25" si="96">IF(K25="","",REPT(CHAR(9),1)&amp;"[Index(nameof("&amp;IF(D25="","",""&amp;D25)&amp;")"&amp;", Name="&amp;"""IX_"&amp;$B$7&amp;"_"&amp;D25&amp;""")]")</f>
        <v/>
      </c>
      <c r="M25" t="str">
        <f t="shared" ref="M25" si="97">REPT(CHAR(9),2)&amp;"public virtual "&amp;IF(OR(H25="DateTime",H25="TimeSpan"),H25&amp;"?",H25)&amp;IF(C25="?","? "," ")&amp;D25&amp;" { get; set; }" &amp; "
"</f>
        <v xml:space="preserve">		public virtual DateTime? UnpackingTime { get; set; }
</v>
      </c>
      <c r="N25" t="str">
        <f t="shared" ref="N25" si="98"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public virtual DateTime? UnpackingTime { get; set; }
</v>
      </c>
      <c r="O25" t="str">
        <f t="shared" ref="O25" si="99">IF(OR(H25="string",H25="DateTime",H25="int"),REPT(CHAR(9),2)&amp;"public virtual "&amp;IF(OR(H25="DateTime",H25="TimeSpan"),H25&amp;"?",H25)&amp;IF(C25="?","? "," ")&amp;D25&amp;" { get; set; }"&amp;$E$3,"")</f>
        <v/>
      </c>
      <c r="P25" t="str">
        <f t="shared" ref="P25" si="100">REPT(CHAR(9),7)&amp;D25&amp;" = o." &amp;D25 &amp;","</f>
        <v xml:space="preserve">							UnpackingTime = o.UnpackingTime,</v>
      </c>
      <c r="T25" s="63" t="str">
        <f t="shared" ref="T25" si="101">REPT(CHAR(9),8)&amp;"("""&amp;D25&amp;"""),"</f>
        <v xml:space="preserve">								("UnpackingTime"),</v>
      </c>
      <c r="V25" s="64" t="str">
        <f t="shared" ref="V25" si="102">REPT(CHAR(9),8)&amp;"_ =&gt; _."&amp;D25&amp;","</f>
        <v xml:space="preserve">								_ =&gt; _.UnpackingTime,</v>
      </c>
      <c r="W25" s="63" t="str">
        <f t="shared" ref="W25" si="103"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/>
      </c>
    </row>
    <row r="26" spans="1:23" customFormat="1" ht="18.75" customHeight="1" x14ac:dyDescent="0.25">
      <c r="A26" s="22" t="s">
        <v>417</v>
      </c>
      <c r="B26" t="s">
        <v>418</v>
      </c>
      <c r="C26" t="s">
        <v>1</v>
      </c>
      <c r="D26" t="str">
        <f t="shared" ref="D26" si="104">SUBSTITUTE(PROPER(A26),"_","")</f>
        <v>UnpackingDatetime</v>
      </c>
      <c r="E26" t="str">
        <f t="shared" ref="E26" si="105">IFERROR(LEFT(B26, FIND("(",B26)-1),B26)</f>
        <v>DATETIME2</v>
      </c>
      <c r="F26" s="6"/>
      <c r="G26" t="str">
        <f t="shared" ref="G26" si="106">IFERROR(MID(B26,FIND("(",B26) +1, FIND(")",B26) - FIND("(",B26) - 1),"")</f>
        <v>7</v>
      </c>
      <c r="H26" t="str">
        <f>+VLOOKUP(E26,'Data Type Mapping'!A:B,2,)</f>
        <v>DateTime?</v>
      </c>
      <c r="I26" t="str">
        <f t="shared" ref="I26" si="107">IF(H26="string",REPT(CHAR(9),2)&amp;"public const int Max"&amp;D26&amp;"Length = "&amp;G26&amp;";"&amp;$E$3,"" )</f>
        <v/>
      </c>
      <c r="J26" t="str">
        <f t="shared" ref="J26" si="108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public virtual DateTime? UnpackingDatetime { get; set; }
</v>
      </c>
      <c r="K26" s="6"/>
      <c r="L26" t="str">
        <f t="shared" ref="L26" si="109">IF(K26="","",REPT(CHAR(9),1)&amp;"[Index(nameof("&amp;IF(D26="","",""&amp;D26)&amp;")"&amp;", Name="&amp;"""IX_"&amp;$B$7&amp;"_"&amp;D26&amp;""")]")</f>
        <v/>
      </c>
      <c r="M26" t="str">
        <f t="shared" ref="M26" si="110">REPT(CHAR(9),2)&amp;"public virtual "&amp;IF(OR(H26="DateTime",H26="TimeSpan"),H26&amp;"?",H26)&amp;IF(C26="?","? "," ")&amp;D26&amp;" { get; set; }" &amp; "
"</f>
        <v xml:space="preserve">		public virtual DateTime? UnpackingDatetime { get; set; }
</v>
      </c>
      <c r="N26" t="str">
        <f t="shared" ref="N26" si="111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public virtual DateTime? UnpackingDatetime { get; set; }
</v>
      </c>
      <c r="O26" t="str">
        <f t="shared" ref="O26" si="112">IF(OR(H26="string",H26="DateTime",H26="int"),REPT(CHAR(9),2)&amp;"public virtual "&amp;IF(OR(H26="DateTime",H26="TimeSpan"),H26&amp;"?",H26)&amp;IF(C26="?","? "," ")&amp;D26&amp;" { get; set; }"&amp;$E$3,"")</f>
        <v/>
      </c>
      <c r="P26" t="str">
        <f t="shared" ref="P26" si="113">REPT(CHAR(9),7)&amp;D26&amp;" = o." &amp;D26 &amp;","</f>
        <v xml:space="preserve">							UnpackingDatetime = o.UnpackingDatetime,</v>
      </c>
      <c r="T26" s="63" t="str">
        <f t="shared" ref="T26" si="114">REPT(CHAR(9),8)&amp;"("""&amp;D26&amp;"""),"</f>
        <v xml:space="preserve">								("UnpackingDatetime"),</v>
      </c>
      <c r="V26" s="64" t="str">
        <f t="shared" ref="V26" si="115">REPT(CHAR(9),8)&amp;"_ =&gt; _."&amp;D26&amp;","</f>
        <v xml:space="preserve">								_ =&gt; _.UnpackingDatetime,</v>
      </c>
      <c r="W26" s="63" t="str">
        <f t="shared" ref="W26" si="116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/>
      </c>
    </row>
    <row r="27" spans="1:23" customFormat="1" ht="18.75" customHeight="1" x14ac:dyDescent="0.25">
      <c r="A27" s="66" t="s">
        <v>375</v>
      </c>
      <c r="B27" t="s">
        <v>367</v>
      </c>
      <c r="C27" t="s">
        <v>1</v>
      </c>
      <c r="D27" t="str">
        <f t="shared" ref="D27:D65" si="117">SUBSTITUTE(PROPER(A27),"_","")</f>
        <v>NetWeight</v>
      </c>
      <c r="E27" t="str">
        <f t="shared" ref="E27:E65" si="118">IFERROR(LEFT(B27, FIND("(",B27)-1),B27)</f>
        <v>DECIMAL</v>
      </c>
      <c r="F27" s="6"/>
      <c r="G27" t="str">
        <f t="shared" ref="G27:G65" si="119">IFERROR(MID(B27,FIND("(",B27) +1, FIND(")",B27) - FIND("(",B27) - 1),"")</f>
        <v>18,4</v>
      </c>
      <c r="H27" t="str">
        <f>+VLOOKUP(E27,'Data Type Mapping'!A:B,2,)</f>
        <v>decimal?</v>
      </c>
      <c r="I27" t="str">
        <f t="shared" ref="I27:I65" si="120">IF(H27="string",REPT(CHAR(9),2)&amp;"public const int Max"&amp;D27&amp;"Length = "&amp;G27&amp;";"&amp;$E$3,"" )</f>
        <v/>
      </c>
      <c r="J27" t="str">
        <f t="shared" ref="J27:J65" si="121"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public virtual decimal? NetWeight { get; set; }
</v>
      </c>
      <c r="K27" s="6"/>
      <c r="L27" t="str">
        <f t="shared" ref="L27:L65" si="122">IF(K27="","",REPT(CHAR(9),1)&amp;"[Index(nameof("&amp;IF(D27="","",""&amp;D27)&amp;")"&amp;", Name="&amp;"""IX_"&amp;$B$7&amp;"_"&amp;D27&amp;""")]")</f>
        <v/>
      </c>
      <c r="M27" t="str">
        <f t="shared" ref="M27:M65" si="123">REPT(CHAR(9),2)&amp;"public virtual "&amp;IF(OR(H27="DateTime",H27="TimeSpan"),H27&amp;"?",H27)&amp;IF(C27="?","? "," ")&amp;D27&amp;" { get; set; }" &amp; "
"</f>
        <v xml:space="preserve">		public virtual decimal? NetWeight { get; set; }
</v>
      </c>
      <c r="N27" t="str">
        <f t="shared" ref="N27:N65" si="124"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public virtual decimal? NetWeight { get; set; }
</v>
      </c>
      <c r="O27" t="str">
        <f t="shared" ref="O27:O65" si="125">IF(OR(H27="string",H27="DateTime",H27="int"),REPT(CHAR(9),2)&amp;"public virtual "&amp;IF(OR(H27="DateTime",H27="TimeSpan"),H27&amp;"?",H27)&amp;IF(C27="?","? "," ")&amp;D27&amp;" { get; set; }"&amp;$E$3,"")</f>
        <v/>
      </c>
      <c r="P27" t="str">
        <f t="shared" ref="P27:P65" si="126">REPT(CHAR(9),7)&amp;D27&amp;" = o." &amp;D27 &amp;","</f>
        <v xml:space="preserve">							NetWeight = o.NetWeight,</v>
      </c>
      <c r="T27" s="63" t="str">
        <f t="shared" ref="T27:T65" si="127">REPT(CHAR(9),8)&amp;"("""&amp;D27&amp;"""),"</f>
        <v xml:space="preserve">								("NetWeight"),</v>
      </c>
      <c r="V27" s="64" t="str">
        <f t="shared" ref="V27:V65" si="128">REPT(CHAR(9),8)&amp;"_ =&gt; _."&amp;D27&amp;","</f>
        <v xml:space="preserve">								_ =&gt; _.NetWeight,</v>
      </c>
      <c r="W27" s="63" t="str">
        <f t="shared" ref="W27:W65" si="129"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/>
      </c>
    </row>
    <row r="28" spans="1:23" customFormat="1" ht="18.75" customHeight="1" x14ac:dyDescent="0.25">
      <c r="A28" s="66" t="s">
        <v>376</v>
      </c>
      <c r="B28" t="s">
        <v>367</v>
      </c>
      <c r="C28" t="s">
        <v>1</v>
      </c>
      <c r="D28" t="str">
        <f t="shared" si="117"/>
        <v>GrossWeight</v>
      </c>
      <c r="E28" t="str">
        <f t="shared" si="118"/>
        <v>DECIMAL</v>
      </c>
      <c r="F28" s="6"/>
      <c r="G28" t="str">
        <f t="shared" si="119"/>
        <v>18,4</v>
      </c>
      <c r="H28" t="str">
        <f>+VLOOKUP(E28,'Data Type Mapping'!A:B,2,)</f>
        <v>decimal?</v>
      </c>
      <c r="I28" t="str">
        <f t="shared" si="120"/>
        <v/>
      </c>
      <c r="J28" t="str">
        <f t="shared" si="121"/>
        <v xml:space="preserve">		public virtual decimal? GrossWeight { get; set; }
</v>
      </c>
      <c r="K28" s="6"/>
      <c r="L28" t="str">
        <f t="shared" si="122"/>
        <v/>
      </c>
      <c r="M28" t="str">
        <f t="shared" si="123"/>
        <v xml:space="preserve">		public virtual decimal? GrossWeight { get; set; }
</v>
      </c>
      <c r="N28" t="str">
        <f t="shared" si="124"/>
        <v xml:space="preserve">		public virtual decimal? GrossWeight { get; set; }
</v>
      </c>
      <c r="O28" t="str">
        <f t="shared" si="125"/>
        <v/>
      </c>
      <c r="P28" t="str">
        <f t="shared" si="126"/>
        <v xml:space="preserve">							GrossWeight = o.GrossWeight,</v>
      </c>
      <c r="T28" s="63" t="str">
        <f t="shared" si="127"/>
        <v xml:space="preserve">								("GrossWeight"),</v>
      </c>
      <c r="V28" s="64" t="str">
        <f t="shared" si="128"/>
        <v xml:space="preserve">								_ =&gt; _.GrossWeight,</v>
      </c>
      <c r="W28" s="63" t="str">
        <f t="shared" si="129"/>
        <v/>
      </c>
    </row>
    <row r="29" spans="1:23" customFormat="1" ht="18.75" customHeight="1" x14ac:dyDescent="0.25">
      <c r="A29" s="66" t="s">
        <v>377</v>
      </c>
      <c r="B29" t="s">
        <v>4</v>
      </c>
      <c r="C29" t="s">
        <v>1</v>
      </c>
      <c r="D29" t="str">
        <f t="shared" si="117"/>
        <v>MeasuarementM3</v>
      </c>
      <c r="E29" t="str">
        <f t="shared" si="118"/>
        <v>int</v>
      </c>
      <c r="F29" s="6"/>
      <c r="G29" t="str">
        <f t="shared" si="119"/>
        <v/>
      </c>
      <c r="H29" t="str">
        <f>+VLOOKUP(E29,'Data Type Mapping'!A:B,2,)</f>
        <v>int?</v>
      </c>
      <c r="I29" t="str">
        <f t="shared" si="120"/>
        <v/>
      </c>
      <c r="J29" t="str">
        <f t="shared" si="121"/>
        <v xml:space="preserve">		public virtual int? MeasuarementM3 { get; set; }
</v>
      </c>
      <c r="K29" s="6"/>
      <c r="L29" t="str">
        <f t="shared" si="122"/>
        <v/>
      </c>
      <c r="M29" t="str">
        <f t="shared" si="123"/>
        <v xml:space="preserve">		public virtual int? MeasuarementM3 { get; set; }
</v>
      </c>
      <c r="N29" t="str">
        <f t="shared" si="124"/>
        <v xml:space="preserve">		public virtual int? MeasuarementM3 { get; set; }
</v>
      </c>
      <c r="O29" t="str">
        <f t="shared" si="125"/>
        <v/>
      </c>
      <c r="P29" t="str">
        <f t="shared" si="126"/>
        <v xml:space="preserve">							MeasuarementM3 = o.MeasuarementM3,</v>
      </c>
      <c r="T29" s="63" t="str">
        <f t="shared" si="127"/>
        <v xml:space="preserve">								("MeasuarementM3"),</v>
      </c>
      <c r="V29" s="64" t="str">
        <f t="shared" si="128"/>
        <v xml:space="preserve">								_ =&gt; _.MeasuarementM3,</v>
      </c>
      <c r="W29" s="63" t="str">
        <f t="shared" si="129"/>
        <v/>
      </c>
    </row>
    <row r="30" spans="1:23" customFormat="1" ht="18.75" customHeight="1" x14ac:dyDescent="0.25">
      <c r="A30" s="66" t="s">
        <v>378</v>
      </c>
      <c r="B30" t="s">
        <v>4</v>
      </c>
      <c r="C30" t="s">
        <v>1</v>
      </c>
      <c r="D30" t="str">
        <f t="shared" si="117"/>
        <v>Lengthofcasemodule</v>
      </c>
      <c r="E30" t="str">
        <f t="shared" si="118"/>
        <v>int</v>
      </c>
      <c r="F30" s="6"/>
      <c r="G30" t="str">
        <f t="shared" si="119"/>
        <v/>
      </c>
      <c r="H30" t="str">
        <f>+VLOOKUP(E30,'Data Type Mapping'!A:B,2,)</f>
        <v>int?</v>
      </c>
      <c r="I30" t="str">
        <f t="shared" si="120"/>
        <v/>
      </c>
      <c r="J30" t="str">
        <f t="shared" si="121"/>
        <v xml:space="preserve">		public virtual int? Lengthofcasemodule { get; set; }
</v>
      </c>
      <c r="K30" s="6"/>
      <c r="L30" t="str">
        <f t="shared" si="122"/>
        <v/>
      </c>
      <c r="M30" t="str">
        <f t="shared" si="123"/>
        <v xml:space="preserve">		public virtual int? Lengthofcasemodule { get; set; }
</v>
      </c>
      <c r="N30" t="str">
        <f t="shared" si="124"/>
        <v xml:space="preserve">		public virtual int? Lengthofcasemodule { get; set; }
</v>
      </c>
      <c r="O30" t="str">
        <f t="shared" si="125"/>
        <v/>
      </c>
      <c r="P30" t="str">
        <f t="shared" si="126"/>
        <v xml:space="preserve">							Lengthofcasemodule = o.Lengthofcasemodule,</v>
      </c>
      <c r="T30" s="63" t="str">
        <f t="shared" si="127"/>
        <v xml:space="preserve">								("Lengthofcasemodule"),</v>
      </c>
      <c r="V30" s="64" t="str">
        <f t="shared" si="128"/>
        <v xml:space="preserve">								_ =&gt; _.Lengthofcasemodule,</v>
      </c>
      <c r="W30" s="63" t="str">
        <f t="shared" si="129"/>
        <v/>
      </c>
    </row>
    <row r="31" spans="1:23" customFormat="1" ht="18.75" customHeight="1" x14ac:dyDescent="0.25">
      <c r="A31" s="66" t="s">
        <v>379</v>
      </c>
      <c r="B31" t="s">
        <v>4</v>
      </c>
      <c r="C31" t="s">
        <v>1</v>
      </c>
      <c r="D31" t="str">
        <f t="shared" si="117"/>
        <v>Widthofcasemodule</v>
      </c>
      <c r="E31" t="str">
        <f t="shared" si="118"/>
        <v>int</v>
      </c>
      <c r="F31" s="6"/>
      <c r="G31" t="str">
        <f t="shared" si="119"/>
        <v/>
      </c>
      <c r="H31" t="str">
        <f>+VLOOKUP(E31,'Data Type Mapping'!A:B,2,)</f>
        <v>int?</v>
      </c>
      <c r="I31" t="str">
        <f t="shared" si="120"/>
        <v/>
      </c>
      <c r="J31" t="str">
        <f t="shared" si="121"/>
        <v xml:space="preserve">		public virtual int? Widthofcasemodule { get; set; }
</v>
      </c>
      <c r="K31" s="6"/>
      <c r="L31" t="str">
        <f t="shared" si="122"/>
        <v/>
      </c>
      <c r="M31" t="str">
        <f t="shared" si="123"/>
        <v xml:space="preserve">		public virtual int? Widthofcasemodule { get; set; }
</v>
      </c>
      <c r="N31" t="str">
        <f t="shared" si="124"/>
        <v xml:space="preserve">		public virtual int? Widthofcasemodule { get; set; }
</v>
      </c>
      <c r="O31" t="str">
        <f t="shared" si="125"/>
        <v/>
      </c>
      <c r="P31" t="str">
        <f t="shared" si="126"/>
        <v xml:space="preserve">							Widthofcasemodule = o.Widthofcasemodule,</v>
      </c>
      <c r="T31" s="63" t="str">
        <f t="shared" si="127"/>
        <v xml:space="preserve">								("Widthofcasemodule"),</v>
      </c>
      <c r="V31" s="64" t="str">
        <f t="shared" si="128"/>
        <v xml:space="preserve">								_ =&gt; _.Widthofcasemodule,</v>
      </c>
      <c r="W31" s="63" t="str">
        <f t="shared" si="129"/>
        <v/>
      </c>
    </row>
    <row r="32" spans="1:23" customFormat="1" ht="18.75" customHeight="1" x14ac:dyDescent="0.25">
      <c r="A32" s="66" t="s">
        <v>380</v>
      </c>
      <c r="B32" t="s">
        <v>4</v>
      </c>
      <c r="C32" t="s">
        <v>1</v>
      </c>
      <c r="D32" t="str">
        <f t="shared" si="117"/>
        <v>Heightofcasemodule</v>
      </c>
      <c r="E32" t="str">
        <f t="shared" si="118"/>
        <v>int</v>
      </c>
      <c r="F32" s="6"/>
      <c r="G32" t="str">
        <f t="shared" si="119"/>
        <v/>
      </c>
      <c r="H32" t="str">
        <f>+VLOOKUP(E32,'Data Type Mapping'!A:B,2,)</f>
        <v>int?</v>
      </c>
      <c r="I32" t="str">
        <f t="shared" si="120"/>
        <v/>
      </c>
      <c r="J32" t="str">
        <f t="shared" si="121"/>
        <v xml:space="preserve">		public virtual int? Heightofcasemodule { get; set; }
</v>
      </c>
      <c r="K32" s="6"/>
      <c r="L32" t="str">
        <f t="shared" si="122"/>
        <v/>
      </c>
      <c r="M32" t="str">
        <f t="shared" si="123"/>
        <v xml:space="preserve">		public virtual int? Heightofcasemodule { get; set; }
</v>
      </c>
      <c r="N32" t="str">
        <f t="shared" si="124"/>
        <v xml:space="preserve">		public virtual int? Heightofcasemodule { get; set; }
</v>
      </c>
      <c r="O32" t="str">
        <f t="shared" si="125"/>
        <v/>
      </c>
      <c r="P32" t="str">
        <f t="shared" si="126"/>
        <v xml:space="preserve">							Heightofcasemodule = o.Heightofcasemodule,</v>
      </c>
      <c r="T32" s="63" t="str">
        <f t="shared" si="127"/>
        <v xml:space="preserve">								("Heightofcasemodule"),</v>
      </c>
      <c r="V32" s="64" t="str">
        <f t="shared" si="128"/>
        <v xml:space="preserve">								_ =&gt; _.Heightofcasemodule,</v>
      </c>
      <c r="W32" s="63" t="str">
        <f t="shared" si="129"/>
        <v/>
      </c>
    </row>
    <row r="33" spans="1:23" customFormat="1" ht="18.75" customHeight="1" x14ac:dyDescent="0.25">
      <c r="A33" s="66" t="s">
        <v>381</v>
      </c>
      <c r="B33" t="s">
        <v>360</v>
      </c>
      <c r="C33" t="s">
        <v>1</v>
      </c>
      <c r="D33" t="str">
        <f t="shared" si="117"/>
        <v>Dummy</v>
      </c>
      <c r="E33" t="str">
        <f t="shared" si="118"/>
        <v>VARCHAR</v>
      </c>
      <c r="F33" s="6"/>
      <c r="G33" t="str">
        <f t="shared" si="119"/>
        <v>10</v>
      </c>
      <c r="H33" t="str">
        <f>+VLOOKUP(E33,'Data Type Mapping'!A:B,2,)</f>
        <v>string</v>
      </c>
      <c r="I33" t="str">
        <f t="shared" si="120"/>
        <v xml:space="preserve">		public const int MaxDummyLength = 10;
</v>
      </c>
      <c r="J33" t="str">
        <f t="shared" si="121"/>
        <v xml:space="preserve">		[StringLength(MaxDummyLength)]
		public virtual string Dummy { get; set; }
</v>
      </c>
      <c r="K33" s="6"/>
      <c r="L33" t="str">
        <f t="shared" si="122"/>
        <v/>
      </c>
      <c r="M33" t="str">
        <f t="shared" si="123"/>
        <v xml:space="preserve">		public virtual string Dummy { get; set; }
</v>
      </c>
      <c r="N33" t="str">
        <f t="shared" si="124"/>
        <v xml:space="preserve">		[StringLength(InvCkdModuleCaseConsts.MaxDummyLength)]
		public virtual string Dummy { get; set; }
</v>
      </c>
      <c r="O33" t="str">
        <f t="shared" si="125"/>
        <v xml:space="preserve">		public virtual string Dummy { get; set; }
</v>
      </c>
      <c r="P33" t="str">
        <f t="shared" si="126"/>
        <v xml:space="preserve">							Dummy = o.Dummy,</v>
      </c>
      <c r="T33" s="63" t="str">
        <f t="shared" si="127"/>
        <v xml:space="preserve">								("Dummy"),</v>
      </c>
      <c r="V33" s="64" t="str">
        <f t="shared" si="128"/>
        <v xml:space="preserve">								_ =&gt; _.Dummy,</v>
      </c>
      <c r="W33" s="63" t="str">
        <f t="shared" si="129"/>
        <v xml:space="preserve">				.WhereIf(!string.IsNullOrWhiteSpace(input.Dummy), e =&gt; e.Dummy.Contains(input.Dummy))</v>
      </c>
    </row>
    <row r="34" spans="1:23" customFormat="1" ht="18.75" customHeight="1" x14ac:dyDescent="0.25">
      <c r="A34" s="66" t="s">
        <v>382</v>
      </c>
      <c r="B34" t="s">
        <v>368</v>
      </c>
      <c r="C34" t="s">
        <v>1</v>
      </c>
      <c r="D34" t="str">
        <f t="shared" si="117"/>
        <v>Plannedpackingdate</v>
      </c>
      <c r="E34" t="str">
        <f t="shared" si="118"/>
        <v>DATE</v>
      </c>
      <c r="F34" s="6"/>
      <c r="G34" t="str">
        <f t="shared" si="119"/>
        <v/>
      </c>
      <c r="H34" t="str">
        <f>+VLOOKUP(E34,'Data Type Mapping'!A:B,2,)</f>
        <v>DateTime?</v>
      </c>
      <c r="I34" t="str">
        <f t="shared" si="120"/>
        <v/>
      </c>
      <c r="J34" t="str">
        <f t="shared" si="121"/>
        <v xml:space="preserve">		public virtual DateTime? Plannedpackingdate { get; set; }
</v>
      </c>
      <c r="K34" s="6"/>
      <c r="L34" t="str">
        <f t="shared" si="122"/>
        <v/>
      </c>
      <c r="M34" t="str">
        <f t="shared" si="123"/>
        <v xml:space="preserve">		public virtual DateTime? Plannedpackingdate { get; set; }
</v>
      </c>
      <c r="N34" t="str">
        <f t="shared" si="124"/>
        <v xml:space="preserve">		public virtual DateTime? Plannedpackingdate { get; set; }
</v>
      </c>
      <c r="O34" t="str">
        <f t="shared" si="125"/>
        <v/>
      </c>
      <c r="P34" t="str">
        <f t="shared" si="126"/>
        <v xml:space="preserve">							Plannedpackingdate = o.Plannedpackingdate,</v>
      </c>
      <c r="T34" s="63" t="str">
        <f t="shared" si="127"/>
        <v xml:space="preserve">								("Plannedpackingdate"),</v>
      </c>
      <c r="V34" s="64" t="str">
        <f t="shared" si="128"/>
        <v xml:space="preserve">								_ =&gt; _.Plannedpackingdate,</v>
      </c>
      <c r="W34" s="63" t="str">
        <f t="shared" si="129"/>
        <v/>
      </c>
    </row>
    <row r="35" spans="1:23" customFormat="1" ht="18.75" customHeight="1" x14ac:dyDescent="0.25">
      <c r="A35" s="66" t="s">
        <v>383</v>
      </c>
      <c r="B35" t="s">
        <v>384</v>
      </c>
      <c r="C35" t="s">
        <v>1</v>
      </c>
      <c r="D35" t="str">
        <f t="shared" ref="D35:D51" si="130">SUBSTITUTE(PROPER(A35),"_","")</f>
        <v>Dgflag</v>
      </c>
      <c r="E35" t="str">
        <f t="shared" ref="E35:E51" si="131">IFERROR(LEFT(B35, FIND("(",B35)-1),B35)</f>
        <v>VARCHAR</v>
      </c>
      <c r="F35" s="6"/>
      <c r="G35" t="str">
        <f t="shared" ref="G35:G51" si="132">IFERROR(MID(B35,FIND("(",B35) +1, FIND(")",B35) - FIND("(",B35) - 1),"")</f>
        <v>5</v>
      </c>
      <c r="H35" t="str">
        <f>+VLOOKUP(E35,'Data Type Mapping'!A:B,2,)</f>
        <v>string</v>
      </c>
      <c r="I35" t="str">
        <f t="shared" ref="I35:I51" si="133">IF(H35="string",REPT(CHAR(9),2)&amp;"public const int Max"&amp;D35&amp;"Length = "&amp;G35&amp;";"&amp;$E$3,"" )</f>
        <v xml:space="preserve">		public const int MaxDgflagLength = 5;
</v>
      </c>
      <c r="J35" t="str">
        <f t="shared" ref="J35:J51" si="134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[StringLength(MaxDgflagLength)]
		public virtual string Dgflag { get; set; }
</v>
      </c>
      <c r="K35" s="6"/>
      <c r="L35" t="str">
        <f t="shared" ref="L35:L51" si="135">IF(K35="","",REPT(CHAR(9),1)&amp;"[Index(nameof("&amp;IF(D35="","",""&amp;D35)&amp;")"&amp;", Name="&amp;"""IX_"&amp;$B$7&amp;"_"&amp;D35&amp;""")]")</f>
        <v/>
      </c>
      <c r="M35" t="str">
        <f t="shared" ref="M35:M51" si="136">REPT(CHAR(9),2)&amp;"public virtual "&amp;IF(OR(H35="DateTime",H35="TimeSpan"),H35&amp;"?",H35)&amp;IF(C35="?","? "," ")&amp;D35&amp;" { get; set; }" &amp; "
"</f>
        <v xml:space="preserve">		public virtual string Dgflag { get; set; }
</v>
      </c>
      <c r="N35" t="str">
        <f t="shared" ref="N35:N51" si="137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[StringLength(InvCkdModuleCaseConsts.MaxDgflagLength)]
		public virtual string Dgflag { get; set; }
</v>
      </c>
      <c r="O35" t="str">
        <f t="shared" ref="O35:O51" si="138">IF(OR(H35="string",H35="DateTime",H35="int"),REPT(CHAR(9),2)&amp;"public virtual "&amp;IF(OR(H35="DateTime",H35="TimeSpan"),H35&amp;"?",H35)&amp;IF(C35="?","? "," ")&amp;D35&amp;" { get; set; }"&amp;$E$3,"")</f>
        <v xml:space="preserve">		public virtual string Dgflag { get; set; }
</v>
      </c>
      <c r="P35" t="str">
        <f t="shared" ref="P35:P51" si="139">REPT(CHAR(9),7)&amp;D35&amp;" = o." &amp;D35 &amp;","</f>
        <v xml:space="preserve">							Dgflag = o.Dgflag,</v>
      </c>
      <c r="T35" s="63" t="str">
        <f t="shared" ref="T35:T51" si="140">REPT(CHAR(9),8)&amp;"("""&amp;D35&amp;"""),"</f>
        <v xml:space="preserve">								("Dgflag"),</v>
      </c>
      <c r="V35" s="64" t="str">
        <f t="shared" ref="V35:V51" si="141">REPT(CHAR(9),8)&amp;"_ =&gt; _."&amp;D35&amp;","</f>
        <v xml:space="preserve">								_ =&gt; _.Dgflag,</v>
      </c>
      <c r="W35" s="63" t="str">
        <f t="shared" ref="W35:W51" si="142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.WhereIf(!string.IsNullOrWhiteSpace(input.Dgflag), e =&gt; e.Dgflag.Contains(input.Dgflag))</v>
      </c>
    </row>
    <row r="36" spans="1:23" customFormat="1" ht="18.75" customHeight="1" x14ac:dyDescent="0.25">
      <c r="A36" s="66" t="s">
        <v>385</v>
      </c>
      <c r="B36" t="s">
        <v>386</v>
      </c>
      <c r="C36" t="s">
        <v>1</v>
      </c>
      <c r="D36" t="str">
        <f t="shared" si="130"/>
        <v>PackingType</v>
      </c>
      <c r="E36" t="str">
        <f t="shared" si="131"/>
        <v>VARCHAR</v>
      </c>
      <c r="F36" s="6"/>
      <c r="G36" t="str">
        <f t="shared" si="132"/>
        <v>3</v>
      </c>
      <c r="H36" t="str">
        <f>+VLOOKUP(E36,'Data Type Mapping'!A:B,2,)</f>
        <v>string</v>
      </c>
      <c r="I36" t="str">
        <f t="shared" si="133"/>
        <v xml:space="preserve">		public const int MaxPackingTypeLength = 3;
</v>
      </c>
      <c r="J36" t="str">
        <f t="shared" si="134"/>
        <v xml:space="preserve">		[StringLength(MaxPackingTypeLength)]
		public virtual string PackingType { get; set; }
</v>
      </c>
      <c r="K36" s="6"/>
      <c r="L36" t="str">
        <f t="shared" si="135"/>
        <v/>
      </c>
      <c r="M36" t="str">
        <f t="shared" si="136"/>
        <v xml:space="preserve">		public virtual string PackingType { get; set; }
</v>
      </c>
      <c r="N36" t="str">
        <f t="shared" si="137"/>
        <v xml:space="preserve">		[StringLength(InvCkdModuleCaseConsts.MaxPackingTypeLength)]
		public virtual string PackingType { get; set; }
</v>
      </c>
      <c r="O36" t="str">
        <f t="shared" si="138"/>
        <v xml:space="preserve">		public virtual string PackingType { get; set; }
</v>
      </c>
      <c r="P36" t="str">
        <f t="shared" si="139"/>
        <v xml:space="preserve">							PackingType = o.PackingType,</v>
      </c>
      <c r="T36" s="63" t="str">
        <f t="shared" si="140"/>
        <v xml:space="preserve">								("PackingType"),</v>
      </c>
      <c r="V36" s="64" t="str">
        <f t="shared" si="141"/>
        <v xml:space="preserve">								_ =&gt; _.PackingType,</v>
      </c>
      <c r="W36" s="63" t="str">
        <f t="shared" si="142"/>
        <v xml:space="preserve">				.WhereIf(!string.IsNullOrWhiteSpace(input.PackingType), e =&gt; e.PackingType.Contains(input.PackingType))</v>
      </c>
    </row>
    <row r="37" spans="1:23" customFormat="1" ht="18.75" customHeight="1" x14ac:dyDescent="0.25">
      <c r="A37" s="66" t="s">
        <v>387</v>
      </c>
      <c r="B37" t="s">
        <v>369</v>
      </c>
      <c r="C37" t="s">
        <v>1</v>
      </c>
      <c r="D37" t="str">
        <f t="shared" si="130"/>
        <v>RrType</v>
      </c>
      <c r="E37" t="str">
        <f t="shared" si="131"/>
        <v>VARCHAR</v>
      </c>
      <c r="F37" s="6"/>
      <c r="G37" t="str">
        <f t="shared" si="132"/>
        <v>2</v>
      </c>
      <c r="H37" t="str">
        <f>+VLOOKUP(E37,'Data Type Mapping'!A:B,2,)</f>
        <v>string</v>
      </c>
      <c r="I37" t="str">
        <f t="shared" si="133"/>
        <v xml:space="preserve">		public const int MaxRrTypeLength = 2;
</v>
      </c>
      <c r="J37" t="str">
        <f t="shared" si="134"/>
        <v xml:space="preserve">		[StringLength(MaxRrTypeLength)]
		public virtual string RrType { get; set; }
</v>
      </c>
      <c r="K37" s="6"/>
      <c r="L37" t="str">
        <f t="shared" si="135"/>
        <v/>
      </c>
      <c r="M37" t="str">
        <f t="shared" si="136"/>
        <v xml:space="preserve">		public virtual string RrType { get; set; }
</v>
      </c>
      <c r="N37" t="str">
        <f t="shared" si="137"/>
        <v xml:space="preserve">		[StringLength(InvCkdModuleCaseConsts.MaxRrTypeLength)]
		public virtual string RrType { get; set; }
</v>
      </c>
      <c r="O37" t="str">
        <f t="shared" si="138"/>
        <v xml:space="preserve">		public virtual string RrType { get; set; }
</v>
      </c>
      <c r="P37" t="str">
        <f t="shared" si="139"/>
        <v xml:space="preserve">							RrType = o.RrType,</v>
      </c>
      <c r="T37" s="63" t="str">
        <f t="shared" si="140"/>
        <v xml:space="preserve">								("RrType"),</v>
      </c>
      <c r="V37" s="64" t="str">
        <f t="shared" si="141"/>
        <v xml:space="preserve">								_ =&gt; _.RrType,</v>
      </c>
      <c r="W37" s="63" t="str">
        <f t="shared" si="142"/>
        <v xml:space="preserve">				.WhereIf(!string.IsNullOrWhiteSpace(input.RrType), e =&gt; e.RrType.Contains(input.RrType))</v>
      </c>
    </row>
    <row r="38" spans="1:23" customFormat="1" ht="18.75" customHeight="1" x14ac:dyDescent="0.25">
      <c r="A38" s="66" t="s">
        <v>388</v>
      </c>
      <c r="B38" t="s">
        <v>366</v>
      </c>
      <c r="C38" t="s">
        <v>1</v>
      </c>
      <c r="D38" t="str">
        <f t="shared" si="130"/>
        <v>FreightPerInvoice</v>
      </c>
      <c r="E38" t="str">
        <f t="shared" si="131"/>
        <v>DECIMAL</v>
      </c>
      <c r="F38" s="6"/>
      <c r="G38" t="str">
        <f t="shared" si="132"/>
        <v>18,5</v>
      </c>
      <c r="H38" t="str">
        <f>+VLOOKUP(E38,'Data Type Mapping'!A:B,2,)</f>
        <v>decimal?</v>
      </c>
      <c r="I38" t="str">
        <f t="shared" si="133"/>
        <v/>
      </c>
      <c r="J38" t="str">
        <f t="shared" si="134"/>
        <v xml:space="preserve">		public virtual decimal? FreightPerInvoice { get; set; }
</v>
      </c>
      <c r="K38" s="6"/>
      <c r="L38" t="str">
        <f t="shared" si="135"/>
        <v/>
      </c>
      <c r="M38" t="str">
        <f t="shared" si="136"/>
        <v xml:space="preserve">		public virtual decimal? FreightPerInvoice { get; set; }
</v>
      </c>
      <c r="N38" t="str">
        <f t="shared" si="137"/>
        <v xml:space="preserve">		public virtual decimal? FreightPerInvoice { get; set; }
</v>
      </c>
      <c r="O38" t="str">
        <f t="shared" si="138"/>
        <v/>
      </c>
      <c r="P38" t="str">
        <f t="shared" si="139"/>
        <v xml:space="preserve">							FreightPerInvoice = o.FreightPerInvoice,</v>
      </c>
      <c r="T38" s="63" t="str">
        <f t="shared" si="140"/>
        <v xml:space="preserve">								("FreightPerInvoice"),</v>
      </c>
      <c r="V38" s="64" t="str">
        <f t="shared" si="141"/>
        <v xml:space="preserve">								_ =&gt; _.FreightPerInvoice,</v>
      </c>
      <c r="W38" s="63" t="str">
        <f t="shared" si="142"/>
        <v/>
      </c>
    </row>
    <row r="39" spans="1:23" customFormat="1" ht="18.75" customHeight="1" x14ac:dyDescent="0.25">
      <c r="A39" s="66" t="s">
        <v>389</v>
      </c>
      <c r="B39" t="s">
        <v>366</v>
      </c>
      <c r="C39" t="s">
        <v>1</v>
      </c>
      <c r="D39" t="str">
        <f t="shared" si="130"/>
        <v>InsurancePerInvoice</v>
      </c>
      <c r="E39" t="str">
        <f t="shared" si="131"/>
        <v>DECIMAL</v>
      </c>
      <c r="F39" s="6"/>
      <c r="G39" t="str">
        <f t="shared" si="132"/>
        <v>18,5</v>
      </c>
      <c r="H39" t="str">
        <f>+VLOOKUP(E39,'Data Type Mapping'!A:B,2,)</f>
        <v>decimal?</v>
      </c>
      <c r="I39" t="str">
        <f t="shared" si="133"/>
        <v/>
      </c>
      <c r="J39" t="str">
        <f t="shared" si="134"/>
        <v xml:space="preserve">		public virtual decimal? InsurancePerInvoice { get; set; }
</v>
      </c>
      <c r="K39" s="6"/>
      <c r="L39" t="str">
        <f t="shared" si="135"/>
        <v/>
      </c>
      <c r="M39" t="str">
        <f t="shared" si="136"/>
        <v xml:space="preserve">		public virtual decimal? InsurancePerInvoice { get; set; }
</v>
      </c>
      <c r="N39" t="str">
        <f t="shared" si="137"/>
        <v xml:space="preserve">		public virtual decimal? InsurancePerInvoice { get; set; }
</v>
      </c>
      <c r="O39" t="str">
        <f t="shared" si="138"/>
        <v/>
      </c>
      <c r="P39" t="str">
        <f t="shared" si="139"/>
        <v xml:space="preserve">							InsurancePerInvoice = o.InsurancePerInvoice,</v>
      </c>
      <c r="T39" s="63" t="str">
        <f t="shared" si="140"/>
        <v xml:space="preserve">								("InsurancePerInvoice"),</v>
      </c>
      <c r="V39" s="64" t="str">
        <f t="shared" si="141"/>
        <v xml:space="preserve">								_ =&gt; _.InsurancePerInvoice,</v>
      </c>
      <c r="W39" s="63" t="str">
        <f t="shared" si="142"/>
        <v/>
      </c>
    </row>
    <row r="40" spans="1:23" customFormat="1" ht="18.75" customHeight="1" x14ac:dyDescent="0.25">
      <c r="A40" s="66" t="s">
        <v>390</v>
      </c>
      <c r="B40" t="s">
        <v>369</v>
      </c>
      <c r="C40" t="s">
        <v>1</v>
      </c>
      <c r="D40" t="str">
        <f t="shared" si="130"/>
        <v>InnerMaterialType1</v>
      </c>
      <c r="E40" t="str">
        <f t="shared" si="131"/>
        <v>VARCHAR</v>
      </c>
      <c r="F40" s="6"/>
      <c r="G40" t="str">
        <f t="shared" si="132"/>
        <v>2</v>
      </c>
      <c r="H40" t="str">
        <f>+VLOOKUP(E40,'Data Type Mapping'!A:B,2,)</f>
        <v>string</v>
      </c>
      <c r="I40" t="str">
        <f t="shared" si="133"/>
        <v xml:space="preserve">		public const int MaxInnerMaterialType1Length = 2;
</v>
      </c>
      <c r="J40" t="str">
        <f t="shared" si="134"/>
        <v xml:space="preserve">		[StringLength(MaxInnerMaterialType1Length)]
		public virtual string InnerMaterialType1 { get; set; }
</v>
      </c>
      <c r="K40" s="6"/>
      <c r="L40" t="str">
        <f t="shared" si="135"/>
        <v/>
      </c>
      <c r="M40" t="str">
        <f t="shared" si="136"/>
        <v xml:space="preserve">		public virtual string InnerMaterialType1 { get; set; }
</v>
      </c>
      <c r="N40" t="str">
        <f t="shared" si="137"/>
        <v xml:space="preserve">		[StringLength(InvCkdModuleCaseConsts.MaxInnerMaterialType1Length)]
		public virtual string InnerMaterialType1 { get; set; }
</v>
      </c>
      <c r="O40" t="str">
        <f t="shared" si="138"/>
        <v xml:space="preserve">		public virtual string InnerMaterialType1 { get; set; }
</v>
      </c>
      <c r="P40" t="str">
        <f t="shared" si="139"/>
        <v xml:space="preserve">							InnerMaterialType1 = o.InnerMaterialType1,</v>
      </c>
      <c r="T40" s="63" t="str">
        <f t="shared" si="140"/>
        <v xml:space="preserve">								("InnerMaterialType1"),</v>
      </c>
      <c r="V40" s="64" t="str">
        <f t="shared" si="141"/>
        <v xml:space="preserve">								_ =&gt; _.InnerMaterialType1,</v>
      </c>
      <c r="W40" s="63" t="str">
        <f t="shared" si="142"/>
        <v xml:space="preserve">				.WhereIf(!string.IsNullOrWhiteSpace(input.InnerMaterialType1), e =&gt; e.InnerMaterialType1.Contains(input.InnerMaterialType1))</v>
      </c>
    </row>
    <row r="41" spans="1:23" customFormat="1" ht="18.75" customHeight="1" x14ac:dyDescent="0.25">
      <c r="A41" s="66" t="s">
        <v>391</v>
      </c>
      <c r="B41" t="s">
        <v>369</v>
      </c>
      <c r="C41" t="s">
        <v>1</v>
      </c>
      <c r="D41" t="str">
        <f t="shared" si="130"/>
        <v>InnerMaterialType2</v>
      </c>
      <c r="E41" t="str">
        <f t="shared" si="131"/>
        <v>VARCHAR</v>
      </c>
      <c r="F41" s="6"/>
      <c r="G41" t="str">
        <f t="shared" si="132"/>
        <v>2</v>
      </c>
      <c r="H41" t="str">
        <f>+VLOOKUP(E41,'Data Type Mapping'!A:B,2,)</f>
        <v>string</v>
      </c>
      <c r="I41" t="str">
        <f t="shared" si="133"/>
        <v xml:space="preserve">		public const int MaxInnerMaterialType2Length = 2;
</v>
      </c>
      <c r="J41" t="str">
        <f t="shared" si="134"/>
        <v xml:space="preserve">		[StringLength(MaxInnerMaterialType2Length)]
		public virtual string InnerMaterialType2 { get; set; }
</v>
      </c>
      <c r="K41" s="6"/>
      <c r="L41" t="str">
        <f t="shared" si="135"/>
        <v/>
      </c>
      <c r="M41" t="str">
        <f t="shared" si="136"/>
        <v xml:space="preserve">		public virtual string InnerMaterialType2 { get; set; }
</v>
      </c>
      <c r="N41" t="str">
        <f t="shared" si="137"/>
        <v xml:space="preserve">		[StringLength(InvCkdModuleCaseConsts.MaxInnerMaterialType2Length)]
		public virtual string InnerMaterialType2 { get; set; }
</v>
      </c>
      <c r="O41" t="str">
        <f t="shared" si="138"/>
        <v xml:space="preserve">		public virtual string InnerMaterialType2 { get; set; }
</v>
      </c>
      <c r="P41" t="str">
        <f t="shared" si="139"/>
        <v xml:space="preserve">							InnerMaterialType2 = o.InnerMaterialType2,</v>
      </c>
      <c r="T41" s="63" t="str">
        <f t="shared" si="140"/>
        <v xml:space="preserve">								("InnerMaterialType2"),</v>
      </c>
      <c r="V41" s="64" t="str">
        <f t="shared" si="141"/>
        <v xml:space="preserve">								_ =&gt; _.InnerMaterialType2,</v>
      </c>
      <c r="W41" s="63" t="str">
        <f t="shared" si="142"/>
        <v xml:space="preserve">				.WhereIf(!string.IsNullOrWhiteSpace(input.InnerMaterialType2), e =&gt; e.InnerMaterialType2.Contains(input.InnerMaterialType2))</v>
      </c>
    </row>
    <row r="42" spans="1:23" customFormat="1" ht="18.75" customHeight="1" x14ac:dyDescent="0.25">
      <c r="A42" s="66" t="s">
        <v>392</v>
      </c>
      <c r="B42" t="s">
        <v>369</v>
      </c>
      <c r="C42" t="s">
        <v>1</v>
      </c>
      <c r="D42" t="str">
        <f t="shared" si="130"/>
        <v>InnerMaterialType3</v>
      </c>
      <c r="E42" t="str">
        <f t="shared" si="131"/>
        <v>VARCHAR</v>
      </c>
      <c r="F42" s="6"/>
      <c r="G42" t="str">
        <f t="shared" si="132"/>
        <v>2</v>
      </c>
      <c r="H42" t="str">
        <f>+VLOOKUP(E42,'Data Type Mapping'!A:B,2,)</f>
        <v>string</v>
      </c>
      <c r="I42" t="str">
        <f t="shared" si="133"/>
        <v xml:space="preserve">		public const int MaxInnerMaterialType3Length = 2;
</v>
      </c>
      <c r="J42" t="str">
        <f t="shared" si="134"/>
        <v xml:space="preserve">		[StringLength(MaxInnerMaterialType3Length)]
		public virtual string InnerMaterialType3 { get; set; }
</v>
      </c>
      <c r="K42" s="6"/>
      <c r="L42" t="str">
        <f t="shared" si="135"/>
        <v/>
      </c>
      <c r="M42" t="str">
        <f t="shared" si="136"/>
        <v xml:space="preserve">		public virtual string InnerMaterialType3 { get; set; }
</v>
      </c>
      <c r="N42" t="str">
        <f t="shared" si="137"/>
        <v xml:space="preserve">		[StringLength(InvCkdModuleCaseConsts.MaxInnerMaterialType3Length)]
		public virtual string InnerMaterialType3 { get; set; }
</v>
      </c>
      <c r="O42" t="str">
        <f t="shared" si="138"/>
        <v xml:space="preserve">		public virtual string InnerMaterialType3 { get; set; }
</v>
      </c>
      <c r="P42" t="str">
        <f t="shared" si="139"/>
        <v xml:space="preserve">							InnerMaterialType3 = o.InnerMaterialType3,</v>
      </c>
      <c r="T42" s="63" t="str">
        <f t="shared" si="140"/>
        <v xml:space="preserve">								("InnerMaterialType3"),</v>
      </c>
      <c r="V42" s="64" t="str">
        <f t="shared" si="141"/>
        <v xml:space="preserve">								_ =&gt; _.InnerMaterialType3,</v>
      </c>
      <c r="W42" s="63" t="str">
        <f t="shared" si="142"/>
        <v xml:space="preserve">				.WhereIf(!string.IsNullOrWhiteSpace(input.InnerMaterialType3), e =&gt; e.InnerMaterialType3.Contains(input.InnerMaterialType3))</v>
      </c>
    </row>
    <row r="43" spans="1:23" customFormat="1" ht="18.75" customHeight="1" x14ac:dyDescent="0.25">
      <c r="A43" s="66" t="s">
        <v>393</v>
      </c>
      <c r="B43" t="s">
        <v>369</v>
      </c>
      <c r="C43" t="s">
        <v>1</v>
      </c>
      <c r="D43" t="str">
        <f t="shared" si="130"/>
        <v>InnerMaterialType4</v>
      </c>
      <c r="E43" t="str">
        <f t="shared" si="131"/>
        <v>VARCHAR</v>
      </c>
      <c r="F43" s="6"/>
      <c r="G43" t="str">
        <f t="shared" si="132"/>
        <v>2</v>
      </c>
      <c r="H43" t="str">
        <f>+VLOOKUP(E43,'Data Type Mapping'!A:B,2,)</f>
        <v>string</v>
      </c>
      <c r="I43" t="str">
        <f t="shared" si="133"/>
        <v xml:space="preserve">		public const int MaxInnerMaterialType4Length = 2;
</v>
      </c>
      <c r="J43" t="str">
        <f t="shared" si="134"/>
        <v xml:space="preserve">		[StringLength(MaxInnerMaterialType4Length)]
		public virtual string InnerMaterialType4 { get; set; }
</v>
      </c>
      <c r="K43" s="6"/>
      <c r="L43" t="str">
        <f t="shared" si="135"/>
        <v/>
      </c>
      <c r="M43" t="str">
        <f t="shared" si="136"/>
        <v xml:space="preserve">		public virtual string InnerMaterialType4 { get; set; }
</v>
      </c>
      <c r="N43" t="str">
        <f t="shared" si="137"/>
        <v xml:space="preserve">		[StringLength(InvCkdModuleCaseConsts.MaxInnerMaterialType4Length)]
		public virtual string InnerMaterialType4 { get; set; }
</v>
      </c>
      <c r="O43" t="str">
        <f t="shared" si="138"/>
        <v xml:space="preserve">		public virtual string InnerMaterialType4 { get; set; }
</v>
      </c>
      <c r="P43" t="str">
        <f t="shared" si="139"/>
        <v xml:space="preserve">							InnerMaterialType4 = o.InnerMaterialType4,</v>
      </c>
      <c r="T43" s="63" t="str">
        <f t="shared" si="140"/>
        <v xml:space="preserve">								("InnerMaterialType4"),</v>
      </c>
      <c r="V43" s="64" t="str">
        <f t="shared" si="141"/>
        <v xml:space="preserve">								_ =&gt; _.InnerMaterialType4,</v>
      </c>
      <c r="W43" s="63" t="str">
        <f t="shared" si="142"/>
        <v xml:space="preserve">				.WhereIf(!string.IsNullOrWhiteSpace(input.InnerMaterialType4), e =&gt; e.InnerMaterialType4.Contains(input.InnerMaterialType4))</v>
      </c>
    </row>
    <row r="44" spans="1:23" customFormat="1" ht="18.75" customHeight="1" x14ac:dyDescent="0.25">
      <c r="A44" s="66" t="s">
        <v>394</v>
      </c>
      <c r="B44" t="s">
        <v>369</v>
      </c>
      <c r="C44" t="s">
        <v>1</v>
      </c>
      <c r="D44" t="str">
        <f t="shared" si="130"/>
        <v>InnerMaterialType5</v>
      </c>
      <c r="E44" t="str">
        <f t="shared" si="131"/>
        <v>VARCHAR</v>
      </c>
      <c r="F44" s="6"/>
      <c r="G44" t="str">
        <f t="shared" si="132"/>
        <v>2</v>
      </c>
      <c r="H44" t="str">
        <f>+VLOOKUP(E44,'Data Type Mapping'!A:B,2,)</f>
        <v>string</v>
      </c>
      <c r="I44" t="str">
        <f t="shared" si="133"/>
        <v xml:space="preserve">		public const int MaxInnerMaterialType5Length = 2;
</v>
      </c>
      <c r="J44" t="str">
        <f t="shared" si="134"/>
        <v xml:space="preserve">		[StringLength(MaxInnerMaterialType5Length)]
		public virtual string InnerMaterialType5 { get; set; }
</v>
      </c>
      <c r="K44" s="6"/>
      <c r="L44" t="str">
        <f t="shared" si="135"/>
        <v/>
      </c>
      <c r="M44" t="str">
        <f t="shared" si="136"/>
        <v xml:space="preserve">		public virtual string InnerMaterialType5 { get; set; }
</v>
      </c>
      <c r="N44" t="str">
        <f t="shared" si="137"/>
        <v xml:space="preserve">		[StringLength(InvCkdModuleCaseConsts.MaxInnerMaterialType5Length)]
		public virtual string InnerMaterialType5 { get; set; }
</v>
      </c>
      <c r="O44" t="str">
        <f t="shared" si="138"/>
        <v xml:space="preserve">		public virtual string InnerMaterialType5 { get; set; }
</v>
      </c>
      <c r="P44" t="str">
        <f t="shared" si="139"/>
        <v xml:space="preserve">							InnerMaterialType5 = o.InnerMaterialType5,</v>
      </c>
      <c r="T44" s="63" t="str">
        <f t="shared" si="140"/>
        <v xml:space="preserve">								("InnerMaterialType5"),</v>
      </c>
      <c r="V44" s="64" t="str">
        <f t="shared" si="141"/>
        <v xml:space="preserve">								_ =&gt; _.InnerMaterialType5,</v>
      </c>
      <c r="W44" s="63" t="str">
        <f t="shared" si="142"/>
        <v xml:space="preserve">				.WhereIf(!string.IsNullOrWhiteSpace(input.InnerMaterialType5), e =&gt; e.InnerMaterialType5.Contains(input.InnerMaterialType5))</v>
      </c>
    </row>
    <row r="45" spans="1:23" customFormat="1" ht="18.75" customHeight="1" x14ac:dyDescent="0.25">
      <c r="A45" s="66" t="s">
        <v>395</v>
      </c>
      <c r="B45" t="s">
        <v>369</v>
      </c>
      <c r="C45" t="s">
        <v>1</v>
      </c>
      <c r="D45" t="str">
        <f t="shared" si="130"/>
        <v>InnerMaterialType6</v>
      </c>
      <c r="E45" t="str">
        <f t="shared" si="131"/>
        <v>VARCHAR</v>
      </c>
      <c r="F45" s="6"/>
      <c r="G45" t="str">
        <f t="shared" si="132"/>
        <v>2</v>
      </c>
      <c r="H45" t="str">
        <f>+VLOOKUP(E45,'Data Type Mapping'!A:B,2,)</f>
        <v>string</v>
      </c>
      <c r="I45" t="str">
        <f t="shared" si="133"/>
        <v xml:space="preserve">		public const int MaxInnerMaterialType6Length = 2;
</v>
      </c>
      <c r="J45" t="str">
        <f t="shared" si="134"/>
        <v xml:space="preserve">		[StringLength(MaxInnerMaterialType6Length)]
		public virtual string InnerMaterialType6 { get; set; }
</v>
      </c>
      <c r="K45" s="6"/>
      <c r="L45" t="str">
        <f t="shared" si="135"/>
        <v/>
      </c>
      <c r="M45" t="str">
        <f t="shared" si="136"/>
        <v xml:space="preserve">		public virtual string InnerMaterialType6 { get; set; }
</v>
      </c>
      <c r="N45" t="str">
        <f t="shared" si="137"/>
        <v xml:space="preserve">		[StringLength(InvCkdModuleCaseConsts.MaxInnerMaterialType6Length)]
		public virtual string InnerMaterialType6 { get; set; }
</v>
      </c>
      <c r="O45" t="str">
        <f t="shared" si="138"/>
        <v xml:space="preserve">		public virtual string InnerMaterialType6 { get; set; }
</v>
      </c>
      <c r="P45" t="str">
        <f t="shared" si="139"/>
        <v xml:space="preserve">							InnerMaterialType6 = o.InnerMaterialType6,</v>
      </c>
      <c r="T45" s="63" t="str">
        <f t="shared" si="140"/>
        <v xml:space="preserve">								("InnerMaterialType6"),</v>
      </c>
      <c r="V45" s="64" t="str">
        <f t="shared" si="141"/>
        <v xml:space="preserve">								_ =&gt; _.InnerMaterialType6,</v>
      </c>
      <c r="W45" s="63" t="str">
        <f t="shared" si="142"/>
        <v xml:space="preserve">				.WhereIf(!string.IsNullOrWhiteSpace(input.InnerMaterialType6), e =&gt; e.InnerMaterialType6.Contains(input.InnerMaterialType6))</v>
      </c>
    </row>
    <row r="46" spans="1:23" customFormat="1" ht="18.75" customHeight="1" x14ac:dyDescent="0.25">
      <c r="A46" s="66" t="s">
        <v>396</v>
      </c>
      <c r="B46" t="s">
        <v>369</v>
      </c>
      <c r="C46" t="s">
        <v>1</v>
      </c>
      <c r="D46" t="str">
        <f t="shared" si="130"/>
        <v>InnerMaterialType7</v>
      </c>
      <c r="E46" t="str">
        <f t="shared" si="131"/>
        <v>VARCHAR</v>
      </c>
      <c r="F46" s="6"/>
      <c r="G46" t="str">
        <f t="shared" si="132"/>
        <v>2</v>
      </c>
      <c r="H46" t="str">
        <f>+VLOOKUP(E46,'Data Type Mapping'!A:B,2,)</f>
        <v>string</v>
      </c>
      <c r="I46" t="str">
        <f t="shared" si="133"/>
        <v xml:space="preserve">		public const int MaxInnerMaterialType7Length = 2;
</v>
      </c>
      <c r="J46" t="str">
        <f t="shared" si="134"/>
        <v xml:space="preserve">		[StringLength(MaxInnerMaterialType7Length)]
		public virtual string InnerMaterialType7 { get; set; }
</v>
      </c>
      <c r="K46" s="6"/>
      <c r="L46" t="str">
        <f t="shared" si="135"/>
        <v/>
      </c>
      <c r="M46" t="str">
        <f t="shared" si="136"/>
        <v xml:space="preserve">		public virtual string InnerMaterialType7 { get; set; }
</v>
      </c>
      <c r="N46" t="str">
        <f t="shared" si="137"/>
        <v xml:space="preserve">		[StringLength(InvCkdModuleCaseConsts.MaxInnerMaterialType7Length)]
		public virtual string InnerMaterialType7 { get; set; }
</v>
      </c>
      <c r="O46" t="str">
        <f t="shared" si="138"/>
        <v xml:space="preserve">		public virtual string InnerMaterialType7 { get; set; }
</v>
      </c>
      <c r="P46" t="str">
        <f t="shared" si="139"/>
        <v xml:space="preserve">							InnerMaterialType7 = o.InnerMaterialType7,</v>
      </c>
      <c r="T46" s="63" t="str">
        <f t="shared" si="140"/>
        <v xml:space="preserve">								("InnerMaterialType7"),</v>
      </c>
      <c r="V46" s="64" t="str">
        <f t="shared" si="141"/>
        <v xml:space="preserve">								_ =&gt; _.InnerMaterialType7,</v>
      </c>
      <c r="W46" s="63" t="str">
        <f t="shared" si="142"/>
        <v xml:space="preserve">				.WhereIf(!string.IsNullOrWhiteSpace(input.InnerMaterialType7), e =&gt; e.InnerMaterialType7.Contains(input.InnerMaterialType7))</v>
      </c>
    </row>
    <row r="47" spans="1:23" customFormat="1" ht="18.75" customHeight="1" x14ac:dyDescent="0.25">
      <c r="A47" s="66" t="s">
        <v>397</v>
      </c>
      <c r="B47" t="s">
        <v>369</v>
      </c>
      <c r="C47" t="s">
        <v>1</v>
      </c>
      <c r="D47" t="str">
        <f t="shared" si="130"/>
        <v>InnerMaterialType8</v>
      </c>
      <c r="E47" t="str">
        <f t="shared" si="131"/>
        <v>VARCHAR</v>
      </c>
      <c r="F47" s="6"/>
      <c r="G47" t="str">
        <f t="shared" si="132"/>
        <v>2</v>
      </c>
      <c r="H47" t="str">
        <f>+VLOOKUP(E47,'Data Type Mapping'!A:B,2,)</f>
        <v>string</v>
      </c>
      <c r="I47" t="str">
        <f t="shared" si="133"/>
        <v xml:space="preserve">		public const int MaxInnerMaterialType8Length = 2;
</v>
      </c>
      <c r="J47" t="str">
        <f t="shared" si="134"/>
        <v xml:space="preserve">		[StringLength(MaxInnerMaterialType8Length)]
		public virtual string InnerMaterialType8 { get; set; }
</v>
      </c>
      <c r="K47" s="6"/>
      <c r="L47" t="str">
        <f t="shared" si="135"/>
        <v/>
      </c>
      <c r="M47" t="str">
        <f t="shared" si="136"/>
        <v xml:space="preserve">		public virtual string InnerMaterialType8 { get; set; }
</v>
      </c>
      <c r="N47" t="str">
        <f t="shared" si="137"/>
        <v xml:space="preserve">		[StringLength(InvCkdModuleCaseConsts.MaxInnerMaterialType8Length)]
		public virtual string InnerMaterialType8 { get; set; }
</v>
      </c>
      <c r="O47" t="str">
        <f t="shared" si="138"/>
        <v xml:space="preserve">		public virtual string InnerMaterialType8 { get; set; }
</v>
      </c>
      <c r="P47" t="str">
        <f t="shared" si="139"/>
        <v xml:space="preserve">							InnerMaterialType8 = o.InnerMaterialType8,</v>
      </c>
      <c r="T47" s="63" t="str">
        <f t="shared" si="140"/>
        <v xml:space="preserve">								("InnerMaterialType8"),</v>
      </c>
      <c r="V47" s="64" t="str">
        <f t="shared" si="141"/>
        <v xml:space="preserve">								_ =&gt; _.InnerMaterialType8,</v>
      </c>
      <c r="W47" s="63" t="str">
        <f t="shared" si="142"/>
        <v xml:space="preserve">				.WhereIf(!string.IsNullOrWhiteSpace(input.InnerMaterialType8), e =&gt; e.InnerMaterialType8.Contains(input.InnerMaterialType8))</v>
      </c>
    </row>
    <row r="48" spans="1:23" customFormat="1" ht="18.75" customHeight="1" x14ac:dyDescent="0.25">
      <c r="A48" s="66" t="s">
        <v>398</v>
      </c>
      <c r="B48" t="s">
        <v>369</v>
      </c>
      <c r="C48" t="s">
        <v>1</v>
      </c>
      <c r="D48" t="str">
        <f t="shared" si="130"/>
        <v>InnerMaterialType9</v>
      </c>
      <c r="E48" t="str">
        <f t="shared" si="131"/>
        <v>VARCHAR</v>
      </c>
      <c r="F48" s="6"/>
      <c r="G48" t="str">
        <f t="shared" si="132"/>
        <v>2</v>
      </c>
      <c r="H48" t="str">
        <f>+VLOOKUP(E48,'Data Type Mapping'!A:B,2,)</f>
        <v>string</v>
      </c>
      <c r="I48" t="str">
        <f t="shared" si="133"/>
        <v xml:space="preserve">		public const int MaxInnerMaterialType9Length = 2;
</v>
      </c>
      <c r="J48" t="str">
        <f t="shared" si="134"/>
        <v xml:space="preserve">		[StringLength(MaxInnerMaterialType9Length)]
		public virtual string InnerMaterialType9 { get; set; }
</v>
      </c>
      <c r="K48" s="6"/>
      <c r="L48" t="str">
        <f t="shared" si="135"/>
        <v/>
      </c>
      <c r="M48" t="str">
        <f t="shared" si="136"/>
        <v xml:space="preserve">		public virtual string InnerMaterialType9 { get; set; }
</v>
      </c>
      <c r="N48" t="str">
        <f t="shared" si="137"/>
        <v xml:space="preserve">		[StringLength(InvCkdModuleCaseConsts.MaxInnerMaterialType9Length)]
		public virtual string InnerMaterialType9 { get; set; }
</v>
      </c>
      <c r="O48" t="str">
        <f t="shared" si="138"/>
        <v xml:space="preserve">		public virtual string InnerMaterialType9 { get; set; }
</v>
      </c>
      <c r="P48" t="str">
        <f t="shared" si="139"/>
        <v xml:space="preserve">							InnerMaterialType9 = o.InnerMaterialType9,</v>
      </c>
      <c r="T48" s="63" t="str">
        <f t="shared" si="140"/>
        <v xml:space="preserve">								("InnerMaterialType9"),</v>
      </c>
      <c r="V48" s="64" t="str">
        <f t="shared" si="141"/>
        <v xml:space="preserve">								_ =&gt; _.InnerMaterialType9,</v>
      </c>
      <c r="W48" s="63" t="str">
        <f t="shared" si="142"/>
        <v xml:space="preserve">				.WhereIf(!string.IsNullOrWhiteSpace(input.InnerMaterialType9), e =&gt; e.InnerMaterialType9.Contains(input.InnerMaterialType9))</v>
      </c>
    </row>
    <row r="49" spans="1:23" customFormat="1" ht="18.75" customHeight="1" x14ac:dyDescent="0.25">
      <c r="A49" s="66" t="s">
        <v>399</v>
      </c>
      <c r="B49" t="s">
        <v>369</v>
      </c>
      <c r="C49" t="s">
        <v>1</v>
      </c>
      <c r="D49" t="str">
        <f t="shared" si="130"/>
        <v>InnerMaterialType10</v>
      </c>
      <c r="E49" t="str">
        <f t="shared" si="131"/>
        <v>VARCHAR</v>
      </c>
      <c r="F49" s="6"/>
      <c r="G49" t="str">
        <f t="shared" si="132"/>
        <v>2</v>
      </c>
      <c r="H49" t="str">
        <f>+VLOOKUP(E49,'Data Type Mapping'!A:B,2,)</f>
        <v>string</v>
      </c>
      <c r="I49" t="str">
        <f t="shared" si="133"/>
        <v xml:space="preserve">		public const int MaxInnerMaterialType10Length = 2;
</v>
      </c>
      <c r="J49" t="str">
        <f t="shared" si="134"/>
        <v xml:space="preserve">		[StringLength(MaxInnerMaterialType10Length)]
		public virtual string InnerMaterialType10 { get; set; }
</v>
      </c>
      <c r="K49" s="6"/>
      <c r="L49" t="str">
        <f t="shared" si="135"/>
        <v/>
      </c>
      <c r="M49" t="str">
        <f t="shared" si="136"/>
        <v xml:space="preserve">		public virtual string InnerMaterialType10 { get; set; }
</v>
      </c>
      <c r="N49" t="str">
        <f t="shared" si="137"/>
        <v xml:space="preserve">		[StringLength(InvCkdModuleCaseConsts.MaxInnerMaterialType10Length)]
		public virtual string InnerMaterialType10 { get; set; }
</v>
      </c>
      <c r="O49" t="str">
        <f t="shared" si="138"/>
        <v xml:space="preserve">		public virtual string InnerMaterialType10 { get; set; }
</v>
      </c>
      <c r="P49" t="str">
        <f t="shared" si="139"/>
        <v xml:space="preserve">							InnerMaterialType10 = o.InnerMaterialType10,</v>
      </c>
      <c r="T49" s="63" t="str">
        <f t="shared" si="140"/>
        <v xml:space="preserve">								("InnerMaterialType10"),</v>
      </c>
      <c r="V49" s="64" t="str">
        <f t="shared" si="141"/>
        <v xml:space="preserve">								_ =&gt; _.InnerMaterialType10,</v>
      </c>
      <c r="W49" s="63" t="str">
        <f t="shared" si="142"/>
        <v xml:space="preserve">				.WhereIf(!string.IsNullOrWhiteSpace(input.InnerMaterialType10), e =&gt; e.InnerMaterialType10.Contains(input.InnerMaterialType10))</v>
      </c>
    </row>
    <row r="50" spans="1:23" customFormat="1" ht="18.75" customHeight="1" x14ac:dyDescent="0.25">
      <c r="A50" s="66" t="s">
        <v>400</v>
      </c>
      <c r="B50" t="s">
        <v>369</v>
      </c>
      <c r="C50" t="s">
        <v>1</v>
      </c>
      <c r="D50" t="str">
        <f t="shared" si="130"/>
        <v>InnerMaterialType11</v>
      </c>
      <c r="E50" t="str">
        <f t="shared" si="131"/>
        <v>VARCHAR</v>
      </c>
      <c r="F50" s="6"/>
      <c r="G50" t="str">
        <f t="shared" si="132"/>
        <v>2</v>
      </c>
      <c r="H50" t="str">
        <f>+VLOOKUP(E50,'Data Type Mapping'!A:B,2,)</f>
        <v>string</v>
      </c>
      <c r="I50" t="str">
        <f t="shared" si="133"/>
        <v xml:space="preserve">		public const int MaxInnerMaterialType11Length = 2;
</v>
      </c>
      <c r="J50" t="str">
        <f t="shared" si="134"/>
        <v xml:space="preserve">		[StringLength(MaxInnerMaterialType11Length)]
		public virtual string InnerMaterialType11 { get; set; }
</v>
      </c>
      <c r="K50" s="6"/>
      <c r="L50" t="str">
        <f t="shared" si="135"/>
        <v/>
      </c>
      <c r="M50" t="str">
        <f t="shared" si="136"/>
        <v xml:space="preserve">		public virtual string InnerMaterialType11 { get; set; }
</v>
      </c>
      <c r="N50" t="str">
        <f t="shared" si="137"/>
        <v xml:space="preserve">		[StringLength(InvCkdModuleCaseConsts.MaxInnerMaterialType11Length)]
		public virtual string InnerMaterialType11 { get; set; }
</v>
      </c>
      <c r="O50" t="str">
        <f t="shared" si="138"/>
        <v xml:space="preserve">		public virtual string InnerMaterialType11 { get; set; }
</v>
      </c>
      <c r="P50" t="str">
        <f t="shared" si="139"/>
        <v xml:space="preserve">							InnerMaterialType11 = o.InnerMaterialType11,</v>
      </c>
      <c r="T50" s="63" t="str">
        <f t="shared" si="140"/>
        <v xml:space="preserve">								("InnerMaterialType11"),</v>
      </c>
      <c r="V50" s="64" t="str">
        <f t="shared" si="141"/>
        <v xml:space="preserve">								_ =&gt; _.InnerMaterialType11,</v>
      </c>
      <c r="W50" s="63" t="str">
        <f t="shared" si="142"/>
        <v xml:space="preserve">				.WhereIf(!string.IsNullOrWhiteSpace(input.InnerMaterialType11), e =&gt; e.InnerMaterialType11.Contains(input.InnerMaterialType11))</v>
      </c>
    </row>
    <row r="51" spans="1:23" customFormat="1" ht="18.75" customHeight="1" x14ac:dyDescent="0.25">
      <c r="A51" s="66" t="s">
        <v>401</v>
      </c>
      <c r="B51" t="s">
        <v>369</v>
      </c>
      <c r="C51" t="s">
        <v>1</v>
      </c>
      <c r="D51" t="str">
        <f t="shared" si="130"/>
        <v>InnerMaterialType12</v>
      </c>
      <c r="E51" t="str">
        <f t="shared" si="131"/>
        <v>VARCHAR</v>
      </c>
      <c r="F51" s="6"/>
      <c r="G51" t="str">
        <f t="shared" si="132"/>
        <v>2</v>
      </c>
      <c r="H51" t="str">
        <f>+VLOOKUP(E51,'Data Type Mapping'!A:B,2,)</f>
        <v>string</v>
      </c>
      <c r="I51" t="str">
        <f t="shared" si="133"/>
        <v xml:space="preserve">		public const int MaxInnerMaterialType12Length = 2;
</v>
      </c>
      <c r="J51" t="str">
        <f t="shared" si="134"/>
        <v xml:space="preserve">		[StringLength(MaxInnerMaterialType12Length)]
		public virtual string InnerMaterialType12 { get; set; }
</v>
      </c>
      <c r="K51" s="6"/>
      <c r="L51" t="str">
        <f t="shared" si="135"/>
        <v/>
      </c>
      <c r="M51" t="str">
        <f t="shared" si="136"/>
        <v xml:space="preserve">		public virtual string InnerMaterialType12 { get; set; }
</v>
      </c>
      <c r="N51" t="str">
        <f t="shared" si="137"/>
        <v xml:space="preserve">		[StringLength(InvCkdModuleCaseConsts.MaxInnerMaterialType12Length)]
		public virtual string InnerMaterialType12 { get; set; }
</v>
      </c>
      <c r="O51" t="str">
        <f t="shared" si="138"/>
        <v xml:space="preserve">		public virtual string InnerMaterialType12 { get; set; }
</v>
      </c>
      <c r="P51" t="str">
        <f t="shared" si="139"/>
        <v xml:space="preserve">							InnerMaterialType12 = o.InnerMaterialType12,</v>
      </c>
      <c r="T51" s="63" t="str">
        <f t="shared" si="140"/>
        <v xml:space="preserve">								("InnerMaterialType12"),</v>
      </c>
      <c r="V51" s="64" t="str">
        <f t="shared" si="141"/>
        <v xml:space="preserve">								_ =&gt; _.InnerMaterialType12,</v>
      </c>
      <c r="W51" s="63" t="str">
        <f t="shared" si="142"/>
        <v xml:space="preserve">				.WhereIf(!string.IsNullOrWhiteSpace(input.InnerMaterialType12), e =&gt; e.InnerMaterialType12.Contains(input.InnerMaterialType12))</v>
      </c>
    </row>
    <row r="52" spans="1:23" customFormat="1" ht="18.75" customHeight="1" x14ac:dyDescent="0.25">
      <c r="A52" s="66" t="s">
        <v>402</v>
      </c>
      <c r="B52" t="s">
        <v>4</v>
      </c>
      <c r="C52" t="s">
        <v>1</v>
      </c>
      <c r="D52" t="str">
        <f t="shared" si="117"/>
        <v>InnerMaterialQuantity1</v>
      </c>
      <c r="E52" t="str">
        <f t="shared" si="118"/>
        <v>int</v>
      </c>
      <c r="F52" s="6"/>
      <c r="G52" t="str">
        <f t="shared" si="119"/>
        <v/>
      </c>
      <c r="H52" t="str">
        <f>+VLOOKUP(E52,'Data Type Mapping'!A:B,2,)</f>
        <v>int?</v>
      </c>
      <c r="I52" t="str">
        <f t="shared" si="120"/>
        <v/>
      </c>
      <c r="J52" t="str">
        <f t="shared" si="121"/>
        <v xml:space="preserve">		public virtual int? InnerMaterialQuantity1 { get; set; }
</v>
      </c>
      <c r="K52" s="6"/>
      <c r="L52" t="str">
        <f t="shared" si="122"/>
        <v/>
      </c>
      <c r="M52" t="str">
        <f t="shared" si="123"/>
        <v xml:space="preserve">		public virtual int? InnerMaterialQuantity1 { get; set; }
</v>
      </c>
      <c r="N52" t="str">
        <f t="shared" si="124"/>
        <v xml:space="preserve">		public virtual int? InnerMaterialQuantity1 { get; set; }
</v>
      </c>
      <c r="O52" t="str">
        <f t="shared" si="125"/>
        <v/>
      </c>
      <c r="P52" t="str">
        <f t="shared" si="126"/>
        <v xml:space="preserve">							InnerMaterialQuantity1 = o.InnerMaterialQuantity1,</v>
      </c>
      <c r="T52" s="63" t="str">
        <f t="shared" si="127"/>
        <v xml:space="preserve">								("InnerMaterialQuantity1"),</v>
      </c>
      <c r="V52" s="64" t="str">
        <f t="shared" si="128"/>
        <v xml:space="preserve">								_ =&gt; _.InnerMaterialQuantity1,</v>
      </c>
      <c r="W52" s="63" t="str">
        <f t="shared" si="129"/>
        <v/>
      </c>
    </row>
    <row r="53" spans="1:23" customFormat="1" ht="18.75" customHeight="1" x14ac:dyDescent="0.25">
      <c r="A53" s="66" t="s">
        <v>403</v>
      </c>
      <c r="B53" t="s">
        <v>4</v>
      </c>
      <c r="C53" t="s">
        <v>1</v>
      </c>
      <c r="D53" t="str">
        <f t="shared" si="117"/>
        <v>InnerMaterialQuantity2</v>
      </c>
      <c r="E53" t="str">
        <f t="shared" si="118"/>
        <v>int</v>
      </c>
      <c r="F53" s="6"/>
      <c r="G53" t="str">
        <f t="shared" si="119"/>
        <v/>
      </c>
      <c r="H53" t="str">
        <f>+VLOOKUP(E53,'Data Type Mapping'!A:B,2,)</f>
        <v>int?</v>
      </c>
      <c r="I53" t="str">
        <f t="shared" si="120"/>
        <v/>
      </c>
      <c r="J53" t="str">
        <f t="shared" si="121"/>
        <v xml:space="preserve">		public virtual int? InnerMaterialQuantity2 { get; set; }
</v>
      </c>
      <c r="K53" s="6"/>
      <c r="L53" t="str">
        <f t="shared" si="122"/>
        <v/>
      </c>
      <c r="M53" t="str">
        <f t="shared" si="123"/>
        <v xml:space="preserve">		public virtual int? InnerMaterialQuantity2 { get; set; }
</v>
      </c>
      <c r="N53" t="str">
        <f t="shared" si="124"/>
        <v xml:space="preserve">		public virtual int? InnerMaterialQuantity2 { get; set; }
</v>
      </c>
      <c r="O53" t="str">
        <f t="shared" si="125"/>
        <v/>
      </c>
      <c r="P53" t="str">
        <f t="shared" si="126"/>
        <v xml:space="preserve">							InnerMaterialQuantity2 = o.InnerMaterialQuantity2,</v>
      </c>
      <c r="T53" s="63" t="str">
        <f t="shared" si="127"/>
        <v xml:space="preserve">								("InnerMaterialQuantity2"),</v>
      </c>
      <c r="V53" s="64" t="str">
        <f t="shared" si="128"/>
        <v xml:space="preserve">								_ =&gt; _.InnerMaterialQuantity2,</v>
      </c>
      <c r="W53" s="63" t="str">
        <f t="shared" si="129"/>
        <v/>
      </c>
    </row>
    <row r="54" spans="1:23" customFormat="1" ht="18.75" customHeight="1" x14ac:dyDescent="0.25">
      <c r="A54" s="66" t="s">
        <v>404</v>
      </c>
      <c r="B54" t="s">
        <v>4</v>
      </c>
      <c r="C54" t="s">
        <v>1</v>
      </c>
      <c r="D54" t="str">
        <f t="shared" si="117"/>
        <v>InnerMaterialQuantity3</v>
      </c>
      <c r="E54" t="str">
        <f t="shared" si="118"/>
        <v>int</v>
      </c>
      <c r="F54" s="6"/>
      <c r="G54" t="str">
        <f t="shared" si="119"/>
        <v/>
      </c>
      <c r="H54" t="str">
        <f>+VLOOKUP(E54,'Data Type Mapping'!A:B,2,)</f>
        <v>int?</v>
      </c>
      <c r="I54" t="str">
        <f t="shared" si="120"/>
        <v/>
      </c>
      <c r="J54" t="str">
        <f t="shared" si="121"/>
        <v xml:space="preserve">		public virtual int? InnerMaterialQuantity3 { get; set; }
</v>
      </c>
      <c r="K54" s="6"/>
      <c r="L54" t="str">
        <f t="shared" si="122"/>
        <v/>
      </c>
      <c r="M54" t="str">
        <f t="shared" si="123"/>
        <v xml:space="preserve">		public virtual int? InnerMaterialQuantity3 { get; set; }
</v>
      </c>
      <c r="N54" t="str">
        <f t="shared" si="124"/>
        <v xml:space="preserve">		public virtual int? InnerMaterialQuantity3 { get; set; }
</v>
      </c>
      <c r="O54" t="str">
        <f t="shared" si="125"/>
        <v/>
      </c>
      <c r="P54" t="str">
        <f t="shared" si="126"/>
        <v xml:space="preserve">							InnerMaterialQuantity3 = o.InnerMaterialQuantity3,</v>
      </c>
      <c r="T54" s="63" t="str">
        <f t="shared" si="127"/>
        <v xml:space="preserve">								("InnerMaterialQuantity3"),</v>
      </c>
      <c r="V54" s="64" t="str">
        <f t="shared" si="128"/>
        <v xml:space="preserve">								_ =&gt; _.InnerMaterialQuantity3,</v>
      </c>
      <c r="W54" s="63" t="str">
        <f t="shared" si="129"/>
        <v/>
      </c>
    </row>
    <row r="55" spans="1:23" customFormat="1" ht="18.75" customHeight="1" x14ac:dyDescent="0.25">
      <c r="A55" s="66" t="s">
        <v>405</v>
      </c>
      <c r="B55" t="s">
        <v>4</v>
      </c>
      <c r="C55" t="s">
        <v>1</v>
      </c>
      <c r="D55" t="str">
        <f t="shared" si="117"/>
        <v>InnerMaterialQuantity4</v>
      </c>
      <c r="E55" t="str">
        <f t="shared" si="118"/>
        <v>int</v>
      </c>
      <c r="F55" s="6"/>
      <c r="G55" t="str">
        <f t="shared" si="119"/>
        <v/>
      </c>
      <c r="H55" t="str">
        <f>+VLOOKUP(E55,'Data Type Mapping'!A:B,2,)</f>
        <v>int?</v>
      </c>
      <c r="I55" t="str">
        <f t="shared" si="120"/>
        <v/>
      </c>
      <c r="J55" t="str">
        <f t="shared" si="121"/>
        <v xml:space="preserve">		public virtual int? InnerMaterialQuantity4 { get; set; }
</v>
      </c>
      <c r="K55" s="6"/>
      <c r="L55" t="str">
        <f t="shared" si="122"/>
        <v/>
      </c>
      <c r="M55" t="str">
        <f t="shared" si="123"/>
        <v xml:space="preserve">		public virtual int? InnerMaterialQuantity4 { get; set; }
</v>
      </c>
      <c r="N55" t="str">
        <f t="shared" si="124"/>
        <v xml:space="preserve">		public virtual int? InnerMaterialQuantity4 { get; set; }
</v>
      </c>
      <c r="O55" t="str">
        <f t="shared" si="125"/>
        <v/>
      </c>
      <c r="P55" t="str">
        <f t="shared" si="126"/>
        <v xml:space="preserve">							InnerMaterialQuantity4 = o.InnerMaterialQuantity4,</v>
      </c>
      <c r="T55" s="63" t="str">
        <f t="shared" si="127"/>
        <v xml:space="preserve">								("InnerMaterialQuantity4"),</v>
      </c>
      <c r="V55" s="64" t="str">
        <f t="shared" si="128"/>
        <v xml:space="preserve">								_ =&gt; _.InnerMaterialQuantity4,</v>
      </c>
      <c r="W55" s="63" t="str">
        <f t="shared" si="129"/>
        <v/>
      </c>
    </row>
    <row r="56" spans="1:23" customFormat="1" ht="18.75" customHeight="1" x14ac:dyDescent="0.25">
      <c r="A56" s="66" t="s">
        <v>406</v>
      </c>
      <c r="B56" t="s">
        <v>4</v>
      </c>
      <c r="C56" t="s">
        <v>1</v>
      </c>
      <c r="D56" t="str">
        <f t="shared" si="117"/>
        <v>InnerMaterialQuantity5</v>
      </c>
      <c r="E56" t="str">
        <f t="shared" si="118"/>
        <v>int</v>
      </c>
      <c r="F56" s="6"/>
      <c r="G56" t="str">
        <f t="shared" si="119"/>
        <v/>
      </c>
      <c r="H56" t="str">
        <f>+VLOOKUP(E56,'Data Type Mapping'!A:B,2,)</f>
        <v>int?</v>
      </c>
      <c r="I56" t="str">
        <f t="shared" si="120"/>
        <v/>
      </c>
      <c r="J56" t="str">
        <f t="shared" si="121"/>
        <v xml:space="preserve">		public virtual int? InnerMaterialQuantity5 { get; set; }
</v>
      </c>
      <c r="K56" s="6"/>
      <c r="L56" t="str">
        <f t="shared" si="122"/>
        <v/>
      </c>
      <c r="M56" t="str">
        <f t="shared" si="123"/>
        <v xml:space="preserve">		public virtual int? InnerMaterialQuantity5 { get; set; }
</v>
      </c>
      <c r="N56" t="str">
        <f t="shared" si="124"/>
        <v xml:space="preserve">		public virtual int? InnerMaterialQuantity5 { get; set; }
</v>
      </c>
      <c r="O56" t="str">
        <f t="shared" si="125"/>
        <v/>
      </c>
      <c r="P56" t="str">
        <f t="shared" si="126"/>
        <v xml:space="preserve">							InnerMaterialQuantity5 = o.InnerMaterialQuantity5,</v>
      </c>
      <c r="T56" s="63" t="str">
        <f t="shared" si="127"/>
        <v xml:space="preserve">								("InnerMaterialQuantity5"),</v>
      </c>
      <c r="V56" s="64" t="str">
        <f t="shared" si="128"/>
        <v xml:space="preserve">								_ =&gt; _.InnerMaterialQuantity5,</v>
      </c>
      <c r="W56" s="63" t="str">
        <f t="shared" si="129"/>
        <v/>
      </c>
    </row>
    <row r="57" spans="1:23" customFormat="1" ht="18.75" customHeight="1" x14ac:dyDescent="0.25">
      <c r="A57" s="66" t="s">
        <v>407</v>
      </c>
      <c r="B57" t="s">
        <v>4</v>
      </c>
      <c r="C57" t="s">
        <v>1</v>
      </c>
      <c r="D57" t="str">
        <f t="shared" si="117"/>
        <v>InnerMaterialQuantity6</v>
      </c>
      <c r="E57" t="str">
        <f t="shared" si="118"/>
        <v>int</v>
      </c>
      <c r="F57" s="6"/>
      <c r="G57" t="str">
        <f t="shared" si="119"/>
        <v/>
      </c>
      <c r="H57" t="str">
        <f>+VLOOKUP(E57,'Data Type Mapping'!A:B,2,)</f>
        <v>int?</v>
      </c>
      <c r="I57" t="str">
        <f t="shared" si="120"/>
        <v/>
      </c>
      <c r="J57" t="str">
        <f t="shared" si="121"/>
        <v xml:space="preserve">		public virtual int? InnerMaterialQuantity6 { get; set; }
</v>
      </c>
      <c r="K57" s="6"/>
      <c r="L57" t="str">
        <f t="shared" si="122"/>
        <v/>
      </c>
      <c r="M57" t="str">
        <f t="shared" si="123"/>
        <v xml:space="preserve">		public virtual int? InnerMaterialQuantity6 { get; set; }
</v>
      </c>
      <c r="N57" t="str">
        <f t="shared" si="124"/>
        <v xml:space="preserve">		public virtual int? InnerMaterialQuantity6 { get; set; }
</v>
      </c>
      <c r="O57" t="str">
        <f t="shared" si="125"/>
        <v/>
      </c>
      <c r="P57" t="str">
        <f t="shared" si="126"/>
        <v xml:space="preserve">							InnerMaterialQuantity6 = o.InnerMaterialQuantity6,</v>
      </c>
      <c r="T57" s="63" t="str">
        <f t="shared" si="127"/>
        <v xml:space="preserve">								("InnerMaterialQuantity6"),</v>
      </c>
      <c r="V57" s="64" t="str">
        <f t="shared" si="128"/>
        <v xml:space="preserve">								_ =&gt; _.InnerMaterialQuantity6,</v>
      </c>
      <c r="W57" s="63" t="str">
        <f t="shared" si="129"/>
        <v/>
      </c>
    </row>
    <row r="58" spans="1:23" customFormat="1" ht="18.75" customHeight="1" x14ac:dyDescent="0.25">
      <c r="A58" s="66" t="s">
        <v>408</v>
      </c>
      <c r="B58" t="s">
        <v>4</v>
      </c>
      <c r="C58" t="s">
        <v>1</v>
      </c>
      <c r="D58" t="str">
        <f t="shared" si="117"/>
        <v>InnerMaterialQuantity7</v>
      </c>
      <c r="E58" t="str">
        <f t="shared" si="118"/>
        <v>int</v>
      </c>
      <c r="F58" s="6"/>
      <c r="G58" t="str">
        <f t="shared" si="119"/>
        <v/>
      </c>
      <c r="H58" t="str">
        <f>+VLOOKUP(E58,'Data Type Mapping'!A:B,2,)</f>
        <v>int?</v>
      </c>
      <c r="I58" t="str">
        <f t="shared" si="120"/>
        <v/>
      </c>
      <c r="J58" t="str">
        <f t="shared" si="121"/>
        <v xml:space="preserve">		public virtual int? InnerMaterialQuantity7 { get; set; }
</v>
      </c>
      <c r="K58" s="6"/>
      <c r="L58" t="str">
        <f t="shared" si="122"/>
        <v/>
      </c>
      <c r="M58" t="str">
        <f t="shared" si="123"/>
        <v xml:space="preserve">		public virtual int? InnerMaterialQuantity7 { get; set; }
</v>
      </c>
      <c r="N58" t="str">
        <f t="shared" si="124"/>
        <v xml:space="preserve">		public virtual int? InnerMaterialQuantity7 { get; set; }
</v>
      </c>
      <c r="O58" t="str">
        <f t="shared" si="125"/>
        <v/>
      </c>
      <c r="P58" t="str">
        <f t="shared" si="126"/>
        <v xml:space="preserve">							InnerMaterialQuantity7 = o.InnerMaterialQuantity7,</v>
      </c>
      <c r="T58" s="63" t="str">
        <f t="shared" si="127"/>
        <v xml:space="preserve">								("InnerMaterialQuantity7"),</v>
      </c>
      <c r="V58" s="64" t="str">
        <f t="shared" si="128"/>
        <v xml:space="preserve">								_ =&gt; _.InnerMaterialQuantity7,</v>
      </c>
      <c r="W58" s="63" t="str">
        <f t="shared" si="129"/>
        <v/>
      </c>
    </row>
    <row r="59" spans="1:23" customFormat="1" ht="18.75" customHeight="1" x14ac:dyDescent="0.25">
      <c r="A59" s="66" t="s">
        <v>409</v>
      </c>
      <c r="B59" t="s">
        <v>4</v>
      </c>
      <c r="C59" t="s">
        <v>1</v>
      </c>
      <c r="D59" t="str">
        <f t="shared" si="117"/>
        <v>InnerMaterialQuantity8</v>
      </c>
      <c r="E59" t="str">
        <f t="shared" si="118"/>
        <v>int</v>
      </c>
      <c r="F59" s="6"/>
      <c r="G59" t="str">
        <f t="shared" si="119"/>
        <v/>
      </c>
      <c r="H59" t="str">
        <f>+VLOOKUP(E59,'Data Type Mapping'!A:B,2,)</f>
        <v>int?</v>
      </c>
      <c r="I59" t="str">
        <f t="shared" si="120"/>
        <v/>
      </c>
      <c r="J59" t="str">
        <f t="shared" si="121"/>
        <v xml:space="preserve">		public virtual int? InnerMaterialQuantity8 { get; set; }
</v>
      </c>
      <c r="K59" s="6"/>
      <c r="L59" t="str">
        <f t="shared" si="122"/>
        <v/>
      </c>
      <c r="M59" t="str">
        <f t="shared" si="123"/>
        <v xml:space="preserve">		public virtual int? InnerMaterialQuantity8 { get; set; }
</v>
      </c>
      <c r="N59" t="str">
        <f t="shared" si="124"/>
        <v xml:space="preserve">		public virtual int? InnerMaterialQuantity8 { get; set; }
</v>
      </c>
      <c r="O59" t="str">
        <f t="shared" si="125"/>
        <v/>
      </c>
      <c r="P59" t="str">
        <f t="shared" si="126"/>
        <v xml:space="preserve">							InnerMaterialQuantity8 = o.InnerMaterialQuantity8,</v>
      </c>
      <c r="T59" s="63" t="str">
        <f t="shared" si="127"/>
        <v xml:space="preserve">								("InnerMaterialQuantity8"),</v>
      </c>
      <c r="V59" s="64" t="str">
        <f t="shared" si="128"/>
        <v xml:space="preserve">								_ =&gt; _.InnerMaterialQuantity8,</v>
      </c>
      <c r="W59" s="63" t="str">
        <f t="shared" si="129"/>
        <v/>
      </c>
    </row>
    <row r="60" spans="1:23" customFormat="1" ht="18.75" customHeight="1" x14ac:dyDescent="0.25">
      <c r="A60" s="66" t="s">
        <v>410</v>
      </c>
      <c r="B60" t="s">
        <v>4</v>
      </c>
      <c r="C60" t="s">
        <v>1</v>
      </c>
      <c r="D60" t="str">
        <f t="shared" si="117"/>
        <v>InnerMaterialQuantity9</v>
      </c>
      <c r="E60" t="str">
        <f t="shared" si="118"/>
        <v>int</v>
      </c>
      <c r="F60" s="6"/>
      <c r="G60" t="str">
        <f t="shared" si="119"/>
        <v/>
      </c>
      <c r="H60" t="str">
        <f>+VLOOKUP(E60,'Data Type Mapping'!A:B,2,)</f>
        <v>int?</v>
      </c>
      <c r="I60" t="str">
        <f t="shared" si="120"/>
        <v/>
      </c>
      <c r="J60" t="str">
        <f t="shared" si="121"/>
        <v xml:space="preserve">		public virtual int? InnerMaterialQuantity9 { get; set; }
</v>
      </c>
      <c r="K60" s="6"/>
      <c r="L60" t="str">
        <f t="shared" si="122"/>
        <v/>
      </c>
      <c r="M60" t="str">
        <f t="shared" si="123"/>
        <v xml:space="preserve">		public virtual int? InnerMaterialQuantity9 { get; set; }
</v>
      </c>
      <c r="N60" t="str">
        <f t="shared" si="124"/>
        <v xml:space="preserve">		public virtual int? InnerMaterialQuantity9 { get; set; }
</v>
      </c>
      <c r="O60" t="str">
        <f t="shared" si="125"/>
        <v/>
      </c>
      <c r="P60" t="str">
        <f t="shared" si="126"/>
        <v xml:space="preserve">							InnerMaterialQuantity9 = o.InnerMaterialQuantity9,</v>
      </c>
      <c r="T60" s="63" t="str">
        <f t="shared" si="127"/>
        <v xml:space="preserve">								("InnerMaterialQuantity9"),</v>
      </c>
      <c r="V60" s="64" t="str">
        <f t="shared" si="128"/>
        <v xml:space="preserve">								_ =&gt; _.InnerMaterialQuantity9,</v>
      </c>
      <c r="W60" s="63" t="str">
        <f t="shared" si="129"/>
        <v/>
      </c>
    </row>
    <row r="61" spans="1:23" customFormat="1" ht="18.75" customHeight="1" x14ac:dyDescent="0.25">
      <c r="A61" s="66" t="s">
        <v>411</v>
      </c>
      <c r="B61" t="s">
        <v>4</v>
      </c>
      <c r="C61" t="s">
        <v>1</v>
      </c>
      <c r="D61" t="str">
        <f t="shared" si="117"/>
        <v>InnerMaterialQuantity10</v>
      </c>
      <c r="E61" t="str">
        <f t="shared" si="118"/>
        <v>int</v>
      </c>
      <c r="F61" s="6"/>
      <c r="G61" t="str">
        <f t="shared" si="119"/>
        <v/>
      </c>
      <c r="H61" t="str">
        <f>+VLOOKUP(E61,'Data Type Mapping'!A:B,2,)</f>
        <v>int?</v>
      </c>
      <c r="I61" t="str">
        <f t="shared" si="120"/>
        <v/>
      </c>
      <c r="J61" t="str">
        <f t="shared" si="121"/>
        <v xml:space="preserve">		public virtual int? InnerMaterialQuantity10 { get; set; }
</v>
      </c>
      <c r="K61" s="6"/>
      <c r="L61" t="str">
        <f t="shared" si="122"/>
        <v/>
      </c>
      <c r="M61" t="str">
        <f t="shared" si="123"/>
        <v xml:space="preserve">		public virtual int? InnerMaterialQuantity10 { get; set; }
</v>
      </c>
      <c r="N61" t="str">
        <f t="shared" si="124"/>
        <v xml:space="preserve">		public virtual int? InnerMaterialQuantity10 { get; set; }
</v>
      </c>
      <c r="O61" t="str">
        <f t="shared" si="125"/>
        <v/>
      </c>
      <c r="P61" t="str">
        <f t="shared" si="126"/>
        <v xml:space="preserve">							InnerMaterialQuantity10 = o.InnerMaterialQuantity10,</v>
      </c>
      <c r="T61" s="63" t="str">
        <f t="shared" si="127"/>
        <v xml:space="preserve">								("InnerMaterialQuantity10"),</v>
      </c>
      <c r="V61" s="64" t="str">
        <f t="shared" si="128"/>
        <v xml:space="preserve">								_ =&gt; _.InnerMaterialQuantity10,</v>
      </c>
      <c r="W61" s="63" t="str">
        <f t="shared" si="129"/>
        <v/>
      </c>
    </row>
    <row r="62" spans="1:23" customFormat="1" ht="18.75" customHeight="1" x14ac:dyDescent="0.25">
      <c r="A62" s="66" t="s">
        <v>412</v>
      </c>
      <c r="B62" t="s">
        <v>4</v>
      </c>
      <c r="C62" t="s">
        <v>1</v>
      </c>
      <c r="D62" t="str">
        <f t="shared" si="117"/>
        <v>InnerMaterialQuantity11</v>
      </c>
      <c r="E62" t="str">
        <f t="shared" si="118"/>
        <v>int</v>
      </c>
      <c r="F62" s="6"/>
      <c r="G62" t="str">
        <f t="shared" si="119"/>
        <v/>
      </c>
      <c r="H62" t="str">
        <f>+VLOOKUP(E62,'Data Type Mapping'!A:B,2,)</f>
        <v>int?</v>
      </c>
      <c r="I62" t="str">
        <f t="shared" si="120"/>
        <v/>
      </c>
      <c r="J62" t="str">
        <f t="shared" si="121"/>
        <v xml:space="preserve">		public virtual int? InnerMaterialQuantity11 { get; set; }
</v>
      </c>
      <c r="K62" s="6"/>
      <c r="L62" t="str">
        <f t="shared" si="122"/>
        <v/>
      </c>
      <c r="M62" t="str">
        <f t="shared" si="123"/>
        <v xml:space="preserve">		public virtual int? InnerMaterialQuantity11 { get; set; }
</v>
      </c>
      <c r="N62" t="str">
        <f t="shared" si="124"/>
        <v xml:space="preserve">		public virtual int? InnerMaterialQuantity11 { get; set; }
</v>
      </c>
      <c r="O62" t="str">
        <f t="shared" si="125"/>
        <v/>
      </c>
      <c r="P62" t="str">
        <f t="shared" si="126"/>
        <v xml:space="preserve">							InnerMaterialQuantity11 = o.InnerMaterialQuantity11,</v>
      </c>
      <c r="T62" s="63" t="str">
        <f t="shared" si="127"/>
        <v xml:space="preserve">								("InnerMaterialQuantity11"),</v>
      </c>
      <c r="V62" s="64" t="str">
        <f t="shared" si="128"/>
        <v xml:space="preserve">								_ =&gt; _.InnerMaterialQuantity11,</v>
      </c>
      <c r="W62" s="63" t="str">
        <f t="shared" si="129"/>
        <v/>
      </c>
    </row>
    <row r="63" spans="1:23" customFormat="1" ht="18.75" customHeight="1" x14ac:dyDescent="0.25">
      <c r="A63" s="66" t="s">
        <v>413</v>
      </c>
      <c r="B63" t="s">
        <v>4</v>
      </c>
      <c r="C63" t="s">
        <v>1</v>
      </c>
      <c r="D63" t="str">
        <f t="shared" si="117"/>
        <v>InnerMaterialQuantity12</v>
      </c>
      <c r="E63" t="str">
        <f t="shared" si="118"/>
        <v>int</v>
      </c>
      <c r="F63" s="6"/>
      <c r="G63" t="str">
        <f t="shared" si="119"/>
        <v/>
      </c>
      <c r="H63" t="str">
        <f>+VLOOKUP(E63,'Data Type Mapping'!A:B,2,)</f>
        <v>int?</v>
      </c>
      <c r="I63" t="str">
        <f t="shared" si="120"/>
        <v/>
      </c>
      <c r="J63" t="str">
        <f t="shared" si="121"/>
        <v xml:space="preserve">		public virtual int? InnerMaterialQuantity12 { get; set; }
</v>
      </c>
      <c r="K63" s="6"/>
      <c r="L63" t="str">
        <f t="shared" si="122"/>
        <v/>
      </c>
      <c r="M63" t="str">
        <f t="shared" si="123"/>
        <v xml:space="preserve">		public virtual int? InnerMaterialQuantity12 { get; set; }
</v>
      </c>
      <c r="N63" t="str">
        <f t="shared" si="124"/>
        <v xml:space="preserve">		public virtual int? InnerMaterialQuantity12 { get; set; }
</v>
      </c>
      <c r="O63" t="str">
        <f t="shared" si="125"/>
        <v/>
      </c>
      <c r="P63" t="str">
        <f t="shared" si="126"/>
        <v xml:space="preserve">							InnerMaterialQuantity12 = o.InnerMaterialQuantity12,</v>
      </c>
      <c r="T63" s="63" t="str">
        <f t="shared" si="127"/>
        <v xml:space="preserve">								("InnerMaterialQuantity12"),</v>
      </c>
      <c r="V63" s="64" t="str">
        <f t="shared" si="128"/>
        <v xml:space="preserve">								_ =&gt; _.InnerMaterialQuantity12,</v>
      </c>
      <c r="W63" s="63" t="str">
        <f t="shared" si="129"/>
        <v/>
      </c>
    </row>
    <row r="64" spans="1:23" customFormat="1" ht="18.75" customHeight="1" x14ac:dyDescent="0.25">
      <c r="A64" s="66" t="s">
        <v>350</v>
      </c>
      <c r="B64" t="s">
        <v>4</v>
      </c>
      <c r="C64" t="s">
        <v>1</v>
      </c>
      <c r="D64" t="str">
        <f t="shared" si="117"/>
        <v>Status</v>
      </c>
      <c r="E64" t="str">
        <f t="shared" si="118"/>
        <v>int</v>
      </c>
      <c r="F64" s="6"/>
      <c r="G64" t="str">
        <f t="shared" si="119"/>
        <v/>
      </c>
      <c r="H64" t="str">
        <f>+VLOOKUP(E64,'Data Type Mapping'!A:B,2,)</f>
        <v>int?</v>
      </c>
      <c r="I64" t="str">
        <f t="shared" si="120"/>
        <v/>
      </c>
      <c r="J64" t="str">
        <f t="shared" si="121"/>
        <v xml:space="preserve">		public virtual int? Status { get; set; }
</v>
      </c>
      <c r="K64" s="6"/>
      <c r="L64" t="str">
        <f t="shared" si="122"/>
        <v/>
      </c>
      <c r="M64" t="str">
        <f t="shared" si="123"/>
        <v xml:space="preserve">		public virtual int? Status { get; set; }
</v>
      </c>
      <c r="N64" t="str">
        <f t="shared" si="124"/>
        <v xml:space="preserve">		public virtual int? Status { get; set; }
</v>
      </c>
      <c r="O64" t="str">
        <f t="shared" si="125"/>
        <v/>
      </c>
      <c r="P64" t="str">
        <f t="shared" si="126"/>
        <v xml:space="preserve">							Status = o.Status,</v>
      </c>
      <c r="T64" s="63" t="str">
        <f t="shared" si="127"/>
        <v xml:space="preserve">								("Status"),</v>
      </c>
      <c r="V64" s="64" t="str">
        <f t="shared" si="128"/>
        <v xml:space="preserve">								_ =&gt; _.Status,</v>
      </c>
      <c r="W64" s="63" t="str">
        <f t="shared" si="129"/>
        <v/>
      </c>
    </row>
    <row r="65" spans="1:23" customFormat="1" ht="18.75" customHeight="1" x14ac:dyDescent="0.25">
      <c r="A65" s="66" t="s">
        <v>319</v>
      </c>
      <c r="B65" t="s">
        <v>370</v>
      </c>
      <c r="C65" t="s">
        <v>1</v>
      </c>
      <c r="D65" t="str">
        <f t="shared" si="117"/>
        <v>IsActive</v>
      </c>
      <c r="E65" t="str">
        <f t="shared" si="118"/>
        <v>VARCHAR</v>
      </c>
      <c r="F65" s="6"/>
      <c r="G65" t="str">
        <f t="shared" si="119"/>
        <v>1</v>
      </c>
      <c r="H65" t="str">
        <f>+VLOOKUP(E65,'Data Type Mapping'!A:B,2,)</f>
        <v>string</v>
      </c>
      <c r="I65" t="str">
        <f t="shared" si="120"/>
        <v xml:space="preserve">		public const int MaxIsActiveLength = 1;
</v>
      </c>
      <c r="J65" t="str">
        <f t="shared" si="121"/>
        <v xml:space="preserve">		[StringLength(MaxIsActiveLength)]
		public virtual string IsActive { get; set; }
</v>
      </c>
      <c r="K65" s="6"/>
      <c r="L65" t="str">
        <f t="shared" si="122"/>
        <v/>
      </c>
      <c r="M65" t="str">
        <f t="shared" si="123"/>
        <v xml:space="preserve">		public virtual string IsActive { get; set; }
</v>
      </c>
      <c r="N65" t="str">
        <f t="shared" si="124"/>
        <v xml:space="preserve">		[StringLength(InvCkdModuleCaseConsts.MaxIsActiveLength)]
		public virtual string IsActive { get; set; }
</v>
      </c>
      <c r="O65" t="str">
        <f t="shared" si="125"/>
        <v xml:space="preserve">		public virtual string IsActive { get; set; }
</v>
      </c>
      <c r="P65" t="str">
        <f t="shared" si="126"/>
        <v xml:space="preserve">							IsActive = o.IsActive,</v>
      </c>
      <c r="T65" s="63" t="str">
        <f t="shared" si="127"/>
        <v xml:space="preserve">								("IsActive"),</v>
      </c>
      <c r="V65" s="64" t="str">
        <f t="shared" si="128"/>
        <v xml:space="preserve">								_ =&gt; _.IsActive,</v>
      </c>
      <c r="W65" s="63" t="str">
        <f t="shared" si="129"/>
        <v xml:space="preserve">				.WhereIf(!string.IsNullOrWhiteSpace(input.IsActive), e =&gt; e.IsActive.Contains(input.IsActive))</v>
      </c>
    </row>
    <row r="67" spans="1:23" ht="45.75" customHeight="1" x14ac:dyDescent="0.25">
      <c r="H67" s="11"/>
      <c r="I67" s="31" t="str">
        <f ca="1">TEXTJOIN2("
", TRUE,INDIRECT( $H$1):INDIRECT( $H$3))</f>
        <v xml:space="preserve">		public const int MaxModuleNoLength = 12;
		public const int MaxCaseNoLength = 12;
		public const int MaxContainerNoLength = 15;
		public const int MaxRenbanLength = 6;
		public const int MaxLotNoLength = 10;
		public const int MaxSupplierNoLength = 10;
		public const int MaxModuleCaseNoLength = 12;
		public const int MaxInvoiceNoLength = 20;
		public const int MaxStorageLocationCodeLength = 12;
		public const int MaxLocationByLength = 50;
		public const int MaxDummyLength = 10;
		public const int MaxDgflagLength = 5;
		public const int MaxPackingTypeLength = 3;
		public const int MaxRrTypeLength = 2;
		public const int MaxInnerMaterialType1Length = 2;
		public const int MaxInnerMaterialType2Length = 2;
		public const int MaxInnerMaterialType3Length = 2;
		public const int MaxInnerMaterialType4Length = 2;
		public const int MaxInnerMaterialType5Length = 2;
		public const int MaxInnerMaterialType6Length = 2;
		public const int MaxInnerMaterialType7Length = 2;
		public const int MaxInnerMaterialType8Length = 2;
		public const int MaxInnerMaterialType9Length = 2;
		public const int MaxInnerMaterialType10Length = 2;
		public const int MaxInnerMaterialType11Length = 2;
		public const int MaxInnerMaterialType12Length = 2;
		public const int MaxIsActiveLength = 1;
</v>
      </c>
      <c r="J67" s="30" t="str">
        <f ca="1">TEXTJOIN2("
", TRUE,INDIRECT( $F$1):INDIRECT( $F$3))</f>
        <v xml:space="preserve">		[StringLength(MaxModuleNoLength)]
		public virtual string ModuleNo { get; set; }
		[StringLength(MaxCaseNoLength)]
		public virtual string CaseNo { get; set; }
		[StringLength(MaxContainerNoLength)]
		public virtual string ContainerNo { get; set; }
		[StringLength(MaxRenbanLength)]
		public virtual string Renban { get; set; }
		public virtual long? InvoiceId { get; set; }
		[StringLength(MaxLotNoLength)]
		public virtual string LotNo { get; set; }
		[StringLength(MaxSupplierNoLength)]
		public virtual string SupplierNo { get; set; }
		public virtual long? ContainerListId { get; set; }
		[StringLength(MaxModuleCaseNoLength)]
		public virtual string ModuleCaseNo { get; set; }
		[StringLength(MaxInvoiceNoLength)]
		public virtual string InvoiceNo { get; set; }
		public virtual DateTime? CdDate { get; set; }
		[StringLength(MaxStorageLocationCodeLength)]
		public virtual string StorageLocationCode { get; set; }
		public virtual long? LocationId { get; set; }
		public virtual DateTime? LocationDate { get; set; }
		[StringLength(MaxLocationByLength)]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[StringLength(MaxDummyLength)]
		public virtual string Dummy { get; set; }
		public virtual DateTime? Plannedpackingdate { get; set; }
		[StringLength(MaxDgflagLength)]
		public virtual string Dgflag { get; set; }
		[StringLength(MaxPackingTypeLength)]
		public virtual string PackingType { get; set; }
		[StringLength(MaxRrTypeLength)]
		public virtual string RrType { get; set; }
		public virtual decimal? FreightPerInvoice { get; set; }
		public virtual decimal? InsurancePerInvoice { get; set; }
		[StringLength(MaxInnerMaterialType1Length)]
		public virtual string InnerMaterialType1 { get; set; }
		[StringLength(MaxInnerMaterialType2Length)]
		public virtual string InnerMaterialType2 { get; set; }
		[StringLength(MaxInnerMaterialType3Length)]
		public virtual string InnerMaterialType3 { get; set; }
		[StringLength(MaxInnerMaterialType4Length)]
		public virtual string InnerMaterialType4 { get; set; }
		[StringLength(MaxInnerMaterialType5Length)]
		public virtual string InnerMaterialType5 { get; set; }
		[StringLength(MaxInnerMaterialType6Length)]
		public virtual string InnerMaterialType6 { get; set; }
		[StringLength(MaxInnerMaterialType7Length)]
		public virtual string InnerMaterialType7 { get; set; }
		[StringLength(MaxInnerMaterialType8Length)]
		public virtual string InnerMaterialType8 { get; set; }
		[StringLength(MaxInnerMaterialType9Length)]
		public virtual string InnerMaterialType9 { get; set; }
		[StringLength(MaxInnerMaterialType10Length)]
		public virtual string InnerMaterialType10 { get; set; }
		[StringLength(MaxInnerMaterialType11Length)]
		public virtual string InnerMaterialType11 { get; set; }
		[StringLength(MaxInnerMaterialType12Length)]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[StringLength(MaxIsActiveLength)]
		public virtual string IsActive { get; set; }
</v>
      </c>
      <c r="K67" s="32" t="str">
        <f ca="1">TEXTJOIN2("
", TRUE,INDIRECT( $J$1):INDIRECT( $J$3))</f>
        <v/>
      </c>
      <c r="L67" s="12" t="s">
        <v>57</v>
      </c>
      <c r="M67" s="33" t="str">
        <f ca="1">TEXTJOIN2("
",TRUE,INDIRECT( $L$1):INDIRECT($L$3))</f>
        <v xml:space="preserve">		public virtual string ModuleNo { get; set; }
		public virtual string CaseNo { get; set; }
		public virtual string ContainerNo { get; set; }
		public virtual string Renban { get; set; }
		public virtual long? InvoiceId { get; set; }
		public virtual string LotNo { get; set; }
		public virtual string SupplierNo { get; set; }
		public virtual long? ContainerListId { get; set; }
		public virtual string ModuleCaseNo { get; set; }
		public virtual string InvoiceNo { get; set; }
		public virtual DateTime? CdDate { get; set; }
		public virtual string StorageLocationCode { get; set; }
		public virtual long? LocationId { get; set; }
		public virtual DateTime? LocationDate { get; set; }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public virtual string Dummy { get; set; }
		public virtual DateTime? Plannedpackingdate { get; set; }
		public virtual string Dgflag { get; set; }
		public virtual string PackingType { get; set; }
		public virtual string RrType { get; set; }
		public virtual decimal? FreightPerInvoice { get; set; }
		public virtual decimal? InsurancePerInvoice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public virtual string IsActive { get; set; }
</v>
      </c>
      <c r="N67" s="30" t="str">
        <f ca="1">TEXTJOIN2("
",TRUE,INDIRECT( $M$1):INDIRECT($M$3))</f>
        <v xml:space="preserve">		[StringLength(InvCkdModuleCaseConsts.MaxModuleNoLength)]
		public virtual string ModuleNo { get; set; }
		[StringLength(InvCkdModuleCaseConsts.MaxCaseNoLength)]
		public virtual string CaseNo { get; set; }
		[StringLength(InvCkdModuleCaseConsts.MaxContainerNoLength)]
		public virtual string ContainerNo { get; set; }
		[StringLength(InvCkdModuleCaseConsts.MaxRenbanLength)]
		public virtual string Renban { get; set; }
		public virtual long? InvoiceId { get; set; }
		[StringLength(InvCkdModuleCaseConsts.MaxLotNoLength)]
		public virtual string LotNo { get; set; }
		[StringLength(InvCkdModuleCaseConsts.MaxSupplierNoLength)]
		public virtual string SupplierNo { get; set; }
		public virtual long? ContainerListId { get; set; }
		[StringLength(InvCkdModuleCaseConsts.MaxModuleCaseNoLength)]
		public virtual string ModuleCaseNo { get; set; }
		[StringLength(InvCkdModuleCaseConsts.MaxInvoiceNoLength)]
		public virtual string InvoiceNo { get; set; }
		public virtual DateTime? CdDate { get; set; }
		[StringLength(InvCkdModuleCaseConsts.MaxStorageLocationCodeLength)]
		public virtual string StorageLocationCode { get; set; }
		public virtual long? LocationId { get; set; }
		public virtual DateTime? LocationDate { get; set; }
		[StringLength(InvCkdModuleCaseConsts.MaxLocationByLength)]
		public virtual string LocationBy { get; set; }
		public virtual DateTime? UnpackingDate { get; set; }
		public virtual DateTime? UnpackingTime { get; set; }
		public virtual DateTime? UnpackingDatetime { get; set; }
		public virtual decimal? NetWeight { get; set; }
		public virtual decimal? GrossWeight { get; set; }
		public virtual int? MeasuarementM3 { get; set; }
		public virtual int? Lengthofcasemodule { get; set; }
		public virtual int? Widthofcasemodule { get; set; }
		public virtual int? Heightofcasemodule { get; set; }
		[StringLength(InvCkdModuleCaseConsts.MaxDummyLength)]
		public virtual string Dummy { get; set; }
		public virtual DateTime? Plannedpackingdate { get; set; }
		[StringLength(InvCkdModuleCaseConsts.MaxDgflagLength)]
		public virtual string Dgflag { get; set; }
		[StringLength(InvCkdModuleCaseConsts.MaxPackingTypeLength)]
		public virtual string PackingType { get; set; }
		[StringLength(InvCkdModuleCaseConsts.MaxRrTypeLength)]
		public virtual string RrType { get; set; }
		public virtual decimal? FreightPerInvoice { get; set; }
		public virtual decimal? InsurancePerInvoice { get; set; }
		[StringLength(InvCkdModuleCaseConsts.MaxInnerMaterialType1Length)]
		public virtual string InnerMaterialType1 { get; set; }
		[StringLength(InvCkdModuleCaseConsts.MaxInnerMaterialType2Length)]
		public virtual string InnerMaterialType2 { get; set; }
		[StringLength(InvCkdModuleCaseConsts.MaxInnerMaterialType3Length)]
		public virtual string InnerMaterialType3 { get; set; }
		[StringLength(InvCkdModuleCaseConsts.MaxInnerMaterialType4Length)]
		public virtual string InnerMaterialType4 { get; set; }
		[StringLength(InvCkdModuleCaseConsts.MaxInnerMaterialType5Length)]
		public virtual string InnerMaterialType5 { get; set; }
		[StringLength(InvCkdModuleCaseConsts.MaxInnerMaterialType6Length)]
		public virtual string InnerMaterialType6 { get; set; }
		[StringLength(InvCkdModuleCaseConsts.MaxInnerMaterialType7Length)]
		public virtual string InnerMaterialType7 { get; set; }
		[StringLength(InvCkdModuleCaseConsts.MaxInnerMaterialType8Length)]
		public virtual string InnerMaterialType8 { get; set; }
		[StringLength(InvCkdModuleCaseConsts.MaxInnerMaterialType9Length)]
		public virtual string InnerMaterialType9 { get; set; }
		[StringLength(InvCkdModuleCaseConsts.MaxInnerMaterialType10Length)]
		public virtual string InnerMaterialType10 { get; set; }
		[StringLength(InvCkdModuleCaseConsts.MaxInnerMaterialType11Length)]
		public virtual string InnerMaterialType11 { get; set; }
		[StringLength(InvCkdModuleCaseConsts.MaxInnerMaterialType12Length)]
		public virtual string InnerMaterialType12 { get; set; }
		public virtual int? InnerMaterialQuantity1 { get; set; }
		public virtual int? InnerMaterialQuantity2 { get; set; }
		public virtual int? InnerMaterialQuantity3 { get; set; }
		public virtual int? InnerMaterialQuantity4 { get; set; }
		public virtual int? InnerMaterialQuantity5 { get; set; }
		public virtual int? InnerMaterialQuantity6 { get; set; }
		public virtual int? InnerMaterialQuantity7 { get; set; }
		public virtual int? InnerMaterialQuantity8 { get; set; }
		public virtual int? InnerMaterialQuantity9 { get; set; }
		public virtual int? InnerMaterialQuantity10 { get; set; }
		public virtual int? InnerMaterialQuantity11 { get; set; }
		public virtual int? InnerMaterialQuantity12 { get; set; }
		public virtual int? Status { get; set; }
		[StringLength(InvCkdModuleCaseConsts.MaxIsActiveLength)]
		public virtual string IsActive { get; set; }
</v>
      </c>
      <c r="O67" s="30" t="str">
        <f ca="1">TEXTJOIN2("
",TRUE,INDIRECT( $N$1):INDIRECT($N$3))</f>
        <v xml:space="preserve">		public virtual string ModuleNo { get; set; }
		public virtual string CaseNo { get; set; }
		public virtual string ContainerNo { get; set; }
		public virtual string Renban { get; set; }
		public virtual string LotNo { get; set; }
		public virtual string SupplierNo { get; set; }
		public virtual string ModuleCaseNo { get; set; }
		public virtual string InvoiceNo { get; set; }
		public virtual string StorageLocationCode { get; set; }
		public virtual string LocationBy { get; set; }
		public virtual string Dummy { get; set; }
		public virtual string Dgflag { get; set; }
		public virtual string PackingType { get; set; }
		public virtual string RrType { get; set; }
		public virtual string InnerMaterialType1 { get; set; }
		public virtual string InnerMaterialType2 { get; set; }
		public virtual string InnerMaterialType3 { get; set; }
		public virtual string InnerMaterialType4 { get; set; }
		public virtual string InnerMaterialType5 { get; set; }
		public virtual string InnerMaterialType6 { get; set; }
		public virtual string InnerMaterialType7 { get; set; }
		public virtual string InnerMaterialType8 { get; set; }
		public virtual string InnerMaterialType9 { get; set; }
		public virtual string InnerMaterialType10 { get; set; }
		public virtual string InnerMaterialType11 { get; set; }
		public virtual string InnerMaterialType12 { get; set; }
		public virtual string IsActive { get; set; }
</v>
      </c>
      <c r="P67" s="8" t="str">
        <f ca="1">TEXTJOIN2("
",TRUE,INDIRECT( $O$1):INDIRECT($O$3))</f>
        <v xml:space="preserve">							ModuleNo = o.ModuleNo,
							CaseNo = o.CaseNo,
							ContainerNo = o.ContainerNo,
							Renban = o.Renban,
							InvoiceId = o.InvoiceId,
							LotNo = o.LotNo,
							SupplierNo = o.SupplierNo,
							ContainerListId = o.ContainerListId,
							ModuleCaseNo = o.ModuleCaseNo,
							InvoiceNo = o.InvoiceNo,
							CdDate = o.CdDate,
							StorageLocationCode = o.StorageLocationCode,
							LocationId = o.LocationId,
							LocationDate = o.LocationDate,
							LocationBy = o.LocationBy,
							UnpackingDate = o.UnpackingDate,
							UnpackingTime = o.UnpackingTime,
							UnpackingDatetime = o.UnpackingDatetime,
							NetWeight = o.NetWeight,
							GrossWeight = o.GrossWeight,
							MeasuarementM3 = o.MeasuarementM3,
							Lengthofcasemodule = o.Lengthofcasemodule,
							Widthofcasemodule = o.Widthofcasemodule,
							Heightofcasemodule = o.Heightofcasemodule,
							Dummy = o.Dummy,
							Plannedpackingdate = o.Plannedpackingdate,
							Dgflag = o.Dgflag,
							PackingType = o.PackingType,
							RrType = o.RrType,
							FreightPerInvoice = o.FreightPerInvoice,
							InsurancePerInvoice = o.InsurancePerInvoice,
							InnerMaterialType1 = o.InnerMaterialType1,
							InnerMaterialType2 = o.InnerMaterialType2,
							InnerMaterialType3 = o.InnerMaterialType3,
							InnerMaterialType4 = o.InnerMaterialType4,
							InnerMaterialType5 = o.InnerMaterialType5,
							InnerMaterialType6 = o.InnerMaterialType6,
							InnerMaterialType7 = o.InnerMaterialType7,
							InnerMaterialType8 = o.InnerMaterialType8,
							InnerMaterialType9 = o.InnerMaterialType9,
							InnerMaterialType10 = o.InnerMaterialType10,
							InnerMaterialType11 = o.InnerMaterialType11,
							InnerMaterialType12 = o.InnerMaterialType12,
							InnerMaterialQuantity1 = o.InnerMaterialQuantity1,
							InnerMaterialQuantity2 = o.InnerMaterialQuantity2,
							InnerMaterialQuantity3 = o.InnerMaterialQuantity3,
							InnerMaterialQuantity4 = o.InnerMaterialQuantity4,
							InnerMaterialQuantity5 = o.InnerMaterialQuantity5,
							InnerMaterialQuantity6 = o.InnerMaterialQuantity6,
							InnerMaterialQuantity7 = o.InnerMaterialQuantity7,
							InnerMaterialQuantity8 = o.InnerMaterialQuantity8,
							InnerMaterialQuantity9 = o.InnerMaterialQuantity9,
							InnerMaterialQuantity10 = o.InnerMaterialQuantity10,
							InnerMaterialQuantity11 = o.InnerMaterialQuantity11,
							InnerMaterialQuantity12 = o.InnerMaterialQuantity12,
							Status = o.Status,
							IsActive = o.IsActive,</v>
      </c>
      <c r="T67" s="8" t="str">
        <f ca="1">TEXTJOIN2("
",TRUE,INDIRECT( $T$2):INDIRECT($T$3))</f>
        <v xml:space="preserve">								("ModuleNo"),
								("CaseNo"),
								("ContainerNo"),
								("Renban"),
								("InvoiceId"),
								("LotNo"),
								("SupplierNo"),
								("ContainerListId"),
								("ModuleCaseNo"),
								("InvoiceNo"),
								("CdDate"),
								("StorageLocationCode"),
								("LocationId"),
								("LocationDate"),
								("LocationBy"),
								("UnpackingDate"),
								("UnpackingTime"),
								("UnpackingDatetime"),
								("NetWeight"),
								("GrossWeight"),
								("MeasuarementM3"),
								("Lengthofcasemodule"),
								("Widthofcasemodule"),
								("Heightofcasemodule"),
								("Dummy"),
								("Plannedpackingdate"),
								("Dgflag"),
								("PackingType"),
								("RrType"),
								("FreightPerInvoice"),
								("InsurancePerInvoice"),
								("InnerMaterialType1"),
								("InnerMaterialType2"),
								("InnerMaterialType3"),
								("InnerMaterialType4"),
								("InnerMaterialType5"),
								("InnerMaterialType6"),
								("InnerMaterialType7"),
								("InnerMaterialType8"),
								("InnerMaterialType9"),
								("InnerMaterialType10"),
								("InnerMaterialType11"),
								("InnerMaterialType12"),
								("InnerMaterialQuantity1"),
								("InnerMaterialQuantity2"),
								("InnerMaterialQuantity3"),
								("InnerMaterialQuantity4"),
								("InnerMaterialQuantity5"),
								("InnerMaterialQuantity6"),
								("InnerMaterialQuantity7"),
								("InnerMaterialQuantity8"),
								("InnerMaterialQuantity9"),
								("InnerMaterialQuantity10"),
								("InnerMaterialQuantity11"),
								("InnerMaterialQuantity12"),
								("Status"),
								("IsActive"),</v>
      </c>
      <c r="V67" s="8" t="str">
        <f ca="1">TEXTJOIN2("
",TRUE,INDIRECT( $V$2):INDIRECT($V$3))</f>
        <v xml:space="preserve">								_ =&gt; _.ModuleNo,
								_ =&gt; _.CaseNo,
								_ =&gt; _.ContainerNo,
								_ =&gt; _.Renban,
								_ =&gt; _.InvoiceId,
								_ =&gt; _.LotNo,
								_ =&gt; _.SupplierNo,
								_ =&gt; _.ContainerListId,
								_ =&gt; _.ModuleCaseNo,
								_ =&gt; _.InvoiceNo,
								_ =&gt; _.CdDate,
								_ =&gt; _.StorageLocationCode,
								_ =&gt; _.LocationId,
								_ =&gt; _.LocationDate,
								_ =&gt; _.LocationBy,
								_ =&gt; _.UnpackingDate,
								_ =&gt; _.UnpackingTime,
								_ =&gt; _.UnpackingDatetime,
								_ =&gt; _.NetWeight,
								_ =&gt; _.GrossWeight,
								_ =&gt; _.MeasuarementM3,
								_ =&gt; _.Lengthofcasemodule,
								_ =&gt; _.Widthofcasemodule,
								_ =&gt; _.Heightofcasemodule,
								_ =&gt; _.Dummy,
								_ =&gt; _.Plannedpackingdate,
								_ =&gt; _.Dgflag,
								_ =&gt; _.PackingType,
								_ =&gt; _.RrType,
								_ =&gt; _.FreightPerInvoice,
								_ =&gt; _.InsurancePerInvoice,
								_ =&gt; _.InnerMaterialType1,
								_ =&gt; _.InnerMaterialType2,
								_ =&gt; _.InnerMaterialType3,
								_ =&gt; _.InnerMaterialType4,
								_ =&gt; _.InnerMaterialType5,
								_ =&gt; _.InnerMaterialType6,
								_ =&gt; _.InnerMaterialType7,
								_ =&gt; _.InnerMaterialType8,
								_ =&gt; _.InnerMaterialType9,
								_ =&gt; _.InnerMaterialType10,
								_ =&gt; _.InnerMaterialType11,
								_ =&gt; _.InnerMaterialType12,
								_ =&gt; _.InnerMaterialQuantity1,
								_ =&gt; _.InnerMaterialQuantity2,
								_ =&gt; _.InnerMaterialQuantity3,
								_ =&gt; _.InnerMaterialQuantity4,
								_ =&gt; _.InnerMaterialQuantity5,
								_ =&gt; _.InnerMaterialQuantity6,
								_ =&gt; _.InnerMaterialQuantity7,
								_ =&gt; _.InnerMaterialQuantity8,
								_ =&gt; _.InnerMaterialQuantity9,
								_ =&gt; _.InnerMaterialQuantity10,
								_ =&gt; _.InnerMaterialQuantity11,
								_ =&gt; _.InnerMaterialQuantity12,
								_ =&gt; _.Status,
								_ =&gt; _.IsActive,</v>
      </c>
      <c r="W67" s="8" t="str">
        <f ca="1">TEXTJOIN2("
",TRUE,INDIRECT( $W$2):INDIRECT($W$3))</f>
        <v xml:space="preserve">				.WhereIf(!string.IsNullOrWhiteSpace(input.ModuleNo), e =&gt; e.ModuleNo.Contains(input.ModuleNo))
				.WhereIf(!string.IsNullOrWhiteSpace(input.CaseNo), e =&gt; e.CaseNo.Contains(input.CaseNo))
				.WhereIf(!string.IsNullOrWhiteSpace(input.ContainerNo), e =&gt; e.ContainerNo.Contains(input.ContainerNo))
				.WhereIf(!string.IsNullOrWhiteSpace(input.Renban), e =&gt; e.Renban.Contains(input.Renban))
				.WhereIf(!string.IsNullOrWhiteSpace(input.LotNo), e =&gt; e.LotNo.Contains(input.LotNo))
				.WhereIf(!string.IsNullOrWhiteSpace(input.SupplierNo), e =&gt; e.SupplierNo.Contains(input.SupplierNo))
				.WhereIf(!string.IsNullOrWhiteSpace(input.ModuleCaseNo), e =&gt; e.ModuleCaseNo.Contains(input.ModuleCaseNo))
				.WhereIf(!string.IsNullOrWhiteSpace(input.InvoiceNo), e =&gt; e.InvoiceNo.Contains(input.InvoiceNo))
				.WhereIf(!string.IsNullOrWhiteSpace(input.StorageLocationCode), e =&gt; e.StorageLocationCode.Contains(input.StorageLocationCode))
				.WhereIf(!string.IsNullOrWhiteSpace(input.LocationBy), e =&gt; e.LocationBy.Contains(input.LocationBy))
				.WhereIf(!string.IsNullOrWhiteSpace(input.Dummy), e =&gt; e.Dummy.Contains(input.Dummy))
				.WhereIf(!string.IsNullOrWhiteSpace(input.Dgflag), e =&gt; e.Dgflag.Contains(input.Dgflag))
				.WhereIf(!string.IsNullOrWhiteSpace(input.PackingType), e =&gt; e.PackingType.Contains(input.PackingType))
				.WhereIf(!string.IsNullOrWhiteSpace(input.RrType), e =&gt; e.RrType.Contains(input.RrType))
				.WhereIf(!string.IsNullOrWhiteSpace(input.InnerMaterialType1), e =&gt; e.InnerMaterialType1.Contains(input.InnerMaterialType1))
				.WhereIf(!string.IsNullOrWhiteSpace(input.InnerMaterialType2), e =&gt; e.InnerMaterialType2.Contains(input.InnerMaterialType2))
				.WhereIf(!string.IsNullOrWhiteSpace(input.InnerMaterialType3), e =&gt; e.InnerMaterialType3.Contains(input.InnerMaterialType3))
				.WhereIf(!string.IsNullOrWhiteSpace(input.InnerMaterialType4), e =&gt; e.InnerMaterialType4.Contains(input.InnerMaterialType4))
				.WhereIf(!string.IsNullOrWhiteSpace(input.InnerMaterialType5), e =&gt; e.InnerMaterialType5.Contains(input.InnerMaterialType5))
				.WhereIf(!string.IsNullOrWhiteSpace(input.InnerMaterialType6), e =&gt; e.InnerMaterialType6.Contains(input.InnerMaterialType6))
				.WhereIf(!string.IsNullOrWhiteSpace(input.InnerMaterialType7), e =&gt; e.InnerMaterialType7.Contains(input.InnerMaterialType7))
				.WhereIf(!string.IsNullOrWhiteSpace(input.InnerMaterialType8), e =&gt; e.InnerMaterialType8.Contains(input.InnerMaterialType8))
				.WhereIf(!string.IsNullOrWhiteSpace(input.InnerMaterialType9), e =&gt; e.InnerMaterialType9.Contains(input.InnerMaterialType9))
				.WhereIf(!string.IsNullOrWhiteSpace(input.InnerMaterialType10), e =&gt; e.InnerMaterialType10.Contains(input.InnerMaterialType10))
				.WhereIf(!string.IsNullOrWhiteSpace(input.InnerMaterialType11), e =&gt; e.InnerMaterialType11.Contains(input.InnerMaterialType11))
				.WhereIf(!string.IsNullOrWhiteSpace(input.InnerMaterialType12), e =&gt; e.InnerMaterialType12.Contains(input.InnerMaterialType12))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73"/>
  <sheetViews>
    <sheetView topLeftCell="A6" workbookViewId="0">
      <selection activeCell="A22" sqref="A2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208</v>
      </c>
      <c r="B1" s="39" t="s">
        <v>426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InvCkdModuleCase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ModuleCase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modulecase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InvCkdModuleCaseDto, InvCkdModuleCaseServiceProxy } from '@shared/service-proxies/service-proxies';
import { finalize } from 'rxjs/internal/operators/finalize';
import { CreateOrEditModuleCaseModalComponent } from './create-or-edit-modulecase-modal.component';
import { DatePipe } from '@angular/common';
import { FileDownloadService } from '@shared/utils/file-download.service';
import ceil from 'lodash-es/ceil';
import { Paginator } from 'primeng/paginator';
@Component({
    templateUrl: './modulecase.component.html',
    styleUrls: ['./modulecase.component.less'],
})
export class ModuleCaseComponent extends AppComponentBase implements OnInit {
    @ViewChild('createOrEditModalModuleCase', { static: true }) createOrEditModalModuleCase:| CreateOrEditModuleCaseModalComponent|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InvCkdModuleCaseDto = new InvCkdModuleCaseDto();
    saveSelectedRow: InvCkdModuleCaseDto = new InvCkdModuleCaseDto();
    datas: InvCkdModuleCaseDto = new InvCkdModuleCaseDto();
    isLoading: boolean = false;
    dataParams: GridParams | undefined;
    rowData: any[] = [];
    gridApi!: GridApi;
    rowSelection = 'multiple';
    filter: string = '';
	pipe = new DatePipe('en-US');
	frameworkComponents: FrameworkComponent;
    	moduleNo : string = '' ; 
	caseNo : string = '' ; 
	containerNo : string = '' ; 
	renban : string = '' ; 
	invoiceId
	lotNo : string = '' ; 
	supplierNo : string = '' ; 
	containerListId
	moduleCaseNo : string = '' ; 
	invoiceNo : string = '' ; 
	cdDate
	storageLocationCode : string = '' ; 
	locationId
	locationDate
	locationBy : string = '' ; 
	unpackingDate
	unpackingTime
	unpackingDatetime
	netWeight
	grossWeight
	measuarementM3
	lengthofcasemodule
	widthofcasemodule
	heightofcasemodule
	dummy : string = '' ; 
	plannedpackingdate
	dgflag : string = '' ; 
	packingType : string = '' ; 
	rrType : string = '' ; 
	freightPerInvoice
	insurancePerInvoice
	innerMaterialType1 : string = '' ; 
	innerMaterialType2 : string = '' ; 
	innerMaterialType3 : string = '' ; 
	innerMaterialType4 : string = '' ; 
	innerMaterialType5 : string = '' ; 
	innerMaterialType6 : string = '' ; 
	innerMaterialType7 : string = '' ; 
	innerMaterialType8 : string = '' ; 
	innerMaterialType9 : string = '' ; 
	innerMaterialType10 : string = '' ; 
	innerMaterialType11 : string = '' ; 
	innerMaterialType12 : string = '' ; 
	innerMaterialQuantity1
	innerMaterialQuantity2
	innerMaterialQuantity3
	innerMaterialQuantity4
	innerMaterialQuantity5
	innerMaterialQuantity6
	innerMaterialQuantity7
	innerMaterialQuantity8
	innerMaterialQuantity9
	innerMaterialQuantity10
	innerMaterialQuantity11
	innerMaterialQuantity12
	status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InvCkdModuleCaseServiceProxy,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this.l('Module No'),headerTooltip: this.l('Module No'),field: 'moduleNo',flex: 1},
			{headerName: this.l('Case No'),headerTooltip: this.l('Case No'),field: 'caseNo',flex: 1},
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this.l('Lot No'),headerTooltip: this.l('Lot No'),field: 'lotNo',flex: 1},
			{headerName: this.l('Supplier No'),headerTooltip: this.l('Supplier No'),field: 'supplierNo',flex: 1},
			{headerName: this.l('Container List Id'),headerTooltip: this.l('Container List Id'),field: 'containerListId',flex: 1},
			{headerName: this.l('Module Case No'),headerTooltip: this.l('Module Case No'),field: 'moduleCaseNo',flex: 1},
			{headerName: this.l('Invoice No'),headerTooltip: this.l('Invoice No'),field: 'invoiceNo',flex: 1},
			{headerName: this.l('Cd Date'),headerTooltip: this.l('Cd Date'),field: 'cdDate',flex: 1},
			{headerName: this.l('Storage Location Code'),headerTooltip: this.l('Storage Location Code'),field: 'storageLocationCode',flex: 1},
			{headerName: this.l('Location Id'),headerTooltip: this.l('Location Id'),field: 'locationId',flex: 1},
			{headerName: this.l('Location Date'),headerTooltip: this.l('Location Date'),field: 'locationDate',flex: 1},
			{headerName: this.l('Location By'),headerTooltip: this.l('Location By'),field: 'locationBy',flex: 1},
			{headerName: this.l('Unpacking Date'),headerTooltip: this.l('Unpacking Date'),field: 'unpackingDate',flex: 1},
			{headerName: this.l('Unpacking Time'),headerTooltip: this.l('Unpacking Time'),field: 'unpackingTime',flex: 1},
			{headerName: this.l('Unpacking Datetime'),headerTooltip: this.l('Unpacking Datetime'),field: 'unpackingDatetime',flex: 1},
			{headerName: this.l('Net Weight'),headerTooltip: this.l('Net Weight'),field: 'netWeight',flex: 1},
			{headerName: this.l('Gross Weight'),headerTooltip: this.l('Gross Weight'),field: 'grossWeight',flex: 1},
			{headerName: this.l('Measuarement M3'),headerTooltip: this.l('Measuarement M3'),field: 'measuarementM3',flex: 1},
			{headerName: this.l('Lengthofcasemodule'),headerTooltip: this.l('Lengthofcasemodule'),field: 'lengthofcasemodule',flex: 1},
			{headerName: this.l('Widthofcasemodule'),headerTooltip: this.l('Widthofcasemodule'),field: 'widthofcasemodule',flex: 1},
			{headerName: this.l('Heightofcasemodule'),headerTooltip: this.l('Heightofcasemodule'),field: 'heightofcasemodule',flex: 1},
			{headerName: this.l('Dummy'),headerTooltip: this.l('Dummy'),field: 'dummy',flex: 1},
			{headerName: this.l('Plannedpackingdate'),headerTooltip: this.l('Plannedpackingdate'),field: 'plannedpackingdate',flex: 1},
			{headerName: this.l('Dgflag'),headerTooltip: this.l('Dgflag'),field: 'dgflag',flex: 1},
			{headerName: this.l('Packing Type'),headerTooltip: this.l('Packing Type'),field: 'packingType',flex: 1},
			{headerName: this.l('Rr Type'),headerTooltip: this.l('Rr Type'),field: 'rrType',flex: 1},
			{headerName: this.l('Freight Per Invoice'),headerTooltip: this.l('Freight Per Invoice'),field: 'freightPerInvoice',flex: 1},
			{headerName: this.l('Insurance Per Invoice'),headerTooltip: this.l('Insurance Per Invoice'),field: 'insurancePerInvoice',flex: 1},
			{headerName: this.l('Inner Material Type1'),headerTooltip: this.l('Inner Material Type1'),field: 'innerMaterialType1',flex: 1},
			{headerName: this.l('Inner Material Type2'),headerTooltip: this.l('Inner Material Type2'),field: 'innerMaterialType2',flex: 1},
			{headerName: this.l('Inner Material Type3'),headerTooltip: this.l('Inner Material Type3'),field: 'innerMaterialType3',flex: 1},
			{headerName: this.l('Inner Material Type4'),headerTooltip: this.l('Inner Material Type4'),field: 'innerMaterialType4',flex: 1},
			{headerName: this.l('Inner Material Type5'),headerTooltip: this.l('Inner Material Type5'),field: 'innerMaterialType5',flex: 1},
			{headerName: this.l('Inner Material Type6'),headerTooltip: this.l('Inner Material Type6'),field: 'innerMaterialType6',flex: 1},
			{headerName: this.l('Inner Material Type7'),headerTooltip: this.l('Inner Material Type7'),field: 'innerMaterialType7',flex: 1},
			{headerName: this.l('Inner Material Type8'),headerTooltip: this.l('Inner Material Type8'),field: 'innerMaterialType8',flex: 1},
			{headerName: this.l('Inner Material Type9'),headerTooltip: this.l('Inner Material Type9'),field: 'innerMaterialType9',flex: 1},
			{headerName: this.l('Inner Material Type10'),headerTooltip: this.l('Inner Material Type10'),field: 'innerMaterialType10',flex: 1},
			{headerName: this.l('Inner Material Type11'),headerTooltip: this.l('Inner Material Type11'),field: 'innerMaterialType11',flex: 1},
			{headerName: this.l('Inner Material Type12'),headerTooltip: this.l('Inner Material Type12'),field: 'innerMaterialType12',flex: 1},
			{headerName: this.l('Inner Material Quantity1'),headerTooltip: this.l('Inner Material Quantity1'),field: 'innerMaterialQuantity1',flex: 1},
			{headerName: this.l('Inner Material Quantity2'),headerTooltip: this.l('Inner Material Quantity2'),field: 'innerMaterialQuantity2',flex: 1},
			{headerName: this.l('Inner Material Quantity3'),headerTooltip: this.l('Inner Material Quantity3'),field: 'innerMaterialQuantity3',flex: 1},
			{headerName: this.l('Inner Material Quantity4'),headerTooltip: this.l('Inner Material Quantity4'),field: 'innerMaterialQuantity4',flex: 1},
			{headerName: this.l('Inner Material Quantity5'),headerTooltip: this.l('Inner Material Quantity5'),field: 'innerMaterialQuantity5',flex: 1},
			{headerName: this.l('Inner Material Quantity6'),headerTooltip: this.l('Inner Material Quantity6'),field: 'innerMaterialQuantity6',flex: 1},
			{headerName: this.l('Inner Material Quantity7'),headerTooltip: this.l('Inner Material Quantity7'),field: 'innerMaterialQuantity7',flex: 1},
			{headerName: this.l('Inner Material Quantity8'),headerTooltip: this.l('Inner Material Quantity8'),field: 'innerMaterialQuantity8',flex: 1},
			{headerName: this.l('Inner Material Quantity9'),headerTooltip: this.l('Inner Material Quantity9'),field: 'innerMaterialQuantity9',flex: 1},
			{headerName: this.l('Inner Material Quantity10'),headerTooltip: this.l('Inner Material Quantity10'),field: 'innerMaterialQuantity10',flex: 1},
			{headerName: this.l('Inner Material Quantity11'),headerTooltip: this.l('Inner Material Quantity11'),field: 'innerMaterialQuantity11',flex: 1},
			{headerName: this.l('Inner Material Quantity12'),headerTooltip: this.l('Inner Material Quantity12'),field: 'innerMaterialQuantity12',flex: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this.moduleNo = '',
		this.caseNo = '',
		this.containerNo = '',
		this.renban = '',
		this.invoiceId = '',
		this.lotNo = '',
		this.supplierNo = '',
		this.containerListId = '',
		this.moduleCaseNo = '',
		this.invoiceNo = '',
		this.cdDate = '',
		this.storageLocationCode = '',
		this.locationId = '',
		this.locationDate = '',
		this.locationBy = '',
		this.unpackingDate = '',
		this.unpackingTime = '',
		this.unpackingDatetime = '',
		this.netWeight = '',
		this.grossWeight = '',
		this.measuarementM3 = '',
		this.lengthofcasemodule = '',
		this.widthofcasemodule = '',
		this.heightofcasemodule = '',
		this.dummy = '',
		this.plannedpackingdate = '',
		this.dgflag = '',
		this.packingType = '',
		this.rrType = '',
		this.freightPerInvoice = '',
		this.insurancePerInvoice = '',
		this.innerMaterialType1 = '',
		this.innerMaterialType2 = '',
		this.innerMaterialType3 = '',
		this.innerMaterialType4 = '',
		this.innerMaterialType5 = '',
		this.innerMaterialType6 = '',
		this.innerMaterialType7 = '',
		this.innerMaterialType8 = '',
		this.innerMaterialType9 = '',
		this.innerMaterialType10 = '',
		this.innerMaterialType11 = '',
		this.innerMaterialType12 = '',
		this.innerMaterialQuantity1 = '',
		this.innerMaterialQuantity2 = '',
		this.innerMaterialQuantity3 = '',
		this.innerMaterialQuantity4 = '',
		this.innerMaterialQuantity5 = '',
		this.innerMaterialQuantity6 = '',
		this.innerMaterialQuantity7 = '',
		this.innerMaterialQuantity8 = '',
		this.innerMaterialQuantity9 = '',
		this.innerMaterialQuantity10 = '',
		this.innerMaterialQuantity11 = '',
		this.innerMaterialQuantity12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			'',
            this.paginationParams.skipCount,
            this.paginationParams.pageSize
        );
    }
    onChangeRowSelection(params: { api: { getSelectedRows: () =&gt; InvCkdModuleCaseDto[] } }) {
        this.saveSelectedRow = params.api.getSelectedRows()[0] ?? new InvCkdModuleCaseDto();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InvCkdModuleCaseDto):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this._service.getModuleCaseToExcel(
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Module Case Management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[(ngModel)]='moduleCaseNo' name='moduleCaseNo'
									class='form-control' [placeholder]="l('Module Case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[(ngModel)]='storageLocationCode' name='storageLocationCode'
									class='form-control' [placeholder]="l('Storage Location Code')"
									type='text' (keyup.enter)='searchDatas()'&gt;
								&lt;/div&gt;
								&lt;div class='input-search'&gt;
									&lt;input [(ngModel)]='locationBy' name='locationBy'
									class='form-control' [placeholder]="l('Location By')"
									type='text' (keyup.enter)='searchDatas()'&gt;
								&lt;/div&gt;
								&lt;div class='input-search'&gt;
									&lt;input [(ngModel)]='dummy' name='dummy'
									class='form-control' [placeholder]="l('Dummy')"
									type='text' (keyup.enter)='searchDatas()'&gt;
								&lt;/div&gt;
								&lt;div class='input-search'&gt;
									&lt;input [(ngModel)]='dgflag' name='dgflag'
									class='form-control' [placeholder]="l('Dgflag')"
									type='text' (keyup.enter)='searchDatas()'&gt;
								&lt;/div&gt;
								&lt;div class='input-search'&gt;
									&lt;input [(ngModel)]='packingType' name='packingType'
									class='form-control' [placeholder]="l('Packing Type')"
									type='text' (keyup.enter)='searchDatas()'&gt;
								&lt;/div&gt;
								&lt;div class='input-search'&gt;
									&lt;input [(ngModel)]='rrType' name='rrType'
									class='form-control' [placeholder]="l('Rr Type')"
									type='text' (keyup.enter)='searchDatas()'&gt;
								&lt;/div&gt;
								&lt;div class='input-search'&gt;
									&lt;input [(ngModel)]='innerMaterialType1' name='innerMaterialType1'
									class='form-control' [placeholder]="l('Inner Material Type1')"
									type='text' (keyup.enter)='searchDatas()'&gt;
								&lt;/div&gt;
								&lt;div class='input-search'&gt;
									&lt;input [(ngModel)]='innerMaterialType2' name='innerMaterialType2'
									class='form-control' [placeholder]="l('Inner Material Type2')"
									type='text' (keyup.enter)='searchDatas()'&gt;
								&lt;/div&gt;
								&lt;div class='input-search'&gt;
									&lt;input [(ngModel)]='innerMaterialType3' name='innerMaterialType3'
									class='form-control' [placeholder]="l('Inner Material Type3')"
									type='text' (keyup.enter)='searchDatas()'&gt;
								&lt;/div&gt;
								&lt;div class='input-search'&gt;
									&lt;input [(ngModel)]='innerMaterialType4' name='innerMaterialType4'
									class='form-control' [placeholder]="l('Inner Material Type4')"
									type='text' (keyup.enter)='searchDatas()'&gt;
								&lt;/div&gt;
								&lt;div class='input-search'&gt;
									&lt;input [(ngModel)]='innerMaterialType5' name='innerMaterialType5'
									class='form-control' [placeholder]="l('Inner Material Type5')"
									type='text' (keyup.enter)='searchDatas()'&gt;
								&lt;/div&gt;
								&lt;div class='input-search'&gt;
									&lt;input [(ngModel)]='innerMaterialType6' name='innerMaterialType6'
									class='form-control' [placeholder]="l('Inner Material Type6')"
									type='text' (keyup.enter)='searchDatas()'&gt;
								&lt;/div&gt;
								&lt;div class='input-search'&gt;
									&lt;input [(ngModel)]='innerMaterialType7' name='innerMaterialType7'
									class='form-control' [placeholder]="l('Inner Material Type7')"
									type='text' (keyup.enter)='searchDatas()'&gt;
								&lt;/div&gt;
								&lt;div class='input-search'&gt;
									&lt;input [(ngModel)]='innerMaterialType8' name='innerMaterialType8'
									class='form-control' [placeholder]="l('Inner Material Type8')"
									type='text' (keyup.enter)='searchDatas()'&gt;
								&lt;/div&gt;
								&lt;div class='input-search'&gt;
									&lt;input [(ngModel)]='innerMaterialType9' name='innerMaterialType9'
									class='form-control' [placeholder]="l('Inner Material Type9')"
									type='text' (keyup.enter)='searchDatas()'&gt;
								&lt;/div&gt;
								&lt;div class='input-search'&gt;
									&lt;input [(ngModel)]='innerMaterialType10' name='innerMaterialType10'
									class='form-control' [placeholder]="l('Inner Material Type10')"
									type='text' (keyup.enter)='searchDatas()'&gt;
								&lt;/div&gt;
								&lt;div class='input-search'&gt;
									&lt;input [(ngModel)]='innerMaterialType11' name='innerMaterialType11'
									class='form-control' [placeholder]="l('Inner Material Type11')"
									type='text' (keyup.enter)='searchDatas()'&gt;
								&lt;/div&gt;
								&lt;div class='input-search'&gt;
									&lt;input [(ngModel)]='innerMaterialType12' name='innerMaterialType12'
									class='form-control' [placeholder]="l('Inner Material Type12')"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(click)="createOrEditModalModuleCase.show()"&gt;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(click)="createOrEditModalModuleCase.show(selectedRow)"&gt;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&lt;create-or-edit-modulecase-modal
    #createOrEditModalModuleCase
    (modalSave)="callBackDataGrid(dataParams)"
    (modalClose)="onChangeRowSelection(dataParams)"
&gt;
&lt;/create-or-edit-modulecase-modal&gt;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#createOrEditModalModuleCase="bs-modal"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ModuleCase')}}&lt;/h3&gt;
                    &lt;h3 *ngIf="!rowdata.id"&gt;{{('Create New ModuleCase')}}&lt;/h3&gt;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
					&lt;div class='col-md-12 form-group row'&gt;
						&lt;label class='col-md-2 form-control title'&gt;Location By&lt;/label&gt;
						&lt;input type='text' class='col-md-10 form-control input-text' name='LocationBy' [(ngModel)]='rowdata.locationBy'&gt;
					&lt;/div&gt;
					&lt;div class='col-md-12 form-group row'&gt;
						&lt;label class='col-md-2 form-control title'&gt;Dummy&lt;/label&gt;
						&lt;input type='text' class='col-md-10 form-control input-text' name='Dummy' [(ngModel)]='rowdata.dummy'&gt;
					&lt;/div&gt;
					&lt;div class='col-md-12 form-group row'&gt;
						&lt;label class='col-md-2 form-control title'&gt;Dgflag&lt;/label&gt;
						&lt;input type='text' class='col-md-10 form-control input-text' name='Dgflag' [(ngModel)]='rowdata.dgflag'&gt;
					&lt;/div&gt;
					&lt;div class='col-md-12 form-group row'&gt;
						&lt;label class='col-md-2 form-control title'&gt;Packing Type&lt;/label&gt;
						&lt;input type='text' class='col-md-10 form-control input-text' name='PackingType' [(ngModel)]='rowdata.packingType'&gt;
					&lt;/div&gt;
					&lt;div class='col-md-12 form-group row'&gt;
						&lt;label class='col-md-2 form-control title'&gt;Rr Type&lt;/label&gt;
						&lt;input type='text' class='col-md-10 form-control input-text' name='RrType' [(ngModel)]='rowdata.rrType'&gt;
					&lt;/div&gt;
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
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
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
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
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
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
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
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
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
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
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
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CreateOrEditInvCkdModuleCaseDto, InvCkdModuleCaseServiceProxy } from '@shared/service-proxies/service-proxies';
import { BsDatepickerDirective } from 'ngx-bootstrap/datepicker';
@Component({
    selector: 'create-or-edit-modulecase-modal',
    templateUrl: './create-or-edit-modulecase-modal.component.html',
    styleUrls: ['./create-or-edit-modulecase-modal.component.less']
    })
export class CreateOrEditModuleCaseModalComponent extends AppComponentBase {
    @ViewChild('createOrEditModalModuleCase',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CreateOrEditInvCkdModuleCaseDto = new CreateOrEditInvCkdModuleCaseDto();
    active: boolean = false;
    saving: boolean = false;
    _isActive: boolean;
    constructor(
        injector: Injector,
        private _mstwptModuleCaseService: InvCkdModuleCaseServiceProxy,
    ) 
    {
        super(injector);
    }
    show(rowdata?: CreateOrEditInvCkdModuleCaseDto): void {
        if (!rowdata) this.rowdata = new CreateOrEditInvCkdModuleCaseDto();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this._mstwptModuleCaseService.createOrEdit(this.rowdata)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ModuleCaseRoutingModule } from './modulecase-routing.module';
import { ModuleCaseComponent } from './modulecase.component';
import { CreateOrEditModuleCaseModalComponent } from './create-or-edit-modulecase-modal.component';
@NgModule({
    declarations: [
       ModuleCaseComponent, 
        CreateOrEditModuleCaseModalComponent
    ],
    imports: [
        AppSharedModule, ModuleCaseRoutingModule]
})
export class ModuleCaseModule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ModuleCaseComponent } from './modulecase.component';
const routes: Routes = [{
    path: '',
    component: ModuleCaseComponent,
    pathMatch: 'full'
}];
@NgModule({
    imports: [RouterModule.forChild(routes)],
    exports: [RouterModule],
})
export class ModuleCaseRoutingModule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AppMenuItem("ModuleCase", "Pages.Inventory.CKD.ModuleCase", "flaticon-book",   "/app/main/inventory/ckd/modulecase"),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'inventory/ckd/modulecase',
    loadChildren: () =&gt; import('./inventory/ckd/modulecase/modulecase.module').then(m =&gt; m.ModuleCaseModule),
    data: { permission: 'Pages.Inventory.CKD.ModuleCase' }
},</v>
      </c>
      <c r="R10" s="47" t="str">
        <f>SUBSTITUTE(R9,"MstWptCalendar",$B$6)</f>
        <v>ApiServiceProxies.InvCkdModuleCaseServiceProxy,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H71</v>
      </c>
      <c r="I12" s="28" t="str">
        <f>"I"&amp;COUNTA($A:$A)</f>
        <v>I71</v>
      </c>
      <c r="J12" s="28"/>
      <c r="K12" s="28" t="str">
        <f>"K"&amp;COUNTA($A:$A)</f>
        <v>K71</v>
      </c>
      <c r="L12" s="28" t="str">
        <f>"L"&amp;COUNTA($A:$A)</f>
        <v>L71</v>
      </c>
      <c r="M12" s="28"/>
      <c r="N12" s="28"/>
      <c r="O12" s="28"/>
      <c r="P12" s="28"/>
      <c r="Q12" s="28"/>
      <c r="R12" s="28"/>
      <c r="S12" s="28" t="str">
        <f>"S"&amp;COUNTA($A:$A)</f>
        <v>S71</v>
      </c>
      <c r="T12" s="28" t="str">
        <f>"T"&amp;COUNTA($A:$A)</f>
        <v>T71</v>
      </c>
      <c r="U12" s="28" t="str">
        <f>"U"&amp;COUNTA($A:$A)</f>
        <v>U71</v>
      </c>
      <c r="V12" s="28" t="str">
        <f>"V"&amp;COUNTA($A:$A)</f>
        <v>V71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this.l('Module No'),headerTooltip: this.l('Module No'),field: 'moduleNo',flex: 1},
			{headerName: this.l('Case No'),headerTooltip: this.l('Case No'),field: 'caseNo',flex: 1},
			{headerName: this.l('Container No'),headerTooltip: this.l('Container No'),field: 'containerNo',flex: 1},
			{headerName: this.l('Renban'),headerTooltip: this.l('Renban'),field: 'renban',flex: 1},
			{headerName: this.l('Invoice Id'),headerTooltip: this.l('Invoice Id'),field: 'invoiceId',flex: 1},
			{headerName: this.l('Lot No'),headerTooltip: this.l('Lot No'),field: 'lotNo',flex: 1},
			{headerName: this.l('Supplier No'),headerTooltip: this.l('Supplier No'),field: 'supplierNo',flex: 1},
			{headerName: this.l('Container List Id'),headerTooltip: this.l('Container List Id'),field: 'containerListId',flex: 1},
			{headerName: this.l('Module Case No'),headerTooltip: this.l('Module Case No'),field: 'moduleCaseNo',flex: 1},
			{headerName: this.l('Invoice No'),headerTooltip: this.l('Invoice No'),field: 'invoiceNo',flex: 1},
			{headerName: this.l('Cd Date'),headerTooltip: this.l('Cd Date'),field: 'cdDate',flex: 1},
			{headerName: this.l('Storage Location Code'),headerTooltip: this.l('Storage Location Code'),field: 'storageLocationCode',flex: 1},
			{headerName: this.l('Location Id'),headerTooltip: this.l('Location Id'),field: 'locationId',flex: 1},
			{headerName: this.l('Location Date'),headerTooltip: this.l('Location Date'),field: 'locationDate',flex: 1},
			{headerName: this.l('Location By'),headerTooltip: this.l('Location By'),field: 'locationBy',flex: 1},
			{headerName: this.l('Unpacking Date'),headerTooltip: this.l('Unpacking Date'),field: 'unpackingDate',flex: 1},
			{headerName: this.l('Unpacking Time'),headerTooltip: this.l('Unpacking Time'),field: 'unpackingTime',flex: 1},
			{headerName: this.l('Unpacking Datetime'),headerTooltip: this.l('Unpacking Datetime'),field: 'unpackingDatetime',flex: 1},
			{headerName: this.l('Net Weight'),headerTooltip: this.l('Net Weight'),field: 'netWeight',flex: 1},
			{headerName: this.l('Gross Weight'),headerTooltip: this.l('Gross Weight'),field: 'grossWeight',flex: 1},
			{headerName: this.l('Measuarement M3'),headerTooltip: this.l('Measuarement M3'),field: 'measuarementM3',flex: 1},
			{headerName: this.l('Lengthofcasemodule'),headerTooltip: this.l('Lengthofcasemodule'),field: 'lengthofcasemodule',flex: 1},
			{headerName: this.l('Widthofcasemodule'),headerTooltip: this.l('Widthofcasemodule'),field: 'widthofcasemodule',flex: 1},
			{headerName: this.l('Heightofcasemodule'),headerTooltip: this.l('Heightofcasemodule'),field: 'heightofcasemodule',flex: 1},
			{headerName: this.l('Dummy'),headerTooltip: this.l('Dummy'),field: 'dummy',flex: 1},
			{headerName: this.l('Plannedpackingdate'),headerTooltip: this.l('Plannedpackingdate'),field: 'plannedpackingdate',flex: 1},
			{headerName: this.l('Dgflag'),headerTooltip: this.l('Dgflag'),field: 'dgflag',flex: 1},
			{headerName: this.l('Packing Type'),headerTooltip: this.l('Packing Type'),field: 'packingType',flex: 1},
			{headerName: this.l('Rr Type'),headerTooltip: this.l('Rr Type'),field: 'rrType',flex: 1},
			{headerName: this.l('Freight Per Invoice'),headerTooltip: this.l('Freight Per Invoice'),field: 'freightPerInvoice',flex: 1},
			{headerName: this.l('Insurance Per Invoice'),headerTooltip: this.l('Insurance Per Invoice'),field: 'insurancePerInvoice',flex: 1},
			{headerName: this.l('Inner Material Type1'),headerTooltip: this.l('Inner Material Type1'),field: 'innerMaterialType1',flex: 1},
			{headerName: this.l('Inner Material Type2'),headerTooltip: this.l('Inner Material Type2'),field: 'innerMaterialType2',flex: 1},
			{headerName: this.l('Inner Material Type3'),headerTooltip: this.l('Inner Material Type3'),field: 'innerMaterialType3',flex: 1},
			{headerName: this.l('Inner Material Type4'),headerTooltip: this.l('Inner Material Type4'),field: 'innerMaterialType4',flex: 1},
			{headerName: this.l('Inner Material Type5'),headerTooltip: this.l('Inner Material Type5'),field: 'innerMaterialType5',flex: 1},
			{headerName: this.l('Inner Material Type6'),headerTooltip: this.l('Inner Material Type6'),field: 'innerMaterialType6',flex: 1},
			{headerName: this.l('Inner Material Type7'),headerTooltip: this.l('Inner Material Type7'),field: 'innerMaterialType7',flex: 1},
			{headerName: this.l('Inner Material Type8'),headerTooltip: this.l('Inner Material Type8'),field: 'innerMaterialType8',flex: 1},
			{headerName: this.l('Inner Material Type9'),headerTooltip: this.l('Inner Material Type9'),field: 'innerMaterialType9',flex: 1},
			{headerName: this.l('Inner Material Type10'),headerTooltip: this.l('Inner Material Type10'),field: 'innerMaterialType10',flex: 1},
			{headerName: this.l('Inner Material Type11'),headerTooltip: this.l('Inner Material Type11'),field: 'innerMaterialType11',flex: 1},
			{headerName: this.l('Inner Material Type12'),headerTooltip: this.l('Inner Material Type12'),field: 'innerMaterialType12',flex: 1},
			{headerName: this.l('Inner Material Quantity1'),headerTooltip: this.l('Inner Material Quantity1'),field: 'innerMaterialQuantity1',flex: 1},
			{headerName: this.l('Inner Material Quantity2'),headerTooltip: this.l('Inner Material Quantity2'),field: 'innerMaterialQuantity2',flex: 1},
			{headerName: this.l('Inner Material Quantity3'),headerTooltip: this.l('Inner Material Quantity3'),field: 'innerMaterialQuantity3',flex: 1},
			{headerName: this.l('Inner Material Quantity4'),headerTooltip: this.l('Inner Material Quantity4'),field: 'innerMaterialQuantity4',flex: 1},
			{headerName: this.l('Inner Material Quantity5'),headerTooltip: this.l('Inner Material Quantity5'),field: 'innerMaterialQuantity5',flex: 1},
			{headerName: this.l('Inner Material Quantity6'),headerTooltip: this.l('Inner Material Quantity6'),field: 'innerMaterialQuantity6',flex: 1},
			{headerName: this.l('Inner Material Quantity7'),headerTooltip: this.l('Inner Material Quantity7'),field: 'innerMaterialQuantity7',flex: 1},
			{headerName: this.l('Inner Material Quantity8'),headerTooltip: this.l('Inner Material Quantity8'),field: 'innerMaterialQuantity8',flex: 1},
			{headerName: this.l('Inner Material Quantity9'),headerTooltip: this.l('Inner Material Quantity9'),field: 'innerMaterialQuantity9',flex: 1},
			{headerName: this.l('Inner Material Quantity10'),headerTooltip: this.l('Inner Material Quantity10'),field: 'innerMaterialQuantity10',flex: 1},
			{headerName: this.l('Inner Material Quantity11'),headerTooltip: this.l('Inner Material Quantity11'),field: 'innerMaterialQuantity11',flex: 1},
			{headerName: this.l('Inner Material Quantity12'),headerTooltip: this.l('Inner Material Quantity12'),field: 'innerMaterialQuantity12',flex: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[(ngModel)]='caseNo' name='caseNo'
									class='form-control' [placeholder]="l('Case No')"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[(ngModel)]='moduleCaseNo' name='moduleCaseNo'
									class='form-control' [placeholder]="l('Module Case No')"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[(ngModel)]='storageLocationCode' name='storageLocationCode'
									class='form-control' [placeholder]="l('Storage Location Code')"
									type='text' (keyup.enter)='searchDatas()'&gt;
								&lt;/div&gt;
								&lt;div class='input-search'&gt;
									&lt;input [(ngModel)]='locationBy' name='locationBy'
									class='form-control' [placeholder]="l('Location By')"
									type='text' (keyup.enter)='searchDatas()'&gt;
								&lt;/div&gt;
								&lt;div class='input-search'&gt;
									&lt;input [(ngModel)]='dummy' name='dummy'
									class='form-control' [placeholder]="l('Dummy')"
									type='text' (keyup.enter)='searchDatas()'&gt;
								&lt;/div&gt;
								&lt;div class='input-search'&gt;
									&lt;input [(ngModel)]='dgflag' name='dgflag'
									class='form-control' [placeholder]="l('Dgflag')"
									type='text' (keyup.enter)='searchDatas()'&gt;
								&lt;/div&gt;
								&lt;div class='input-search'&gt;
									&lt;input [(ngModel)]='packingType' name='packingType'
									class='form-control' [placeholder]="l('Packing Type')"
									type='text' (keyup.enter)='searchDatas()'&gt;
								&lt;/div&gt;
								&lt;div class='input-search'&gt;
									&lt;input [(ngModel)]='rrType' name='rrType'
									class='form-control' [placeholder]="l('Rr Type')"
									type='text' (keyup.enter)='searchDatas()'&gt;
								&lt;/div&gt;
								&lt;div class='input-search'&gt;
									&lt;input [(ngModel)]='innerMaterialType1' name='innerMaterialType1'
									class='form-control' [placeholder]="l('Inner Material Type1')"
									type='text' (keyup.enter)='searchDatas()'&gt;
								&lt;/div&gt;
								&lt;div class='input-search'&gt;
									&lt;input [(ngModel)]='innerMaterialType2' name='innerMaterialType2'
									class='form-control' [placeholder]="l('Inner Material Type2')"
									type='text' (keyup.enter)='searchDatas()'&gt;
								&lt;/div&gt;
								&lt;div class='input-search'&gt;
									&lt;input [(ngModel)]='innerMaterialType3' name='innerMaterialType3'
									class='form-control' [placeholder]="l('Inner Material Type3')"
									type='text' (keyup.enter)='searchDatas()'&gt;
								&lt;/div&gt;
								&lt;div class='input-search'&gt;
									&lt;input [(ngModel)]='innerMaterialType4' name='innerMaterialType4'
									class='form-control' [placeholder]="l('Inner Material Type4')"
									type='text' (keyup.enter)='searchDatas()'&gt;
								&lt;/div&gt;
								&lt;div class='input-search'&gt;
									&lt;input [(ngModel)]='innerMaterialType5' name='innerMaterialType5'
									class='form-control' [placeholder]="l('Inner Material Type5')"
									type='text' (keyup.enter)='searchDatas()'&gt;
								&lt;/div&gt;
								&lt;div class='input-search'&gt;
									&lt;input [(ngModel)]='innerMaterialType6' name='innerMaterialType6'
									class='form-control' [placeholder]="l('Inner Material Type6')"
									type='text' (keyup.enter)='searchDatas()'&gt;
								&lt;/div&gt;
								&lt;div class='input-search'&gt;
									&lt;input [(ngModel)]='innerMaterialType7' name='innerMaterialType7'
									class='form-control' [placeholder]="l('Inner Material Type7')"
									type='text' (keyup.enter)='searchDatas()'&gt;
								&lt;/div&gt;
								&lt;div class='input-search'&gt;
									&lt;input [(ngModel)]='innerMaterialType8' name='innerMaterialType8'
									class='form-control' [placeholder]="l('Inner Material Type8')"
									type='text' (keyup.enter)='searchDatas()'&gt;
								&lt;/div&gt;
								&lt;div class='input-search'&gt;
									&lt;input [(ngModel)]='innerMaterialType9' name='innerMaterialType9'
									class='form-control' [placeholder]="l('Inner Material Type9')"
									type='text' (keyup.enter)='searchDatas()'&gt;
								&lt;/div&gt;
								&lt;div class='input-search'&gt;
									&lt;input [(ngModel)]='innerMaterialType10' name='innerMaterialType10'
									class='form-control' [placeholder]="l('Inner Material Type10')"
									type='text' (keyup.enter)='searchDatas()'&gt;
								&lt;/div&gt;
								&lt;div class='input-search'&gt;
									&lt;input [(ngModel)]='innerMaterialType11' name='innerMaterialType11'
									class='form-control' [placeholder]="l('Inner Material Type11')"
									type='text' (keyup.enter)='searchDatas()'&gt;
								&lt;/div&gt;
								&lt;div class='input-search'&gt;
									&lt;input [(ngModel)]='innerMaterialType12' name='innerMaterialType12'
									class='form-control' [placeholder]="l('Inner Material Type12')"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title'&gt;Case No&lt;/label&gt;
						&lt;input type='text' class='col-md-10 form-control input-text' name='CaseNo' [(ngModel)]='rowdata.caseNo'&gt;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
					&lt;div class='col-md-12 form-group row'&gt;
						&lt;label class='col-md-2 form-control title'&gt;Location By&lt;/label&gt;
						&lt;input type='text' class='col-md-10 form-control input-text' name='LocationBy' [(ngModel)]='rowdata.locationBy'&gt;
					&lt;/div&gt;
					&lt;div class='col-md-12 form-group row'&gt;
						&lt;label class='col-md-2 form-control title'&gt;Dummy&lt;/label&gt;
						&lt;input type='text' class='col-md-10 form-control input-text' name='Dummy' [(ngModel)]='rowdata.dummy'&gt;
					&lt;/div&gt;
					&lt;div class='col-md-12 form-group row'&gt;
						&lt;label class='col-md-2 form-control title'&gt;Dgflag&lt;/label&gt;
						&lt;input type='text' class='col-md-10 form-control input-text' name='Dgflag' [(ngModel)]='rowdata.dgflag'&gt;
					&lt;/div&gt;
					&lt;div class='col-md-12 form-group row'&gt;
						&lt;label class='col-md-2 form-control title'&gt;Packing Type&lt;/label&gt;
						&lt;input type='text' class='col-md-10 form-control input-text' name='PackingType' [(ngModel)]='rowdata.packingType'&gt;
					&lt;/div&gt;
					&lt;div class='col-md-12 form-group row'&gt;
						&lt;label class='col-md-2 form-control title'&gt;Rr Type&lt;/label&gt;
						&lt;input type='text' class='col-md-10 form-control input-text' name='RrType' [(ngModel)]='rowdata.rrType'&gt;
					&lt;/div&gt;
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
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
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
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
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
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
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
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
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
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
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
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moduleNo : string = '' ; 
	caseNo : string = '' ; 
	containerNo : string = '' ; 
	renban : string = '' ; 
	invoiceId
	lotNo : string = '' ; 
	supplierNo : string = '' ; 
	containerListId
	moduleCaseNo : string = '' ; 
	invoiceNo : string = '' ; 
	cdDate
	storageLocationCode : string = '' ; 
	locationId
	locationDate
	locationBy : string = '' ; 
	unpackingDate
	unpackingTime
	unpackingDatetime
	netWeight
	grossWeight
	measuarementM3
	lengthofcasemodule
	widthofcasemodule
	heightofcasemodule
	dummy : string = '' ; 
	plannedpackingdate
	dgflag : string = '' ; 
	packingType : string = '' ; 
	rrType : string = '' ; 
	freightPerInvoice
	insurancePerInvoice
	innerMaterialType1 : string = '' ; 
	innerMaterialType2 : string = '' ; 
	innerMaterialType3 : string = '' ; 
	innerMaterialType4 : string = '' ; 
	innerMaterialType5 : string = '' ; 
	innerMaterialType6 : string = '' ; 
	innerMaterialType7 : string = '' ; 
	innerMaterialType8 : string = '' ; 
	innerMaterialType9 : string = '' ; 
	innerMaterialType10 : string = '' ; 
	innerMaterialType11 : string = '' ; 
	innerMaterialType12 : string = '' ; 
	innerMaterialQuantity1
	innerMaterialQuantity2
	innerMaterialQuantity3
	innerMaterialQuantity4
	innerMaterialQuantity5
	innerMaterialQuantity6
	innerMaterialQuantity7
	innerMaterialQuantity8
	innerMaterialQuantity9
	innerMaterialQuantity10
	innerMaterialQuantity11
	innerMaterialQuantity12
	status
	isActive : string = '' ; </v>
      </c>
      <c r="T13" s="62" t="str">
        <f ca="1">TEXTJOIN2("
",TRUE,INDIRECT(T11):INDIRECT(T12))</f>
        <v xml:space="preserve">			this.moduleNo,
			this.caseNo,
			this.containerNo,
			this.renban,
			this.invoiceId,
			this.lotNo,
			this.supplierNo,
			this.containerListId,
			this.moduleCaseNo,
			this.invoiceNo,
			this.cdDate,
			this.storageLocationCode,
			this.locationId,
			this.locationDate,
			this.locationBy,
			this.unpackingDate,
			this.unpackingTime,
			this.unpackingDatetime,
			this.netWeight,
			this.grossWeight,
			this.measuarementM3,
			this.lengthofcasemodule,
			this.widthofcasemodule,
			this.heightofcasemodule,
			this.dummy,
			this.plannedpackingdate,
			this.dgflag,
			this.packingType,
			this.rrType,
			this.freightPerInvoice,
			this.insurancePerInvoice,
			this.innerMaterialType1,
			this.innerMaterialType2,
			this.innerMaterialType3,
			this.innerMaterialType4,
			this.innerMaterialType5,
			this.innerMaterialType6,
			this.innerMaterialType7,
			this.innerMaterialType8,
			this.innerMaterialType9,
			this.innerMaterialType10,
			this.innerMaterialType11,
			this.innerMaterialType12,
			this.innerMaterialQuantity1,
			this.innerMaterialQuantity2,
			this.innerMaterialQuantity3,
			this.innerMaterialQuantity4,
			this.innerMaterialQuantity5,
			this.innerMaterialQuantity6,
			this.innerMaterialQuantity7,
			this.innerMaterialQuantity8,
			this.innerMaterialQuantity9,
			this.innerMaterialQuantity10,
			this.innerMaterialQuantity11,
			this.innerMaterialQuantity12,
			this.status,
			this.isActive,</v>
      </c>
      <c r="U13" s="62" t="str">
        <f ca="1">TEXTJOIN2("
",TRUE,INDIRECT(U11):INDIRECT(U12))</f>
        <v xml:space="preserve">		this.moduleNo = '',
		this.caseNo = '',
		this.containerNo = '',
		this.renban = '',
		this.invoiceId = '',
		this.lotNo = '',
		this.supplierNo = '',
		this.containerListId = '',
		this.moduleCaseNo = '',
		this.invoiceNo = '',
		this.cdDate = '',
		this.storageLocationCode = '',
		this.locationId = '',
		this.locationDate = '',
		this.locationBy = '',
		this.unpackingDate = '',
		this.unpackingTime = '',
		this.unpackingDatetime = '',
		this.netWeight = '',
		this.grossWeight = '',
		this.measuarementM3 = '',
		this.lengthofcasemodule = '',
		this.widthofcasemodule = '',
		this.heightofcasemodule = '',
		this.dummy = '',
		this.plannedpackingdate = '',
		this.dgflag = '',
		this.packingType = '',
		this.rrType = '',
		this.freightPerInvoice = '',
		this.insurancePerInvoice = '',
		this.innerMaterialType1 = '',
		this.innerMaterialType2 = '',
		this.innerMaterialType3 = '',
		this.innerMaterialType4 = '',
		this.innerMaterialType5 = '',
		this.innerMaterialType6 = '',
		this.innerMaterialType7 = '',
		this.innerMaterialType8 = '',
		this.innerMaterialType9 = '',
		this.innerMaterialType10 = '',
		this.innerMaterialType11 = '',
		this.innerMaterialType12 = '',
		this.innerMaterialQuantity1 = '',
		this.innerMaterialQuantity2 = '',
		this.innerMaterialQuantity3 = '',
		this.innerMaterialQuantity4 = '',
		this.innerMaterialQuantity5 = '',
		this.innerMaterialQuantity6 = '',
		this.innerMaterialQuantity7 = '',
		this.innerMaterialQuantity8 = '',
		this.innerMaterialQuantity9 = '',
		this.innerMaterialQuantity10 = '',
		this.innerMaterialQuantity11 = '',
		this.innerMaterialQuantity12 = '',
		this.status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modulecase.component.ts</v>
      </c>
      <c r="I14" s="37" t="str">
        <f>B8&amp;".component.html"</f>
        <v>modulecase.component.html</v>
      </c>
      <c r="J14" s="36" t="str">
        <f>B8&amp;".component.less"</f>
        <v>modulecase.component.less</v>
      </c>
      <c r="K14" s="37" t="str">
        <f>"create-or-edit-"&amp;B8&amp;"-modal.component.html"</f>
        <v>create-or-edit-modulecase-modal.component.html</v>
      </c>
      <c r="L14" s="37" t="str">
        <f>"create-or-edit-"&amp;B8&amp;"-modal.component.ts"</f>
        <v>create-or-edit-modulecase-modal.component.ts</v>
      </c>
      <c r="M14" s="37" t="str">
        <f>"create-or-edit-"&amp;B8&amp;"-modal.component.less"</f>
        <v>create-or-edit-modulecase-modal.component.less</v>
      </c>
      <c r="N14" s="37" t="str">
        <f>B8&amp;".module.ts"</f>
        <v>modulecase.module.ts</v>
      </c>
      <c r="O14" s="37" t="str">
        <f>B8&amp;"-routing.module.ts"</f>
        <v>modulecase-routing.module.ts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362</v>
      </c>
      <c r="B15" s="28" t="str">
        <f t="shared" ref="B15:B44" si="0">SUBSTITUTE(PROPER(A15),"_","")</f>
        <v>ModuleNo</v>
      </c>
      <c r="C15" s="28" t="str">
        <f t="shared" ref="C15:C44" si="1">SUBSTITUTE(PROPER(A15),"_"," ")</f>
        <v>Module No</v>
      </c>
      <c r="D15" s="28" t="str">
        <f t="shared" ref="D15:D44" si="2">LOWER(LEFT(B15,1))&amp;RIGHT(B15,LEN(B15) - 1)</f>
        <v>moduleNo</v>
      </c>
      <c r="E15" s="28" t="str">
        <f>A.Backend!H9</f>
        <v>string</v>
      </c>
      <c r="F15" s="28" t="str">
        <f>A.Backend!G9</f>
        <v>12</v>
      </c>
      <c r="G15" s="28" t="str">
        <f t="shared" ref="G15:G71" si="3">IF(E15="string"," : string = '' ; ",IF(OR(E15="DateTime",E15="TimeSpan")," : any ;",IF(E15="int"," : number = 0 ;","")))</f>
        <v xml:space="preserve"> : string = '' ; </v>
      </c>
      <c r="H15" s="35" t="str">
        <f t="shared" ref="H15:H7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this.l('Module No'),headerTooltip: this.l('Module No'),field: 'moduleNo',flex: 1},</v>
      </c>
      <c r="I15" s="35" t="str">
        <f t="shared" ref="I15:I7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15" s="28"/>
      <c r="K15" s="35" t="str">
        <f t="shared" ref="K15:K71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15" s="56" t="str">
        <f t="shared" ref="L15:L44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moduleNo : string = '' ; </v>
      </c>
      <c r="T15" s="28" t="str">
        <f>REPT(CHAR(9),3)&amp;"this."&amp;D15&amp;","</f>
        <v xml:space="preserve">			this.moduleNo,</v>
      </c>
      <c r="U15" s="28" t="str">
        <f>IF(E15="int",REPT(CHAR(9),2)&amp;"this."&amp;D15&amp;" = 0,",REPT(CHAR(9),2)&amp;"this."&amp;D15&amp;" = '',")</f>
        <v xml:space="preserve">		this.moduleNo = '',</v>
      </c>
      <c r="V15" s="28" t="str">
        <f t="shared" ref="V15:V71" si="8">IF(AND(E15="string",F15="1"),D15,"")</f>
        <v/>
      </c>
    </row>
    <row r="16" spans="1:22" ht="18" customHeight="1" x14ac:dyDescent="0.25">
      <c r="A16" t="s">
        <v>361</v>
      </c>
      <c r="B16" s="28" t="str">
        <f t="shared" ref="B16" si="9">SUBSTITUTE(PROPER(A16),"_","")</f>
        <v>CaseNo</v>
      </c>
      <c r="C16" s="28" t="str">
        <f t="shared" ref="C16" si="10">SUBSTITUTE(PROPER(A16),"_"," ")</f>
        <v>Case No</v>
      </c>
      <c r="D16" s="28" t="str">
        <f t="shared" ref="D16" si="11">LOWER(LEFT(B16,1))&amp;RIGHT(B16,LEN(B16) - 1)</f>
        <v>caseNo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this.l('Case No'),headerTooltip: this.l('Case No'),field: 'caseNo',flex: 1},</v>
      </c>
      <c r="I16" s="35" t="str">
        <f t="shared" si="5"/>
        <v xml:space="preserve">								&lt;div class='input-search'&gt;
									&lt;input [(ngModel)]='caseNo' name='caseNo'
									class='form-control' [placeholder]="l('Case No')"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title'&gt;Case No&lt;/label&gt;
						&lt;input type='text' class='col-md-10 form-control input-text' name='CaseNo' [(ngModel)]='rowdata.caseNo'&gt;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71" si="13">REPT(CHAR(9),1)&amp;D16&amp;G16</f>
        <v xml:space="preserve">	caseNo : string = '' ; </v>
      </c>
      <c r="T16" s="28" t="str">
        <f t="shared" ref="T16:T71" si="14">REPT(CHAR(9),3)&amp;"this."&amp;D16&amp;","</f>
        <v xml:space="preserve">			this.caseNo,</v>
      </c>
      <c r="U16" s="28" t="str">
        <f t="shared" ref="U16:U71" si="15">IF(E16="int",REPT(CHAR(9),2)&amp;"this."&amp;D16&amp;" = 0,",REPT(CHAR(9),2)&amp;"this."&amp;D16&amp;" = '',")</f>
        <v xml:space="preserve">		this.caseNo = '',</v>
      </c>
      <c r="V16" s="28" t="str">
        <f t="shared" si="8"/>
        <v/>
      </c>
    </row>
    <row r="17" spans="1:22" ht="18" customHeight="1" x14ac:dyDescent="0.25">
      <c r="A17" t="s">
        <v>363</v>
      </c>
      <c r="B17" s="28" t="str">
        <f>SUBSTITUTE(PROPER(A17),"_","")</f>
        <v>ContainerNo</v>
      </c>
      <c r="C17" s="28" t="str">
        <f>SUBSTITUTE(PROPER(A17),"_"," ")</f>
        <v>Container No</v>
      </c>
      <c r="D17" s="28" t="str">
        <f>LOWER(LEFT(B17,1))&amp;RIGHT(B17,LEN(B17) - 1)</f>
        <v>containerNo</v>
      </c>
      <c r="E17" s="28" t="str">
        <f>A.Backend!H11</f>
        <v>string</v>
      </c>
      <c r="F17" s="28" t="str">
        <f>A.Backend!G11</f>
        <v>15</v>
      </c>
      <c r="G17" s="28" t="str">
        <f t="shared" si="3"/>
        <v xml:space="preserve"> : string = '' ; </v>
      </c>
      <c r="H17" s="35" t="str">
        <f t="shared" si="4"/>
        <v xml:space="preserve">			{headerName: this.l('Container No'),headerTooltip: this.l('Container No'),field: 'containerNo',flex: 1},</v>
      </c>
      <c r="I17" s="35" t="str">
        <f t="shared" si="5"/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containerNo : string = '' ; </v>
      </c>
      <c r="T17" s="28" t="str">
        <f t="shared" si="14"/>
        <v xml:space="preserve">			this.containerNo,</v>
      </c>
      <c r="U17" s="28" t="str">
        <f t="shared" si="15"/>
        <v xml:space="preserve">		this.containerNo = '',</v>
      </c>
      <c r="V17" s="28" t="str">
        <f t="shared" si="8"/>
        <v/>
      </c>
    </row>
    <row r="18" spans="1:22" ht="15" customHeight="1" x14ac:dyDescent="0.25">
      <c r="A18" t="s">
        <v>373</v>
      </c>
      <c r="B18" s="28" t="str">
        <f t="shared" ref="B18:B23" si="16">SUBSTITUTE(PROPER(A18),"_","")</f>
        <v>Renban</v>
      </c>
      <c r="C18" s="28" t="str">
        <f t="shared" ref="C18:C23" si="17">SUBSTITUTE(PROPER(A18),"_"," ")</f>
        <v>Renban</v>
      </c>
      <c r="D18" s="28" t="str">
        <f t="shared" ref="D18:D23" si="18">LOWER(LEFT(B18,1))&amp;RIGHT(B18,LEN(B18) - 1)</f>
        <v>renban</v>
      </c>
      <c r="E18" s="28" t="str">
        <f>A.Backend!H12</f>
        <v>string</v>
      </c>
      <c r="F18" s="28" t="str">
        <f>A.Backend!G12</f>
        <v>6</v>
      </c>
      <c r="G18" s="28" t="str">
        <f t="shared" si="3"/>
        <v xml:space="preserve"> : string = '' ; </v>
      </c>
      <c r="H18" s="35" t="str">
        <f t="shared" si="4"/>
        <v xml:space="preserve">			{headerName: this.l('Renban'),headerTooltip: this.l('Renban'),field: 'renban',flex: 1},</v>
      </c>
      <c r="I18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8" s="56" t="str">
        <f t="shared" ref="L18:L23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renban : string = '' ; </v>
      </c>
      <c r="T18" s="28" t="str">
        <f t="shared" si="14"/>
        <v xml:space="preserve">			this.renban,</v>
      </c>
      <c r="U18" s="28" t="str">
        <f t="shared" si="15"/>
        <v xml:space="preserve">		this.renban = '',</v>
      </c>
      <c r="V18" s="28" t="str">
        <f t="shared" si="8"/>
        <v/>
      </c>
    </row>
    <row r="19" spans="1:22" ht="18" customHeight="1" x14ac:dyDescent="0.25">
      <c r="A19" t="s">
        <v>365</v>
      </c>
      <c r="B19" s="28" t="str">
        <f t="shared" si="16"/>
        <v>InvoiceId</v>
      </c>
      <c r="C19" s="28" t="str">
        <f t="shared" si="17"/>
        <v>Invoice Id</v>
      </c>
      <c r="D19" s="28" t="str">
        <f t="shared" si="18"/>
        <v>invoiceId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this.l('Invoice Id'),headerTooltip: this.l('Invoice Id'),field: 'invoiceId',flex: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invoiceId</v>
      </c>
      <c r="T19" s="28" t="str">
        <f t="shared" si="14"/>
        <v xml:space="preserve">			this.invoiceId,</v>
      </c>
      <c r="U19" s="28" t="str">
        <f t="shared" si="15"/>
        <v xml:space="preserve">		this.invoiceId = '',</v>
      </c>
      <c r="V19" s="28" t="str">
        <f t="shared" si="8"/>
        <v/>
      </c>
    </row>
    <row r="20" spans="1:22" ht="15" customHeight="1" x14ac:dyDescent="0.25">
      <c r="A20" t="s">
        <v>359</v>
      </c>
      <c r="B20" s="28" t="str">
        <f t="shared" si="16"/>
        <v>LotNo</v>
      </c>
      <c r="C20" s="28" t="str">
        <f t="shared" si="17"/>
        <v>Lot No</v>
      </c>
      <c r="D20" s="28" t="str">
        <f t="shared" si="18"/>
        <v>lotNo</v>
      </c>
      <c r="E20" s="28" t="str">
        <f>A.Backend!H14</f>
        <v>string</v>
      </c>
      <c r="F20" s="28" t="str">
        <f>A.Backend!G14</f>
        <v>10</v>
      </c>
      <c r="G20" s="28" t="str">
        <f t="shared" si="3"/>
        <v xml:space="preserve"> : string = '' ; </v>
      </c>
      <c r="H20" s="35" t="str">
        <f t="shared" si="4"/>
        <v xml:space="preserve">			{headerName: this.l('Lot No'),headerTooltip: this.l('Lot No'),field: 'lotNo',flex: 1},</v>
      </c>
      <c r="I20" s="35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lotNo : string = '' ; </v>
      </c>
      <c r="T20" s="28" t="str">
        <f t="shared" si="14"/>
        <v xml:space="preserve">			this.lotNo,</v>
      </c>
      <c r="U20" s="28" t="str">
        <f t="shared" si="15"/>
        <v xml:space="preserve">		this.lotNo = '',</v>
      </c>
      <c r="V20" s="28" t="str">
        <f t="shared" si="8"/>
        <v/>
      </c>
    </row>
    <row r="21" spans="1:22" ht="18" customHeight="1" x14ac:dyDescent="0.25">
      <c r="A21" t="s">
        <v>351</v>
      </c>
      <c r="B21" s="28" t="str">
        <f t="shared" ref="B21" si="20">SUBSTITUTE(PROPER(A21),"_","")</f>
        <v>SupplierNo</v>
      </c>
      <c r="C21" s="28" t="str">
        <f t="shared" ref="C21" si="21">SUBSTITUTE(PROPER(A21),"_"," ")</f>
        <v>Supplier No</v>
      </c>
      <c r="D21" s="28" t="str">
        <f t="shared" ref="D21" si="22">LOWER(LEFT(B21,1))&amp;RIGHT(B21,LEN(B21) - 1)</f>
        <v>supplierNo</v>
      </c>
      <c r="E21" s="28" t="str">
        <f>A.Backend!H15</f>
        <v>string</v>
      </c>
      <c r="F21" s="28" t="str">
        <f>A.Backend!G15</f>
        <v>10</v>
      </c>
      <c r="G21" s="28" t="str">
        <f t="shared" ref="G21:G22" si="23">IF(E21="string"," : string = '' ; ",IF(OR(E21="DateTime",E21="TimeSpan")," : any ;",IF(E21="int"," : number = 0 ;","")))</f>
        <v xml:space="preserve"> : string = '' ; </v>
      </c>
      <c r="H21" s="35" t="str">
        <f t="shared" ref="H21:H22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this.l('Supplier No'),headerTooltip: this.l('Supplier No'),field: 'supplierNo',flex: 1},</v>
      </c>
      <c r="I21" s="35" t="str">
        <f t="shared" ref="I21:I22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1" s="28"/>
      <c r="K21" s="35" t="str">
        <f t="shared" ref="K21:K22" si="26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:S22" si="28">REPT(CHAR(9),1)&amp;D21&amp;G21</f>
        <v xml:space="preserve">	supplierNo : string = '' ; </v>
      </c>
      <c r="T21" s="28" t="str">
        <f t="shared" ref="T21:T22" si="29">REPT(CHAR(9),3)&amp;"this."&amp;D21&amp;","</f>
        <v xml:space="preserve">			this.supplierNo,</v>
      </c>
      <c r="U21" s="28" t="str">
        <f t="shared" ref="U21:U22" si="30">IF(E21="int",REPT(CHAR(9),2)&amp;"this."&amp;D21&amp;" = 0,",REPT(CHAR(9),2)&amp;"this."&amp;D21&amp;" = '',")</f>
        <v xml:space="preserve">		this.supplierNo = '',</v>
      </c>
      <c r="V21" s="28" t="str">
        <f t="shared" ref="V21:V22" si="31">IF(AND(E21="string",F21="1"),D21,"")</f>
        <v/>
      </c>
    </row>
    <row r="22" spans="1:22" ht="18" customHeight="1" x14ac:dyDescent="0.25">
      <c r="A22" t="s">
        <v>414</v>
      </c>
      <c r="B22" s="28" t="str">
        <f>SUBSTITUTE(PROPER(A22),"_","")</f>
        <v>ContainerListId</v>
      </c>
      <c r="C22" s="28" t="str">
        <f>SUBSTITUTE(PROPER(A22),"_"," ")</f>
        <v>Container List Id</v>
      </c>
      <c r="D22" s="28" t="str">
        <f>LOWER(LEFT(B22,1))&amp;RIGHT(B22,LEN(B22) - 1)</f>
        <v>containerListId</v>
      </c>
      <c r="E22" s="28" t="str">
        <f>A.Backend!H16</f>
        <v>long?</v>
      </c>
      <c r="F22" s="28" t="str">
        <f>A.Backend!G16</f>
        <v/>
      </c>
      <c r="G22" s="28" t="str">
        <f t="shared" si="23"/>
        <v/>
      </c>
      <c r="H22" s="35" t="str">
        <f t="shared" si="24"/>
        <v xml:space="preserve">			{headerName: this.l('Container List Id'),headerTooltip: this.l('Container List Id'),field: 'containerListId',flex: 1},</v>
      </c>
      <c r="I22" s="35" t="str">
        <f t="shared" si="25"/>
        <v/>
      </c>
      <c r="J22" s="28"/>
      <c r="K22" s="35" t="str">
        <f t="shared" si="2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8"/>
        <v xml:space="preserve">	containerListId</v>
      </c>
      <c r="T22" s="28" t="str">
        <f t="shared" si="29"/>
        <v xml:space="preserve">			this.containerListId,</v>
      </c>
      <c r="U22" s="28" t="str">
        <f t="shared" si="30"/>
        <v xml:space="preserve">		this.containerListId = '',</v>
      </c>
      <c r="V22" s="28" t="str">
        <f t="shared" si="31"/>
        <v/>
      </c>
    </row>
    <row r="23" spans="1:22" ht="18" customHeight="1" x14ac:dyDescent="0.25">
      <c r="A23" t="s">
        <v>419</v>
      </c>
      <c r="B23" s="28" t="str">
        <f t="shared" si="16"/>
        <v>ModuleCaseNo</v>
      </c>
      <c r="C23" s="28" t="str">
        <f t="shared" si="17"/>
        <v>Module Case No</v>
      </c>
      <c r="D23" s="28" t="str">
        <f t="shared" si="18"/>
        <v>moduleCaseNo</v>
      </c>
      <c r="E23" s="28" t="str">
        <f>A.Backend!H17</f>
        <v>string</v>
      </c>
      <c r="F23" s="28" t="str">
        <f>A.Backend!G17</f>
        <v>12</v>
      </c>
      <c r="G23" s="28" t="str">
        <f t="shared" si="3"/>
        <v xml:space="preserve"> : string = '' ; </v>
      </c>
      <c r="H23" s="35" t="str">
        <f t="shared" si="4"/>
        <v xml:space="preserve">			{headerName: this.l('Module Case No'),headerTooltip: this.l('Module Case No'),field: 'moduleCaseNo',flex: 1},</v>
      </c>
      <c r="I23" s="35" t="str">
        <f t="shared" si="5"/>
        <v xml:space="preserve">								&lt;div class='input-search'&gt;
									&lt;input [(ngModel)]='moduleCaseNo' name='moduleCaseNo'
									class='form-control' [placeholder]="l('Module Case No')"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title'&gt;Module Case No&lt;/label&gt;
						&lt;input type='text' class='col-md-10 form-control input-text' name='ModuleCaseNo' [(ngModel)]='rowdata.moduleCaseNo'&gt;
					&lt;/div&gt;</v>
      </c>
      <c r="L23" s="56" t="str">
        <f t="shared" si="19"/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moduleCaseNo : string = '' ; </v>
      </c>
      <c r="T23" s="28" t="str">
        <f t="shared" si="14"/>
        <v xml:space="preserve">			this.moduleCaseNo,</v>
      </c>
      <c r="U23" s="28" t="str">
        <f t="shared" si="15"/>
        <v xml:space="preserve">		this.moduleCaseNo = '',</v>
      </c>
      <c r="V23" s="28" t="str">
        <f t="shared" si="8"/>
        <v/>
      </c>
    </row>
    <row r="24" spans="1:22" ht="18" customHeight="1" x14ac:dyDescent="0.25">
      <c r="A24" t="s">
        <v>427</v>
      </c>
      <c r="B24" s="28" t="str">
        <f>SUBSTITUTE(PROPER(A24),"_","")</f>
        <v>InvoiceNo</v>
      </c>
      <c r="C24" s="28" t="str">
        <f>SUBSTITUTE(PROPER(A24),"_"," ")</f>
        <v>Invoice No</v>
      </c>
      <c r="D24" s="28" t="str">
        <f>LOWER(LEFT(B24,1))&amp;RIGHT(B24,LEN(B24) - 1)</f>
        <v>invoiceNo</v>
      </c>
      <c r="E24" s="28" t="str">
        <f>A.Backend!H18</f>
        <v>string</v>
      </c>
      <c r="F24" s="28" t="str">
        <f>A.Backend!G18</f>
        <v>20</v>
      </c>
      <c r="G24" s="28" t="str">
        <f t="shared" si="3"/>
        <v xml:space="preserve"> : string = '' ; </v>
      </c>
      <c r="H24" s="35" t="str">
        <f t="shared" si="4"/>
        <v xml:space="preserve">			{headerName: this.l('Invoice No'),headerTooltip: this.l('Invoice No'),field: 'invoiceNo',flex: 1},</v>
      </c>
      <c r="I24" s="35" t="str">
        <f t="shared" si="5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24" s="56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invoiceNo : string = '' ; </v>
      </c>
      <c r="T24" s="28" t="str">
        <f t="shared" si="14"/>
        <v xml:space="preserve">			this.invoiceNo,</v>
      </c>
      <c r="U24" s="28" t="str">
        <f t="shared" si="15"/>
        <v xml:space="preserve">		this.invoiceNo = '',</v>
      </c>
      <c r="V24" s="28" t="str">
        <f t="shared" si="8"/>
        <v/>
      </c>
    </row>
    <row r="25" spans="1:22" ht="15" customHeight="1" x14ac:dyDescent="0.25">
      <c r="A25" t="s">
        <v>429</v>
      </c>
      <c r="B25" s="28" t="str">
        <f t="shared" ref="B25:B28" si="32">SUBSTITUTE(PROPER(A25),"_","")</f>
        <v>CdDate</v>
      </c>
      <c r="C25" s="28" t="str">
        <f t="shared" ref="C25:C28" si="33">SUBSTITUTE(PROPER(A25),"_"," ")</f>
        <v>Cd Date</v>
      </c>
      <c r="D25" s="28" t="str">
        <f t="shared" ref="D25:D28" si="34">LOWER(LEFT(B25,1))&amp;RIGHT(B25,LEN(B25) - 1)</f>
        <v>cdDate</v>
      </c>
      <c r="E25" s="28" t="str">
        <f>A.Backend!H19</f>
        <v>DateTime?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this.l('Cd Date'),headerTooltip: this.l('Cd Date'),field: 'cdDate',flex: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ref="L25:L28" si="35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cdDate</v>
      </c>
      <c r="T25" s="28" t="str">
        <f t="shared" si="14"/>
        <v xml:space="preserve">			this.cdDate,</v>
      </c>
      <c r="U25" s="28" t="str">
        <f t="shared" si="15"/>
        <v xml:space="preserve">		this.cdDate = '',</v>
      </c>
      <c r="V25" s="28" t="str">
        <f t="shared" si="8"/>
        <v/>
      </c>
    </row>
    <row r="26" spans="1:22" ht="18" customHeight="1" x14ac:dyDescent="0.25">
      <c r="A26" t="s">
        <v>420</v>
      </c>
      <c r="B26" s="28" t="str">
        <f t="shared" si="32"/>
        <v>StorageLocationCode</v>
      </c>
      <c r="C26" s="28" t="str">
        <f t="shared" si="33"/>
        <v>Storage Location Code</v>
      </c>
      <c r="D26" s="28" t="str">
        <f t="shared" si="34"/>
        <v>storageLocationCode</v>
      </c>
      <c r="E26" s="28" t="str">
        <f>A.Backend!H20</f>
        <v>string</v>
      </c>
      <c r="F26" s="28" t="str">
        <f>A.Backend!G20</f>
        <v>12</v>
      </c>
      <c r="G26" s="28" t="str">
        <f t="shared" si="3"/>
        <v xml:space="preserve"> : string = '' ; </v>
      </c>
      <c r="H26" s="35" t="str">
        <f t="shared" si="4"/>
        <v xml:space="preserve">			{headerName: this.l('Storage Location Code'),headerTooltip: this.l('Storage Location Code'),field: 'storageLocationCode',flex: 1},</v>
      </c>
      <c r="I26" s="35" t="str">
        <f t="shared" si="5"/>
        <v xml:space="preserve">								&lt;div class='input-search'&gt;
									&lt;input [(ngModel)]='storageLocationCode' name='storageLocationCode'
									class='form-control' [placeholder]="l('Storage Location Code')"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title'&gt;Storage Location Code&lt;/label&gt;
						&lt;input type='text' class='col-md-10 form-control input-text' name='StorageLocationCode' [(ngModel)]='rowdata.storageLocationCode'&gt;
					&lt;/div&gt;</v>
      </c>
      <c r="L26" s="56" t="str">
        <f t="shared" si="35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storageLocationCode : string = '' ; </v>
      </c>
      <c r="T26" s="28" t="str">
        <f t="shared" si="14"/>
        <v xml:space="preserve">			this.storageLocationCode,</v>
      </c>
      <c r="U26" s="28" t="str">
        <f t="shared" si="15"/>
        <v xml:space="preserve">		this.storageLocationCode = '',</v>
      </c>
      <c r="V26" s="28" t="str">
        <f t="shared" si="8"/>
        <v/>
      </c>
    </row>
    <row r="27" spans="1:22" ht="15" customHeight="1" x14ac:dyDescent="0.25">
      <c r="A27" t="s">
        <v>422</v>
      </c>
      <c r="B27" s="28" t="str">
        <f t="shared" si="32"/>
        <v>LocationId</v>
      </c>
      <c r="C27" s="28" t="str">
        <f t="shared" si="33"/>
        <v>Location Id</v>
      </c>
      <c r="D27" s="28" t="str">
        <f t="shared" si="34"/>
        <v>locationId</v>
      </c>
      <c r="E27" s="28" t="str">
        <f>A.Backend!H21</f>
        <v>long?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this.l('Location Id'),headerTooltip: this.l('Location Id'),field: 'locationId',flex: 1},</v>
      </c>
      <c r="I27" s="35" t="str">
        <f t="shared" si="5"/>
        <v/>
      </c>
      <c r="J27" s="28"/>
      <c r="K27" s="35" t="str">
        <f t="shared" si="6"/>
        <v/>
      </c>
      <c r="L27" s="56" t="str">
        <f t="shared" si="35"/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locationId</v>
      </c>
      <c r="T27" s="28" t="str">
        <f t="shared" si="14"/>
        <v xml:space="preserve">			this.locationId,</v>
      </c>
      <c r="U27" s="28" t="str">
        <f t="shared" si="15"/>
        <v xml:space="preserve">		this.locationId = '',</v>
      </c>
      <c r="V27" s="28" t="str">
        <f t="shared" si="8"/>
        <v/>
      </c>
    </row>
    <row r="28" spans="1:22" ht="18" customHeight="1" x14ac:dyDescent="0.25">
      <c r="A28" t="s">
        <v>424</v>
      </c>
      <c r="B28" s="28" t="str">
        <f t="shared" si="32"/>
        <v>LocationDate</v>
      </c>
      <c r="C28" s="28" t="str">
        <f t="shared" si="33"/>
        <v>Location Date</v>
      </c>
      <c r="D28" s="28" t="str">
        <f t="shared" si="34"/>
        <v>locationDate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this.l('Location Date'),headerTooltip: this.l('Location Date'),field: 'locationDate',flex: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si="35"/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locationDate</v>
      </c>
      <c r="T28" s="28" t="str">
        <f t="shared" si="14"/>
        <v xml:space="preserve">			this.locationDate,</v>
      </c>
      <c r="U28" s="28" t="str">
        <f t="shared" si="15"/>
        <v xml:space="preserve">		this.locationDate = '',</v>
      </c>
      <c r="V28" s="28" t="str">
        <f t="shared" si="8"/>
        <v/>
      </c>
    </row>
    <row r="29" spans="1:22" ht="18" customHeight="1" x14ac:dyDescent="0.25">
      <c r="A29" t="s">
        <v>423</v>
      </c>
      <c r="B29" s="28" t="str">
        <f>SUBSTITUTE(PROPER(A29),"_","")</f>
        <v>LocationBy</v>
      </c>
      <c r="C29" s="28" t="str">
        <f>SUBSTITUTE(PROPER(A29),"_"," ")</f>
        <v>Location By</v>
      </c>
      <c r="D29" s="28" t="str">
        <f>LOWER(LEFT(B29,1))&amp;RIGHT(B29,LEN(B29) - 1)</f>
        <v>locationBy</v>
      </c>
      <c r="E29" s="28" t="str">
        <f>A.Backend!H23</f>
        <v>string</v>
      </c>
      <c r="F29" s="28" t="str">
        <f>A.Backend!G23</f>
        <v>50</v>
      </c>
      <c r="G29" s="28" t="str">
        <f t="shared" si="3"/>
        <v xml:space="preserve"> : string = '' ; </v>
      </c>
      <c r="H29" s="35" t="str">
        <f t="shared" si="4"/>
        <v xml:space="preserve">			{headerName: this.l('Location By'),headerTooltip: this.l('Location By'),field: 'locationBy',flex: 1},</v>
      </c>
      <c r="I29" s="35" t="str">
        <f t="shared" si="5"/>
        <v xml:space="preserve">								&lt;div class='input-search'&gt;
									&lt;input [(ngModel)]='locationBy' name='locationBy'
									class='form-control' [placeholder]="l('Location By')"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title'&gt;Location By&lt;/label&gt;
						&lt;input type='text' class='col-md-10 form-control input-text' name='LocationBy' [(ngModel)]='rowdata.locationBy'&gt;
					&lt;/div&gt;</v>
      </c>
      <c r="L29" s="56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locationBy : string = '' ; </v>
      </c>
      <c r="T29" s="28" t="str">
        <f t="shared" si="14"/>
        <v xml:space="preserve">			this.locationBy,</v>
      </c>
      <c r="U29" s="28" t="str">
        <f t="shared" si="15"/>
        <v xml:space="preserve">		this.locationBy = '',</v>
      </c>
      <c r="V29" s="28" t="str">
        <f t="shared" si="8"/>
        <v/>
      </c>
    </row>
    <row r="30" spans="1:22" ht="15" customHeight="1" x14ac:dyDescent="0.25">
      <c r="A30" t="s">
        <v>416</v>
      </c>
      <c r="B30" s="28" t="str">
        <f t="shared" ref="B30:B33" si="36">SUBSTITUTE(PROPER(A30),"_","")</f>
        <v>UnpackingDate</v>
      </c>
      <c r="C30" s="28" t="str">
        <f t="shared" ref="C30:C33" si="37">SUBSTITUTE(PROPER(A30),"_"," ")</f>
        <v>Unpacking Date</v>
      </c>
      <c r="D30" s="28" t="str">
        <f t="shared" ref="D30:D33" si="38">LOWER(LEFT(B30,1))&amp;RIGHT(B30,LEN(B30) - 1)</f>
        <v>unpackingDate</v>
      </c>
      <c r="E30" s="28" t="str">
        <f>A.Backend!H24</f>
        <v>DateTime?</v>
      </c>
      <c r="F30" s="28" t="str">
        <f>A.Backend!G24</f>
        <v/>
      </c>
      <c r="G30" s="28" t="str">
        <f t="shared" si="3"/>
        <v/>
      </c>
      <c r="H30" s="35" t="str">
        <f t="shared" si="4"/>
        <v xml:space="preserve">			{headerName: this.l('Unpacking Date'),headerTooltip: this.l('Unpacking Date'),field: 'unpackingDate',flex: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ref="L30:L33" si="39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unpackingDate</v>
      </c>
      <c r="T30" s="28" t="str">
        <f t="shared" si="14"/>
        <v xml:space="preserve">			this.unpackingDate,</v>
      </c>
      <c r="U30" s="28" t="str">
        <f t="shared" si="15"/>
        <v xml:space="preserve">		this.unpackingDate = '',</v>
      </c>
      <c r="V30" s="28" t="str">
        <f t="shared" si="8"/>
        <v/>
      </c>
    </row>
    <row r="31" spans="1:22" ht="18" customHeight="1" x14ac:dyDescent="0.25">
      <c r="A31" t="s">
        <v>415</v>
      </c>
      <c r="B31" s="28" t="str">
        <f t="shared" si="36"/>
        <v>UnpackingTime</v>
      </c>
      <c r="C31" s="28" t="str">
        <f t="shared" si="37"/>
        <v>Unpacking Time</v>
      </c>
      <c r="D31" s="28" t="str">
        <f t="shared" si="38"/>
        <v>unpackingTime</v>
      </c>
      <c r="E31" s="28" t="str">
        <f>A.Backend!H25</f>
        <v>DateTime?</v>
      </c>
      <c r="F31" s="28" t="str">
        <f>A.Backend!G25</f>
        <v/>
      </c>
      <c r="G31" s="28" t="str">
        <f t="shared" si="3"/>
        <v/>
      </c>
      <c r="H31" s="35" t="str">
        <f t="shared" si="4"/>
        <v xml:space="preserve">			{headerName: this.l('Unpacking Time'),headerTooltip: this.l('Unpacking Time'),field: 'unpackingTime',flex: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si="39"/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unpackingTime</v>
      </c>
      <c r="T31" s="28" t="str">
        <f t="shared" si="14"/>
        <v xml:space="preserve">			this.unpackingTime,</v>
      </c>
      <c r="U31" s="28" t="str">
        <f t="shared" si="15"/>
        <v xml:space="preserve">		this.unpackingTime = '',</v>
      </c>
      <c r="V31" s="28" t="str">
        <f t="shared" si="8"/>
        <v/>
      </c>
    </row>
    <row r="32" spans="1:22" ht="15" customHeight="1" x14ac:dyDescent="0.25">
      <c r="A32" t="s">
        <v>417</v>
      </c>
      <c r="B32" s="28" t="str">
        <f t="shared" si="36"/>
        <v>UnpackingDatetime</v>
      </c>
      <c r="C32" s="28" t="str">
        <f t="shared" si="37"/>
        <v>Unpacking Datetime</v>
      </c>
      <c r="D32" s="28" t="str">
        <f t="shared" si="38"/>
        <v>unpackingDatetime</v>
      </c>
      <c r="E32" s="28" t="str">
        <f>A.Backend!H26</f>
        <v>DateTime?</v>
      </c>
      <c r="F32" s="28" t="str">
        <f>A.Backend!G26</f>
        <v>7</v>
      </c>
      <c r="G32" s="28" t="str">
        <f t="shared" si="3"/>
        <v/>
      </c>
      <c r="H32" s="35" t="str">
        <f t="shared" si="4"/>
        <v xml:space="preserve">			{headerName: this.l('Unpacking Datetime'),headerTooltip: this.l('Unpacking Datetime'),field: 'unpackingDatetime',flex: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39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unpackingDatetime</v>
      </c>
      <c r="T32" s="28" t="str">
        <f t="shared" si="14"/>
        <v xml:space="preserve">			this.unpackingDatetime,</v>
      </c>
      <c r="U32" s="28" t="str">
        <f t="shared" si="15"/>
        <v xml:space="preserve">		this.unpackingDatetime = '',</v>
      </c>
      <c r="V32" s="28" t="str">
        <f t="shared" si="8"/>
        <v/>
      </c>
    </row>
    <row r="33" spans="1:22" ht="15" customHeight="1" x14ac:dyDescent="0.25">
      <c r="A33" t="s">
        <v>375</v>
      </c>
      <c r="B33" s="28" t="str">
        <f t="shared" si="36"/>
        <v>NetWeight</v>
      </c>
      <c r="C33" s="28" t="str">
        <f t="shared" si="37"/>
        <v>Net Weight</v>
      </c>
      <c r="D33" s="28" t="str">
        <f t="shared" si="38"/>
        <v>netWeight</v>
      </c>
      <c r="E33" s="28" t="str">
        <f>A.Backend!H27</f>
        <v>decimal?</v>
      </c>
      <c r="F33" s="28" t="str">
        <f>A.Backend!G27</f>
        <v>18,4</v>
      </c>
      <c r="G33" s="28" t="str">
        <f t="shared" si="3"/>
        <v/>
      </c>
      <c r="H33" s="35" t="str">
        <f t="shared" si="4"/>
        <v xml:space="preserve">			{headerName: this.l('Net Weight'),headerTooltip: this.l('Net Weight'),field: 'netWeight',flex: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si="39"/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netWeight</v>
      </c>
      <c r="T33" s="28" t="str">
        <f t="shared" si="14"/>
        <v xml:space="preserve">			this.netWeight,</v>
      </c>
      <c r="U33" s="28" t="str">
        <f t="shared" si="15"/>
        <v xml:space="preserve">		this.netWeight = '',</v>
      </c>
      <c r="V33" s="28" t="str">
        <f t="shared" si="8"/>
        <v/>
      </c>
    </row>
    <row r="34" spans="1:22" ht="15" customHeight="1" x14ac:dyDescent="0.25">
      <c r="A34" t="s">
        <v>376</v>
      </c>
      <c r="B34" s="28" t="str">
        <f t="shared" ref="B34:B39" si="40">SUBSTITUTE(PROPER(A34),"_","")</f>
        <v>GrossWeight</v>
      </c>
      <c r="C34" s="28" t="str">
        <f t="shared" ref="C34:C39" si="41">SUBSTITUTE(PROPER(A34),"_"," ")</f>
        <v>Gross Weight</v>
      </c>
      <c r="D34" s="28" t="str">
        <f t="shared" ref="D34:D39" si="42">LOWER(LEFT(B34,1))&amp;RIGHT(B34,LEN(B34) - 1)</f>
        <v>grossWeight</v>
      </c>
      <c r="E34" s="28" t="str">
        <f>A.Backend!H28</f>
        <v>decimal?</v>
      </c>
      <c r="F34" s="28" t="str">
        <f>A.Backend!G28</f>
        <v>18,4</v>
      </c>
      <c r="G34" s="28" t="str">
        <f t="shared" ref="G34:G39" si="43">IF(E34="string"," : string = '' ; ",IF(OR(E34="DateTime",E34="TimeSpan")," : any ;",IF(E34="int"," : number = 0 ;","")))</f>
        <v/>
      </c>
      <c r="H34" s="35" t="str">
        <f t="shared" ref="H34:H39" si="44"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this.l('Gross Weight'),headerTooltip: this.l('Gross Weight'),field: 'grossWeight',flex: 1},</v>
      </c>
      <c r="I34" s="35" t="str">
        <f t="shared" ref="I34:I39" si="45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/>
      </c>
      <c r="J34" s="28"/>
      <c r="K34" s="35" t="str">
        <f t="shared" ref="K34:K39" si="46"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/>
      </c>
      <c r="L34" s="56" t="str">
        <f t="shared" ref="L34:L39" si="47"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28"/>
      <c r="N34" s="28"/>
      <c r="O34" s="28"/>
      <c r="P34" s="28"/>
      <c r="Q34" s="28"/>
      <c r="R34" s="28"/>
      <c r="S34" s="28" t="str">
        <f t="shared" ref="S34:S39" si="48">REPT(CHAR(9),1)&amp;D34&amp;G34</f>
        <v xml:space="preserve">	grossWeight</v>
      </c>
      <c r="T34" s="28" t="str">
        <f t="shared" ref="T34:T39" si="49">REPT(CHAR(9),3)&amp;"this."&amp;D34&amp;","</f>
        <v xml:space="preserve">			this.grossWeight,</v>
      </c>
      <c r="U34" s="28" t="str">
        <f t="shared" ref="U34:U39" si="50">IF(E34="int",REPT(CHAR(9),2)&amp;"this."&amp;D34&amp;" = 0,",REPT(CHAR(9),2)&amp;"this."&amp;D34&amp;" = '',")</f>
        <v xml:space="preserve">		this.grossWeight = '',</v>
      </c>
      <c r="V34" s="28" t="str">
        <f t="shared" ref="V34:V39" si="51">IF(AND(E34="string",F34="1"),D34,"")</f>
        <v/>
      </c>
    </row>
    <row r="35" spans="1:22" ht="18" customHeight="1" x14ac:dyDescent="0.25">
      <c r="A35" t="s">
        <v>377</v>
      </c>
      <c r="B35" s="28" t="str">
        <f t="shared" si="40"/>
        <v>MeasuarementM3</v>
      </c>
      <c r="C35" s="28" t="str">
        <f t="shared" si="41"/>
        <v>Measuarement M3</v>
      </c>
      <c r="D35" s="28" t="str">
        <f t="shared" si="42"/>
        <v>measuarementM3</v>
      </c>
      <c r="E35" s="28" t="str">
        <f>A.Backend!H29</f>
        <v>int?</v>
      </c>
      <c r="F35" s="28" t="str">
        <f>A.Backend!G29</f>
        <v/>
      </c>
      <c r="G35" s="28" t="str">
        <f t="shared" si="43"/>
        <v/>
      </c>
      <c r="H35" s="35" t="str">
        <f t="shared" si="44"/>
        <v xml:space="preserve">			{headerName: this.l('Measuarement M3'),headerTooltip: this.l('Measuarement M3'),field: 'measuarementM3',flex: 1},</v>
      </c>
      <c r="I35" s="35" t="str">
        <f t="shared" si="45"/>
        <v/>
      </c>
      <c r="J35" s="28"/>
      <c r="K35" s="35" t="str">
        <f t="shared" si="46"/>
        <v/>
      </c>
      <c r="L35" s="56" t="str">
        <f t="shared" si="47"/>
        <v/>
      </c>
      <c r="M35" s="28"/>
      <c r="N35" s="28"/>
      <c r="O35" s="28"/>
      <c r="P35" s="28"/>
      <c r="Q35" s="28"/>
      <c r="R35" s="28"/>
      <c r="S35" s="28" t="str">
        <f t="shared" si="48"/>
        <v xml:space="preserve">	measuarementM3</v>
      </c>
      <c r="T35" s="28" t="str">
        <f t="shared" si="49"/>
        <v xml:space="preserve">			this.measuarementM3,</v>
      </c>
      <c r="U35" s="28" t="str">
        <f t="shared" si="50"/>
        <v xml:space="preserve">		this.measuarementM3 = '',</v>
      </c>
      <c r="V35" s="28" t="str">
        <f t="shared" si="51"/>
        <v/>
      </c>
    </row>
    <row r="36" spans="1:22" ht="15" customHeight="1" x14ac:dyDescent="0.25">
      <c r="A36" t="s">
        <v>378</v>
      </c>
      <c r="B36" s="28" t="str">
        <f t="shared" si="40"/>
        <v>Lengthofcasemodule</v>
      </c>
      <c r="C36" s="28" t="str">
        <f t="shared" si="41"/>
        <v>Lengthofcasemodule</v>
      </c>
      <c r="D36" s="28" t="str">
        <f t="shared" si="42"/>
        <v>lengthofcasemodule</v>
      </c>
      <c r="E36" s="28" t="str">
        <f>A.Backend!H30</f>
        <v>int?</v>
      </c>
      <c r="F36" s="28" t="str">
        <f>A.Backend!G30</f>
        <v/>
      </c>
      <c r="G36" s="28" t="str">
        <f t="shared" si="43"/>
        <v/>
      </c>
      <c r="H36" s="35" t="str">
        <f t="shared" si="44"/>
        <v xml:space="preserve">			{headerName: this.l('Lengthofcasemodule'),headerTooltip: this.l('Lengthofcasemodule'),field: 'lengthofcasemodule',flex: 1},</v>
      </c>
      <c r="I36" s="35" t="str">
        <f t="shared" si="45"/>
        <v/>
      </c>
      <c r="J36" s="28"/>
      <c r="K36" s="35" t="str">
        <f t="shared" si="46"/>
        <v/>
      </c>
      <c r="L36" s="56" t="str">
        <f t="shared" si="47"/>
        <v/>
      </c>
      <c r="M36" s="28"/>
      <c r="N36" s="28"/>
      <c r="O36" s="28"/>
      <c r="P36" s="28"/>
      <c r="Q36" s="28"/>
      <c r="R36" s="28"/>
      <c r="S36" s="28" t="str">
        <f t="shared" si="48"/>
        <v xml:space="preserve">	lengthofcasemodule</v>
      </c>
      <c r="T36" s="28" t="str">
        <f t="shared" si="49"/>
        <v xml:space="preserve">			this.lengthofcasemodule,</v>
      </c>
      <c r="U36" s="28" t="str">
        <f t="shared" si="50"/>
        <v xml:space="preserve">		this.lengthofcasemodule = '',</v>
      </c>
      <c r="V36" s="28" t="str">
        <f t="shared" si="51"/>
        <v/>
      </c>
    </row>
    <row r="37" spans="1:22" ht="15" customHeight="1" x14ac:dyDescent="0.25">
      <c r="A37" t="s">
        <v>379</v>
      </c>
      <c r="B37" s="28" t="str">
        <f t="shared" si="40"/>
        <v>Widthofcasemodule</v>
      </c>
      <c r="C37" s="28" t="str">
        <f t="shared" si="41"/>
        <v>Widthofcasemodule</v>
      </c>
      <c r="D37" s="28" t="str">
        <f t="shared" si="42"/>
        <v>widthofcasemodule</v>
      </c>
      <c r="E37" s="28" t="str">
        <f>A.Backend!H31</f>
        <v>int?</v>
      </c>
      <c r="F37" s="28" t="str">
        <f>A.Backend!G31</f>
        <v/>
      </c>
      <c r="G37" s="28" t="str">
        <f t="shared" si="43"/>
        <v/>
      </c>
      <c r="H37" s="35" t="str">
        <f t="shared" si="44"/>
        <v xml:space="preserve">			{headerName: this.l('Widthofcasemodule'),headerTooltip: this.l('Widthofcasemodule'),field: 'widthofcasemodule',flex: 1},</v>
      </c>
      <c r="I37" s="35" t="str">
        <f t="shared" si="45"/>
        <v/>
      </c>
      <c r="J37" s="28"/>
      <c r="K37" s="35" t="str">
        <f t="shared" si="46"/>
        <v/>
      </c>
      <c r="L37" s="56" t="str">
        <f t="shared" si="47"/>
        <v/>
      </c>
      <c r="M37" s="28"/>
      <c r="N37" s="28"/>
      <c r="O37" s="28"/>
      <c r="P37" s="28"/>
      <c r="Q37" s="28"/>
      <c r="R37" s="28"/>
      <c r="S37" s="28" t="str">
        <f t="shared" si="48"/>
        <v xml:space="preserve">	widthofcasemodule</v>
      </c>
      <c r="T37" s="28" t="str">
        <f t="shared" si="49"/>
        <v xml:space="preserve">			this.widthofcasemodule,</v>
      </c>
      <c r="U37" s="28" t="str">
        <f t="shared" si="50"/>
        <v xml:space="preserve">		this.widthofcasemodule = '',</v>
      </c>
      <c r="V37" s="28" t="str">
        <f t="shared" si="51"/>
        <v/>
      </c>
    </row>
    <row r="38" spans="1:22" ht="18" customHeight="1" x14ac:dyDescent="0.25">
      <c r="A38" t="s">
        <v>380</v>
      </c>
      <c r="B38" s="28" t="str">
        <f t="shared" si="40"/>
        <v>Heightofcasemodule</v>
      </c>
      <c r="C38" s="28" t="str">
        <f t="shared" si="41"/>
        <v>Heightofcasemodule</v>
      </c>
      <c r="D38" s="28" t="str">
        <f t="shared" si="42"/>
        <v>heightofcasemodule</v>
      </c>
      <c r="E38" s="28" t="str">
        <f>A.Backend!H32</f>
        <v>int?</v>
      </c>
      <c r="F38" s="28" t="str">
        <f>A.Backend!G32</f>
        <v/>
      </c>
      <c r="G38" s="28" t="str">
        <f t="shared" si="43"/>
        <v/>
      </c>
      <c r="H38" s="35" t="str">
        <f t="shared" si="44"/>
        <v xml:space="preserve">			{headerName: this.l('Heightofcasemodule'),headerTooltip: this.l('Heightofcasemodule'),field: 'heightofcasemodule',flex: 1},</v>
      </c>
      <c r="I38" s="35" t="str">
        <f t="shared" si="45"/>
        <v/>
      </c>
      <c r="J38" s="28"/>
      <c r="K38" s="35" t="str">
        <f t="shared" si="46"/>
        <v/>
      </c>
      <c r="L38" s="56" t="str">
        <f t="shared" si="47"/>
        <v/>
      </c>
      <c r="M38" s="28"/>
      <c r="N38" s="28"/>
      <c r="O38" s="28"/>
      <c r="P38" s="28"/>
      <c r="Q38" s="28"/>
      <c r="R38" s="28"/>
      <c r="S38" s="28" t="str">
        <f t="shared" si="48"/>
        <v xml:space="preserve">	heightofcasemodule</v>
      </c>
      <c r="T38" s="28" t="str">
        <f t="shared" si="49"/>
        <v xml:space="preserve">			this.heightofcasemodule,</v>
      </c>
      <c r="U38" s="28" t="str">
        <f t="shared" si="50"/>
        <v xml:space="preserve">		this.heightofcasemodule = '',</v>
      </c>
      <c r="V38" s="28" t="str">
        <f t="shared" si="51"/>
        <v/>
      </c>
    </row>
    <row r="39" spans="1:22" ht="15" customHeight="1" x14ac:dyDescent="0.25">
      <c r="A39" t="s">
        <v>381</v>
      </c>
      <c r="B39" s="28" t="str">
        <f t="shared" si="40"/>
        <v>Dummy</v>
      </c>
      <c r="C39" s="28" t="str">
        <f t="shared" si="41"/>
        <v>Dummy</v>
      </c>
      <c r="D39" s="28" t="str">
        <f t="shared" si="42"/>
        <v>dummy</v>
      </c>
      <c r="E39" s="28" t="str">
        <f>A.Backend!H33</f>
        <v>string</v>
      </c>
      <c r="F39" s="28" t="str">
        <f>A.Backend!G33</f>
        <v>10</v>
      </c>
      <c r="G39" s="28" t="str">
        <f t="shared" si="43"/>
        <v xml:space="preserve"> : string = '' ; </v>
      </c>
      <c r="H39" s="35" t="str">
        <f t="shared" si="44"/>
        <v xml:space="preserve">			{headerName: this.l('Dummy'),headerTooltip: this.l('Dummy'),field: 'dummy',flex: 1},</v>
      </c>
      <c r="I39" s="35" t="str">
        <f t="shared" si="45"/>
        <v xml:space="preserve">								&lt;div class='input-search'&gt;
									&lt;input [(ngModel)]='dummy' name='dummy'
									class='form-control' [placeholder]="l('Dummy')"
									type='text' (keyup.enter)='searchDatas()'&gt;
								&lt;/div&gt;</v>
      </c>
      <c r="J39" s="28"/>
      <c r="K39" s="35" t="str">
        <f t="shared" si="46"/>
        <v xml:space="preserve">					&lt;div class='col-md-12 form-group row'&gt;
						&lt;label class='col-md-2 form-control title'&gt;Dummy&lt;/label&gt;
						&lt;input type='text' class='col-md-10 form-control input-text' name='Dummy' [(ngModel)]='rowdata.dummy'&gt;
					&lt;/div&gt;</v>
      </c>
      <c r="L39" s="56" t="str">
        <f t="shared" si="47"/>
        <v/>
      </c>
      <c r="M39" s="28"/>
      <c r="N39" s="28"/>
      <c r="O39" s="28"/>
      <c r="P39" s="28"/>
      <c r="Q39" s="28"/>
      <c r="R39" s="28"/>
      <c r="S39" s="28" t="str">
        <f t="shared" si="48"/>
        <v xml:space="preserve">	dummy : string = '' ; </v>
      </c>
      <c r="T39" s="28" t="str">
        <f t="shared" si="49"/>
        <v xml:space="preserve">			this.dummy,</v>
      </c>
      <c r="U39" s="28" t="str">
        <f t="shared" si="50"/>
        <v xml:space="preserve">		this.dummy = '',</v>
      </c>
      <c r="V39" s="28" t="str">
        <f t="shared" si="51"/>
        <v/>
      </c>
    </row>
    <row r="40" spans="1:22" ht="15" customHeight="1" x14ac:dyDescent="0.25">
      <c r="A40" t="s">
        <v>382</v>
      </c>
      <c r="B40" s="28" t="str">
        <f t="shared" ref="B40:B42" si="52">SUBSTITUTE(PROPER(A40),"_","")</f>
        <v>Plannedpackingdate</v>
      </c>
      <c r="C40" s="28" t="str">
        <f t="shared" ref="C40:C42" si="53">SUBSTITUTE(PROPER(A40),"_"," ")</f>
        <v>Plannedpackingdate</v>
      </c>
      <c r="D40" s="28" t="str">
        <f t="shared" ref="D40:D42" si="54">LOWER(LEFT(B40,1))&amp;RIGHT(B40,LEN(B40) - 1)</f>
        <v>plannedpackingdate</v>
      </c>
      <c r="E40" s="28" t="str">
        <f>A.Backend!H34</f>
        <v>DateTime?</v>
      </c>
      <c r="F40" s="28" t="str">
        <f>A.Backend!G34</f>
        <v/>
      </c>
      <c r="G40" s="28" t="str">
        <f t="shared" si="3"/>
        <v/>
      </c>
      <c r="H40" s="35" t="str">
        <f t="shared" si="4"/>
        <v xml:space="preserve">			{headerName: this.l('Plannedpackingdate'),headerTooltip: this.l('Plannedpackingdate'),field: 'plannedpackingdate',flex: 1},</v>
      </c>
      <c r="I40" s="35" t="str">
        <f t="shared" si="5"/>
        <v/>
      </c>
      <c r="J40" s="28"/>
      <c r="K40" s="35" t="str">
        <f t="shared" si="6"/>
        <v/>
      </c>
      <c r="L40" s="56" t="str">
        <f t="shared" ref="L40:L42" si="55"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plannedpackingdate</v>
      </c>
      <c r="T40" s="28" t="str">
        <f t="shared" si="14"/>
        <v xml:space="preserve">			this.plannedpackingdate,</v>
      </c>
      <c r="U40" s="28" t="str">
        <f t="shared" si="15"/>
        <v xml:space="preserve">		this.plannedpackingdate = '',</v>
      </c>
      <c r="V40" s="28" t="str">
        <f t="shared" si="8"/>
        <v/>
      </c>
    </row>
    <row r="41" spans="1:22" ht="18" customHeight="1" x14ac:dyDescent="0.25">
      <c r="A41" t="s">
        <v>383</v>
      </c>
      <c r="B41" s="28" t="str">
        <f t="shared" si="52"/>
        <v>Dgflag</v>
      </c>
      <c r="C41" s="28" t="str">
        <f t="shared" si="53"/>
        <v>Dgflag</v>
      </c>
      <c r="D41" s="28" t="str">
        <f t="shared" si="54"/>
        <v>dgflag</v>
      </c>
      <c r="E41" s="28" t="str">
        <f>A.Backend!H35</f>
        <v>string</v>
      </c>
      <c r="F41" s="28" t="str">
        <f>A.Backend!G35</f>
        <v>5</v>
      </c>
      <c r="G41" s="28" t="str">
        <f t="shared" si="3"/>
        <v xml:space="preserve"> : string = '' ; </v>
      </c>
      <c r="H41" s="35" t="str">
        <f t="shared" si="4"/>
        <v xml:space="preserve">			{headerName: this.l('Dgflag'),headerTooltip: this.l('Dgflag'),field: 'dgflag',flex: 1},</v>
      </c>
      <c r="I41" s="35" t="str">
        <f t="shared" si="5"/>
        <v xml:space="preserve">								&lt;div class='input-search'&gt;
									&lt;input [(ngModel)]='dgflag' name='dgflag'
									class='form-control' [placeholder]="l('Dgflag')"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title'&gt;Dgflag&lt;/label&gt;
						&lt;input type='text' class='col-md-10 form-control input-text' name='Dgflag' [(ngModel)]='rowdata.dgflag'&gt;
					&lt;/div&gt;</v>
      </c>
      <c r="L41" s="56" t="str">
        <f t="shared" si="55"/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dgflag : string = '' ; </v>
      </c>
      <c r="T41" s="28" t="str">
        <f t="shared" si="14"/>
        <v xml:space="preserve">			this.dgflag,</v>
      </c>
      <c r="U41" s="28" t="str">
        <f t="shared" si="15"/>
        <v xml:space="preserve">		this.dgflag = '',</v>
      </c>
      <c r="V41" s="28" t="str">
        <f t="shared" si="8"/>
        <v/>
      </c>
    </row>
    <row r="42" spans="1:22" ht="15" customHeight="1" x14ac:dyDescent="0.25">
      <c r="A42" t="s">
        <v>385</v>
      </c>
      <c r="B42" s="28" t="str">
        <f t="shared" si="52"/>
        <v>PackingType</v>
      </c>
      <c r="C42" s="28" t="str">
        <f t="shared" si="53"/>
        <v>Packing Type</v>
      </c>
      <c r="D42" s="28" t="str">
        <f t="shared" si="54"/>
        <v>packingType</v>
      </c>
      <c r="E42" s="28" t="str">
        <f>A.Backend!H36</f>
        <v>string</v>
      </c>
      <c r="F42" s="28" t="str">
        <f>A.Backend!G36</f>
        <v>3</v>
      </c>
      <c r="G42" s="28" t="str">
        <f t="shared" si="3"/>
        <v xml:space="preserve"> : string = '' ; </v>
      </c>
      <c r="H42" s="35" t="str">
        <f t="shared" si="4"/>
        <v xml:space="preserve">			{headerName: this.l('Packing Type'),headerTooltip: this.l('Packing Type'),field: 'packingType',flex: 1},</v>
      </c>
      <c r="I42" s="35" t="str">
        <f t="shared" si="5"/>
        <v xml:space="preserve">								&lt;div class='input-search'&gt;
									&lt;input [(ngModel)]='packingType' name='packingType'
									class='form-control' [placeholder]="l('Packing Type')"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title'&gt;Packing Type&lt;/label&gt;
						&lt;input type='text' class='col-md-10 form-control input-text' name='PackingType' [(ngModel)]='rowdata.packingType'&gt;
					&lt;/div&gt;</v>
      </c>
      <c r="L42" s="56" t="str">
        <f t="shared" si="55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packingType : string = '' ; </v>
      </c>
      <c r="T42" s="28" t="str">
        <f t="shared" si="14"/>
        <v xml:space="preserve">			this.packingType,</v>
      </c>
      <c r="U42" s="28" t="str">
        <f t="shared" si="15"/>
        <v xml:space="preserve">		this.packingType = '',</v>
      </c>
      <c r="V42" s="28" t="str">
        <f t="shared" si="8"/>
        <v/>
      </c>
    </row>
    <row r="43" spans="1:22" ht="15" customHeight="1" x14ac:dyDescent="0.25">
      <c r="A43" t="s">
        <v>387</v>
      </c>
      <c r="B43" s="28" t="str">
        <f t="shared" ref="B43" si="56">SUBSTITUTE(PROPER(A43),"_","")</f>
        <v>RrType</v>
      </c>
      <c r="C43" s="28" t="str">
        <f t="shared" ref="C43" si="57">SUBSTITUTE(PROPER(A43),"_"," ")</f>
        <v>Rr Type</v>
      </c>
      <c r="D43" s="28" t="str">
        <f t="shared" ref="D43" si="58">LOWER(LEFT(B43,1))&amp;RIGHT(B43,LEN(B43) - 1)</f>
        <v>rrType</v>
      </c>
      <c r="E43" s="28" t="str">
        <f>A.Backend!H37</f>
        <v>string</v>
      </c>
      <c r="F43" s="28" t="str">
        <f>A.Backend!G37</f>
        <v>2</v>
      </c>
      <c r="G43" s="28" t="str">
        <f t="shared" si="3"/>
        <v xml:space="preserve"> : string = '' ; </v>
      </c>
      <c r="H43" s="35" t="str">
        <f t="shared" si="4"/>
        <v xml:space="preserve">			{headerName: this.l('Rr Type'),headerTooltip: this.l('Rr Type'),field: 'rrType',flex: 1},</v>
      </c>
      <c r="I43" s="35" t="str">
        <f t="shared" si="5"/>
        <v xml:space="preserve">								&lt;div class='input-search'&gt;
									&lt;input [(ngModel)]='rrType' name='rrType'
									class='form-control' [placeholder]="l('Rr Type')"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title'&gt;Rr Type&lt;/label&gt;
						&lt;input type='text' class='col-md-10 form-control input-text' name='RrType' [(ngModel)]='rowdata.rrType'&gt;
					&lt;/div&gt;</v>
      </c>
      <c r="L43" s="56" t="str">
        <f t="shared" ref="L43" si="59"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rrType : string = '' ; </v>
      </c>
      <c r="T43" s="28" t="str">
        <f t="shared" si="14"/>
        <v xml:space="preserve">			this.rrType,</v>
      </c>
      <c r="U43" s="28" t="str">
        <f t="shared" si="15"/>
        <v xml:space="preserve">		this.rrType = '',</v>
      </c>
      <c r="V43" s="28" t="str">
        <f t="shared" si="8"/>
        <v/>
      </c>
    </row>
    <row r="44" spans="1:22" ht="18" customHeight="1" x14ac:dyDescent="0.25">
      <c r="A44" t="s">
        <v>388</v>
      </c>
      <c r="B44" s="28" t="str">
        <f t="shared" si="0"/>
        <v>FreightPerInvoice</v>
      </c>
      <c r="C44" s="28" t="str">
        <f t="shared" si="1"/>
        <v>Freight Per Invoice</v>
      </c>
      <c r="D44" s="28" t="str">
        <f t="shared" si="2"/>
        <v>freightPerInvoice</v>
      </c>
      <c r="E44" s="28" t="str">
        <f>A.Backend!H38</f>
        <v>decimal?</v>
      </c>
      <c r="F44" s="28" t="str">
        <f>A.Backend!G38</f>
        <v>18,5</v>
      </c>
      <c r="G44" s="28" t="str">
        <f t="shared" si="3"/>
        <v/>
      </c>
      <c r="H44" s="35" t="str">
        <f t="shared" si="4"/>
        <v xml:space="preserve">			{headerName: this.l('Freight Per Invoice'),headerTooltip: this.l('Freight Per Invoice'),field: 'freightPerInvoice',flex: 1},</v>
      </c>
      <c r="I44" s="35" t="str">
        <f t="shared" si="5"/>
        <v/>
      </c>
      <c r="J44" s="28"/>
      <c r="K44" s="35" t="str">
        <f t="shared" si="6"/>
        <v/>
      </c>
      <c r="L44" s="56" t="str">
        <f t="shared" si="7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freightPerInvoice</v>
      </c>
      <c r="T44" s="28" t="str">
        <f t="shared" si="14"/>
        <v xml:space="preserve">			this.freightPerInvoice,</v>
      </c>
      <c r="U44" s="28" t="str">
        <f t="shared" si="15"/>
        <v xml:space="preserve">		this.freightPerInvoice = '',</v>
      </c>
      <c r="V44" s="28" t="str">
        <f t="shared" si="8"/>
        <v/>
      </c>
    </row>
    <row r="45" spans="1:22" ht="15" customHeight="1" x14ac:dyDescent="0.25">
      <c r="A45" t="s">
        <v>389</v>
      </c>
      <c r="B45" s="28" t="str">
        <f t="shared" ref="B45:B46" si="60">SUBSTITUTE(PROPER(A45),"_","")</f>
        <v>InsurancePerInvoice</v>
      </c>
      <c r="C45" s="28" t="str">
        <f t="shared" ref="C45:C46" si="61">SUBSTITUTE(PROPER(A45),"_"," ")</f>
        <v>Insurance Per Invoice</v>
      </c>
      <c r="D45" s="28" t="str">
        <f t="shared" ref="D45:D46" si="62">LOWER(LEFT(B45,1))&amp;RIGHT(B45,LEN(B45) - 1)</f>
        <v>insurancePerInvoice</v>
      </c>
      <c r="E45" s="28" t="str">
        <f>A.Backend!H39</f>
        <v>decimal?</v>
      </c>
      <c r="F45" s="28" t="str">
        <f>A.Backend!G39</f>
        <v>18,5</v>
      </c>
      <c r="G45" s="28" t="str">
        <f t="shared" si="3"/>
        <v/>
      </c>
      <c r="H45" s="35" t="str">
        <f t="shared" si="4"/>
        <v xml:space="preserve">			{headerName: this.l('Insurance Per Invoice'),headerTooltip: this.l('Insurance Per Invoice'),field: 'insurancePerInvoice',flex: 1},</v>
      </c>
      <c r="I45" s="35" t="str">
        <f t="shared" si="5"/>
        <v/>
      </c>
      <c r="J45" s="28"/>
      <c r="K45" s="35" t="str">
        <f t="shared" si="6"/>
        <v/>
      </c>
      <c r="L45" s="56" t="str">
        <f t="shared" ref="L45:L46" si="63"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insurancePerInvoice</v>
      </c>
      <c r="T45" s="28" t="str">
        <f t="shared" si="14"/>
        <v xml:space="preserve">			this.insurancePerInvoice,</v>
      </c>
      <c r="U45" s="28" t="str">
        <f t="shared" si="15"/>
        <v xml:space="preserve">		this.insurancePerInvoice = '',</v>
      </c>
      <c r="V45" s="28" t="str">
        <f t="shared" si="8"/>
        <v/>
      </c>
    </row>
    <row r="46" spans="1:22" ht="18" customHeight="1" x14ac:dyDescent="0.25">
      <c r="A46" t="s">
        <v>390</v>
      </c>
      <c r="B46" s="28" t="str">
        <f t="shared" si="60"/>
        <v>InnerMaterialType1</v>
      </c>
      <c r="C46" s="28" t="str">
        <f t="shared" si="61"/>
        <v>Inner Material Type1</v>
      </c>
      <c r="D46" s="28" t="str">
        <f t="shared" si="62"/>
        <v>innerMaterialType1</v>
      </c>
      <c r="E46" s="28" t="str">
        <f>A.Backend!H40</f>
        <v>string</v>
      </c>
      <c r="F46" s="28" t="str">
        <f>A.Backend!G40</f>
        <v>2</v>
      </c>
      <c r="G46" s="28" t="str">
        <f t="shared" si="3"/>
        <v xml:space="preserve"> : string = '' ; </v>
      </c>
      <c r="H46" s="35" t="str">
        <f t="shared" si="4"/>
        <v xml:space="preserve">			{headerName: this.l('Inner Material Type1'),headerTooltip: this.l('Inner Material Type1'),field: 'innerMaterialType1',flex: 1},</v>
      </c>
      <c r="I46" s="35" t="str">
        <f t="shared" si="5"/>
        <v xml:space="preserve">								&lt;div class='input-search'&gt;
									&lt;input [(ngModel)]='innerMaterialType1' name='innerMaterialType1'
									class='form-control' [placeholder]="l('Inner Material Type1')"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title'&gt;Inner Material Type1&lt;/label&gt;
						&lt;input type='text' class='col-md-10 form-control input-text' name='InnerMaterialType1' [(ngModel)]='rowdata.innerMaterialType1'&gt;
					&lt;/div&gt;</v>
      </c>
      <c r="L46" s="56" t="str">
        <f t="shared" si="63"/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innerMaterialType1 : string = '' ; </v>
      </c>
      <c r="T46" s="28" t="str">
        <f t="shared" si="14"/>
        <v xml:space="preserve">			this.innerMaterialType1,</v>
      </c>
      <c r="U46" s="28" t="str">
        <f t="shared" si="15"/>
        <v xml:space="preserve">		this.innerMaterialType1 = '',</v>
      </c>
      <c r="V46" s="28" t="str">
        <f t="shared" si="8"/>
        <v/>
      </c>
    </row>
    <row r="47" spans="1:22" ht="18" customHeight="1" x14ac:dyDescent="0.25">
      <c r="A47" t="s">
        <v>391</v>
      </c>
      <c r="B47" s="28" t="str">
        <f>SUBSTITUTE(PROPER(A47),"_","")</f>
        <v>InnerMaterialType2</v>
      </c>
      <c r="C47" s="28" t="str">
        <f>SUBSTITUTE(PROPER(A47),"_"," ")</f>
        <v>Inner Material Type2</v>
      </c>
      <c r="D47" s="28" t="str">
        <f>LOWER(LEFT(B47,1))&amp;RIGHT(B47,LEN(B47) - 1)</f>
        <v>innerMaterialType2</v>
      </c>
      <c r="E47" s="28" t="str">
        <f>A.Backend!H41</f>
        <v>string</v>
      </c>
      <c r="F47" s="28" t="str">
        <f>A.Backend!G41</f>
        <v>2</v>
      </c>
      <c r="G47" s="28" t="str">
        <f t="shared" si="3"/>
        <v xml:space="preserve"> : string = '' ; </v>
      </c>
      <c r="H47" s="35" t="str">
        <f t="shared" si="4"/>
        <v xml:space="preserve">			{headerName: this.l('Inner Material Type2'),headerTooltip: this.l('Inner Material Type2'),field: 'innerMaterialType2',flex: 1},</v>
      </c>
      <c r="I47" s="35" t="str">
        <f t="shared" si="5"/>
        <v xml:space="preserve">								&lt;div class='input-search'&gt;
									&lt;input [(ngModel)]='innerMaterialType2' name='innerMaterialType2'
									class='form-control' [placeholder]="l('Inner Material Type2')"
									type='text' (keyup.enter)='searchDatas()'&gt;
								&lt;/div&gt;</v>
      </c>
      <c r="J47" s="28"/>
      <c r="K47" s="35" t="str">
        <f t="shared" si="6"/>
        <v xml:space="preserve">					&lt;div class='col-md-12 form-group row'&gt;
						&lt;label class='col-md-2 form-control title'&gt;Inner Material Type2&lt;/label&gt;
						&lt;input type='text' class='col-md-10 form-control input-text' name='InnerMaterialType2' [(ngModel)]='rowdata.innerMaterialType2'&gt;
					&lt;/div&gt;</v>
      </c>
      <c r="L47" s="56" t="str">
        <f>IF(E47="DateTime",
REPT(CHAR(9),2)&amp;"const dateValue =  this.rowdata."&amp;D47&amp;" ? new Date(this.rowdata."&amp;D47&amp;"?.toString()) : new Date();
"&amp;REPT(CHAR(9),2)&amp;"this.datepicker?.bsValueChange.emit(dateValue);","")</f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innerMaterialType2 : string = '' ; </v>
      </c>
      <c r="T47" s="28" t="str">
        <f t="shared" si="14"/>
        <v xml:space="preserve">			this.innerMaterialType2,</v>
      </c>
      <c r="U47" s="28" t="str">
        <f t="shared" si="15"/>
        <v xml:space="preserve">		this.innerMaterialType2 = '',</v>
      </c>
      <c r="V47" s="28" t="str">
        <f t="shared" si="8"/>
        <v/>
      </c>
    </row>
    <row r="48" spans="1:22" ht="15" customHeight="1" x14ac:dyDescent="0.25">
      <c r="A48" t="s">
        <v>392</v>
      </c>
      <c r="B48" s="28" t="str">
        <f t="shared" ref="B48:B51" si="64">SUBSTITUTE(PROPER(A48),"_","")</f>
        <v>InnerMaterialType3</v>
      </c>
      <c r="C48" s="28" t="str">
        <f t="shared" ref="C48:C51" si="65">SUBSTITUTE(PROPER(A48),"_"," ")</f>
        <v>Inner Material Type3</v>
      </c>
      <c r="D48" s="28" t="str">
        <f t="shared" ref="D48:D51" si="66">LOWER(LEFT(B48,1))&amp;RIGHT(B48,LEN(B48) - 1)</f>
        <v>innerMaterialType3</v>
      </c>
      <c r="E48" s="28" t="str">
        <f>A.Backend!H42</f>
        <v>string</v>
      </c>
      <c r="F48" s="28" t="str">
        <f>A.Backend!G42</f>
        <v>2</v>
      </c>
      <c r="G48" s="28" t="str">
        <f t="shared" si="3"/>
        <v xml:space="preserve"> : string = '' ; </v>
      </c>
      <c r="H48" s="35" t="str">
        <f t="shared" si="4"/>
        <v xml:space="preserve">			{headerName: this.l('Inner Material Type3'),headerTooltip: this.l('Inner Material Type3'),field: 'innerMaterialType3',flex: 1},</v>
      </c>
      <c r="I48" s="35" t="str">
        <f t="shared" si="5"/>
        <v xml:space="preserve">								&lt;div class='input-search'&gt;
									&lt;input [(ngModel)]='innerMaterialType3' name='innerMaterialType3'
									class='form-control' [placeholder]="l('Inner Material Type3')"
									type='text' (keyup.enter)='searchDatas()'&gt;
								&lt;/div&gt;</v>
      </c>
      <c r="J48" s="28"/>
      <c r="K48" s="35" t="str">
        <f t="shared" si="6"/>
        <v xml:space="preserve">					&lt;div class='col-md-12 form-group row'&gt;
						&lt;label class='col-md-2 form-control title'&gt;Inner Material Type3&lt;/label&gt;
						&lt;input type='text' class='col-md-10 form-control input-text' name='InnerMaterialType3' [(ngModel)]='rowdata.innerMaterialType3'&gt;
					&lt;/div&gt;</v>
      </c>
      <c r="L48" s="56" t="str">
        <f t="shared" ref="L48:L51" si="67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innerMaterialType3 : string = '' ; </v>
      </c>
      <c r="T48" s="28" t="str">
        <f t="shared" si="14"/>
        <v xml:space="preserve">			this.innerMaterialType3,</v>
      </c>
      <c r="U48" s="28" t="str">
        <f t="shared" si="15"/>
        <v xml:space="preserve">		this.innerMaterialType3 = '',</v>
      </c>
      <c r="V48" s="28" t="str">
        <f t="shared" si="8"/>
        <v/>
      </c>
    </row>
    <row r="49" spans="1:22" ht="18" customHeight="1" x14ac:dyDescent="0.25">
      <c r="A49" t="s">
        <v>393</v>
      </c>
      <c r="B49" s="28" t="str">
        <f t="shared" si="64"/>
        <v>InnerMaterialType4</v>
      </c>
      <c r="C49" s="28" t="str">
        <f t="shared" si="65"/>
        <v>Inner Material Type4</v>
      </c>
      <c r="D49" s="28" t="str">
        <f t="shared" si="66"/>
        <v>innerMaterialType4</v>
      </c>
      <c r="E49" s="28" t="str">
        <f>A.Backend!H43</f>
        <v>string</v>
      </c>
      <c r="F49" s="28" t="str">
        <f>A.Backend!G43</f>
        <v>2</v>
      </c>
      <c r="G49" s="28" t="str">
        <f t="shared" si="3"/>
        <v xml:space="preserve"> : string = '' ; </v>
      </c>
      <c r="H49" s="35" t="str">
        <f t="shared" si="4"/>
        <v xml:space="preserve">			{headerName: this.l('Inner Material Type4'),headerTooltip: this.l('Inner Material Type4'),field: 'innerMaterialType4',flex: 1},</v>
      </c>
      <c r="I49" s="35" t="str">
        <f t="shared" si="5"/>
        <v xml:space="preserve">								&lt;div class='input-search'&gt;
									&lt;input [(ngModel)]='innerMaterialType4' name='innerMaterialType4'
									class='form-control' [placeholder]="l('Inner Material Type4')"
									type='text' (keyup.enter)='searchDatas()'&gt;
								&lt;/div&gt;</v>
      </c>
      <c r="J49" s="28"/>
      <c r="K49" s="35" t="str">
        <f t="shared" si="6"/>
        <v xml:space="preserve">					&lt;div class='col-md-12 form-group row'&gt;
						&lt;label class='col-md-2 form-control title'&gt;Inner Material Type4&lt;/label&gt;
						&lt;input type='text' class='col-md-10 form-control input-text' name='InnerMaterialType4' [(ngModel)]='rowdata.innerMaterialType4'&gt;
					&lt;/div&gt;</v>
      </c>
      <c r="L49" s="56" t="str">
        <f t="shared" si="67"/>
        <v/>
      </c>
      <c r="M49" s="28"/>
      <c r="N49" s="28"/>
      <c r="O49" s="28"/>
      <c r="P49" s="28"/>
      <c r="Q49" s="28"/>
      <c r="R49" s="28"/>
      <c r="S49" s="28" t="str">
        <f t="shared" si="13"/>
        <v xml:space="preserve">	innerMaterialType4 : string = '' ; </v>
      </c>
      <c r="T49" s="28" t="str">
        <f t="shared" si="14"/>
        <v xml:space="preserve">			this.innerMaterialType4,</v>
      </c>
      <c r="U49" s="28" t="str">
        <f t="shared" si="15"/>
        <v xml:space="preserve">		this.innerMaterialType4 = '',</v>
      </c>
      <c r="V49" s="28" t="str">
        <f t="shared" si="8"/>
        <v/>
      </c>
    </row>
    <row r="50" spans="1:22" ht="15" customHeight="1" x14ac:dyDescent="0.25">
      <c r="A50" t="s">
        <v>394</v>
      </c>
      <c r="B50" s="28" t="str">
        <f t="shared" si="64"/>
        <v>InnerMaterialType5</v>
      </c>
      <c r="C50" s="28" t="str">
        <f t="shared" si="65"/>
        <v>Inner Material Type5</v>
      </c>
      <c r="D50" s="28" t="str">
        <f t="shared" si="66"/>
        <v>innerMaterialType5</v>
      </c>
      <c r="E50" s="28" t="str">
        <f>A.Backend!H44</f>
        <v>string</v>
      </c>
      <c r="F50" s="28" t="str">
        <f>A.Backend!G44</f>
        <v>2</v>
      </c>
      <c r="G50" s="28" t="str">
        <f t="shared" si="3"/>
        <v xml:space="preserve"> : string = '' ; </v>
      </c>
      <c r="H50" s="35" t="str">
        <f t="shared" si="4"/>
        <v xml:space="preserve">			{headerName: this.l('Inner Material Type5'),headerTooltip: this.l('Inner Material Type5'),field: 'innerMaterialType5',flex: 1},</v>
      </c>
      <c r="I50" s="35" t="str">
        <f t="shared" si="5"/>
        <v xml:space="preserve">								&lt;div class='input-search'&gt;
									&lt;input [(ngModel)]='innerMaterialType5' name='innerMaterialType5'
									class='form-control' [placeholder]="l('Inner Material Type5')"
									type='text' (keyup.enter)='searchDatas()'&gt;
								&lt;/div&gt;</v>
      </c>
      <c r="J50" s="28"/>
      <c r="K50" s="35" t="str">
        <f t="shared" si="6"/>
        <v xml:space="preserve">					&lt;div class='col-md-12 form-group row'&gt;
						&lt;label class='col-md-2 form-control title'&gt;Inner Material Type5&lt;/label&gt;
						&lt;input type='text' class='col-md-10 form-control input-text' name='InnerMaterialType5' [(ngModel)]='rowdata.innerMaterialType5'&gt;
					&lt;/div&gt;</v>
      </c>
      <c r="L50" s="56" t="str">
        <f t="shared" si="67"/>
        <v/>
      </c>
      <c r="M50" s="28"/>
      <c r="N50" s="28"/>
      <c r="O50" s="28"/>
      <c r="P50" s="28"/>
      <c r="Q50" s="28"/>
      <c r="R50" s="28"/>
      <c r="S50" s="28" t="str">
        <f t="shared" si="13"/>
        <v xml:space="preserve">	innerMaterialType5 : string = '' ; </v>
      </c>
      <c r="T50" s="28" t="str">
        <f t="shared" si="14"/>
        <v xml:space="preserve">			this.innerMaterialType5,</v>
      </c>
      <c r="U50" s="28" t="str">
        <f t="shared" si="15"/>
        <v xml:space="preserve">		this.innerMaterialType5 = '',</v>
      </c>
      <c r="V50" s="28" t="str">
        <f t="shared" si="8"/>
        <v/>
      </c>
    </row>
    <row r="51" spans="1:22" ht="18" customHeight="1" x14ac:dyDescent="0.25">
      <c r="A51" t="s">
        <v>395</v>
      </c>
      <c r="B51" s="28" t="str">
        <f t="shared" si="64"/>
        <v>InnerMaterialType6</v>
      </c>
      <c r="C51" s="28" t="str">
        <f t="shared" si="65"/>
        <v>Inner Material Type6</v>
      </c>
      <c r="D51" s="28" t="str">
        <f t="shared" si="66"/>
        <v>innerMaterialType6</v>
      </c>
      <c r="E51" s="28" t="str">
        <f>A.Backend!H45</f>
        <v>string</v>
      </c>
      <c r="F51" s="28" t="str">
        <f>A.Backend!G45</f>
        <v>2</v>
      </c>
      <c r="G51" s="28" t="str">
        <f t="shared" si="3"/>
        <v xml:space="preserve"> : string = '' ; </v>
      </c>
      <c r="H51" s="35" t="str">
        <f t="shared" si="4"/>
        <v xml:space="preserve">			{headerName: this.l('Inner Material Type6'),headerTooltip: this.l('Inner Material Type6'),field: 'innerMaterialType6',flex: 1},</v>
      </c>
      <c r="I51" s="35" t="str">
        <f t="shared" si="5"/>
        <v xml:space="preserve">								&lt;div class='input-search'&gt;
									&lt;input [(ngModel)]='innerMaterialType6' name='innerMaterialType6'
									class='form-control' [placeholder]="l('Inner Material Type6')"
									type='text' (keyup.enter)='searchDatas()'&gt;
								&lt;/div&gt;</v>
      </c>
      <c r="J51" s="28"/>
      <c r="K51" s="35" t="str">
        <f t="shared" si="6"/>
        <v xml:space="preserve">					&lt;div class='col-md-12 form-group row'&gt;
						&lt;label class='col-md-2 form-control title'&gt;Inner Material Type6&lt;/label&gt;
						&lt;input type='text' class='col-md-10 form-control input-text' name='InnerMaterialType6' [(ngModel)]='rowdata.innerMaterialType6'&gt;
					&lt;/div&gt;</v>
      </c>
      <c r="L51" s="56" t="str">
        <f t="shared" si="67"/>
        <v/>
      </c>
      <c r="M51" s="28"/>
      <c r="N51" s="28"/>
      <c r="O51" s="28"/>
      <c r="P51" s="28"/>
      <c r="Q51" s="28"/>
      <c r="R51" s="28"/>
      <c r="S51" s="28" t="str">
        <f t="shared" si="13"/>
        <v xml:space="preserve">	innerMaterialType6 : string = '' ; </v>
      </c>
      <c r="T51" s="28" t="str">
        <f t="shared" si="14"/>
        <v xml:space="preserve">			this.innerMaterialType6,</v>
      </c>
      <c r="U51" s="28" t="str">
        <f t="shared" si="15"/>
        <v xml:space="preserve">		this.innerMaterialType6 = '',</v>
      </c>
      <c r="V51" s="28" t="str">
        <f t="shared" si="8"/>
        <v/>
      </c>
    </row>
    <row r="52" spans="1:22" ht="18" customHeight="1" x14ac:dyDescent="0.25">
      <c r="A52" t="s">
        <v>396</v>
      </c>
      <c r="B52" s="28" t="str">
        <f>SUBSTITUTE(PROPER(A52),"_","")</f>
        <v>InnerMaterialType7</v>
      </c>
      <c r="C52" s="28" t="str">
        <f>SUBSTITUTE(PROPER(A52),"_"," ")</f>
        <v>Inner Material Type7</v>
      </c>
      <c r="D52" s="28" t="str">
        <f>LOWER(LEFT(B52,1))&amp;RIGHT(B52,LEN(B52) - 1)</f>
        <v>innerMaterialType7</v>
      </c>
      <c r="E52" s="28" t="str">
        <f>A.Backend!H46</f>
        <v>string</v>
      </c>
      <c r="F52" s="28" t="str">
        <f>A.Backend!G46</f>
        <v>2</v>
      </c>
      <c r="G52" s="28" t="str">
        <f t="shared" si="3"/>
        <v xml:space="preserve"> : string = '' ; </v>
      </c>
      <c r="H52" s="35" t="str">
        <f t="shared" si="4"/>
        <v xml:space="preserve">			{headerName: this.l('Inner Material Type7'),headerTooltip: this.l('Inner Material Type7'),field: 'innerMaterialType7',flex: 1},</v>
      </c>
      <c r="I52" s="35" t="str">
        <f t="shared" si="5"/>
        <v xml:space="preserve">								&lt;div class='input-search'&gt;
									&lt;input [(ngModel)]='innerMaterialType7' name='innerMaterialType7'
									class='form-control' [placeholder]="l('Inner Material Type7')"
									type='text' (keyup.enter)='searchDatas()'&gt;
								&lt;/div&gt;</v>
      </c>
      <c r="J52" s="28"/>
      <c r="K52" s="35" t="str">
        <f t="shared" si="6"/>
        <v xml:space="preserve">					&lt;div class='col-md-12 form-group row'&gt;
						&lt;label class='col-md-2 form-control title'&gt;Inner Material Type7&lt;/label&gt;
						&lt;input type='text' class='col-md-10 form-control input-text' name='InnerMaterialType7' [(ngModel)]='rowdata.innerMaterialType7'&gt;
					&lt;/div&gt;</v>
      </c>
      <c r="L52" s="56" t="str">
        <f>IF(E52="DateTime",
REPT(CHAR(9),2)&amp;"const dateValue =  this.rowdata."&amp;D52&amp;" ? new Date(this.rowdata."&amp;D52&amp;"?.toString()) : new Date();
"&amp;REPT(CHAR(9),2)&amp;"this.datepicker?.bsValueChange.emit(dateValue);","")</f>
        <v/>
      </c>
      <c r="M52" s="28"/>
      <c r="N52" s="28"/>
      <c r="O52" s="28"/>
      <c r="P52" s="28"/>
      <c r="Q52" s="28"/>
      <c r="R52" s="28"/>
      <c r="S52" s="28" t="str">
        <f t="shared" si="13"/>
        <v xml:space="preserve">	innerMaterialType7 : string = '' ; </v>
      </c>
      <c r="T52" s="28" t="str">
        <f t="shared" si="14"/>
        <v xml:space="preserve">			this.innerMaterialType7,</v>
      </c>
      <c r="U52" s="28" t="str">
        <f t="shared" si="15"/>
        <v xml:space="preserve">		this.innerMaterialType7 = '',</v>
      </c>
      <c r="V52" s="28" t="str">
        <f t="shared" si="8"/>
        <v/>
      </c>
    </row>
    <row r="53" spans="1:22" ht="15" customHeight="1" x14ac:dyDescent="0.25">
      <c r="A53" t="s">
        <v>397</v>
      </c>
      <c r="B53" s="28" t="str">
        <f t="shared" ref="B53:B56" si="68">SUBSTITUTE(PROPER(A53),"_","")</f>
        <v>InnerMaterialType8</v>
      </c>
      <c r="C53" s="28" t="str">
        <f t="shared" ref="C53:C56" si="69">SUBSTITUTE(PROPER(A53),"_"," ")</f>
        <v>Inner Material Type8</v>
      </c>
      <c r="D53" s="28" t="str">
        <f t="shared" ref="D53:D56" si="70">LOWER(LEFT(B53,1))&amp;RIGHT(B53,LEN(B53) - 1)</f>
        <v>innerMaterialType8</v>
      </c>
      <c r="E53" s="28" t="str">
        <f>A.Backend!H47</f>
        <v>string</v>
      </c>
      <c r="F53" s="28" t="str">
        <f>A.Backend!G47</f>
        <v>2</v>
      </c>
      <c r="G53" s="28" t="str">
        <f t="shared" si="3"/>
        <v xml:space="preserve"> : string = '' ; </v>
      </c>
      <c r="H53" s="35" t="str">
        <f t="shared" si="4"/>
        <v xml:space="preserve">			{headerName: this.l('Inner Material Type8'),headerTooltip: this.l('Inner Material Type8'),field: 'innerMaterialType8',flex: 1},</v>
      </c>
      <c r="I53" s="35" t="str">
        <f t="shared" si="5"/>
        <v xml:space="preserve">								&lt;div class='input-search'&gt;
									&lt;input [(ngModel)]='innerMaterialType8' name='innerMaterialType8'
									class='form-control' [placeholder]="l('Inner Material Type8')"
									type='text' (keyup.enter)='searchDatas()'&gt;
								&lt;/div&gt;</v>
      </c>
      <c r="J53" s="28"/>
      <c r="K53" s="35" t="str">
        <f t="shared" si="6"/>
        <v xml:space="preserve">					&lt;div class='col-md-12 form-group row'&gt;
						&lt;label class='col-md-2 form-control title'&gt;Inner Material Type8&lt;/label&gt;
						&lt;input type='text' class='col-md-10 form-control input-text' name='InnerMaterialType8' [(ngModel)]='rowdata.innerMaterialType8'&gt;
					&lt;/div&gt;</v>
      </c>
      <c r="L53" s="56" t="str">
        <f t="shared" ref="L53:L56" si="71">IF(E53="DateTime",
REPT(CHAR(9),2)&amp;"const dateValue =  this.rowdata."&amp;D53&amp;" ? new Date(this.rowdata."&amp;D53&amp;"?.toString()) : new Date();
"&amp;REPT(CHAR(9),2)&amp;"this.datepicker?.bsValueChange.emit(dateValue);","")</f>
        <v/>
      </c>
      <c r="M53" s="28"/>
      <c r="N53" s="28"/>
      <c r="O53" s="28"/>
      <c r="P53" s="28"/>
      <c r="Q53" s="28"/>
      <c r="R53" s="28"/>
      <c r="S53" s="28" t="str">
        <f t="shared" si="13"/>
        <v xml:space="preserve">	innerMaterialType8 : string = '' ; </v>
      </c>
      <c r="T53" s="28" t="str">
        <f t="shared" si="14"/>
        <v xml:space="preserve">			this.innerMaterialType8,</v>
      </c>
      <c r="U53" s="28" t="str">
        <f t="shared" si="15"/>
        <v xml:space="preserve">		this.innerMaterialType8 = '',</v>
      </c>
      <c r="V53" s="28" t="str">
        <f t="shared" si="8"/>
        <v/>
      </c>
    </row>
    <row r="54" spans="1:22" ht="18" customHeight="1" x14ac:dyDescent="0.25">
      <c r="A54" t="s">
        <v>398</v>
      </c>
      <c r="B54" s="28" t="str">
        <f t="shared" si="68"/>
        <v>InnerMaterialType9</v>
      </c>
      <c r="C54" s="28" t="str">
        <f t="shared" si="69"/>
        <v>Inner Material Type9</v>
      </c>
      <c r="D54" s="28" t="str">
        <f t="shared" si="70"/>
        <v>innerMaterialType9</v>
      </c>
      <c r="E54" s="28" t="str">
        <f>A.Backend!H48</f>
        <v>string</v>
      </c>
      <c r="F54" s="28" t="str">
        <f>A.Backend!G48</f>
        <v>2</v>
      </c>
      <c r="G54" s="28" t="str">
        <f t="shared" si="3"/>
        <v xml:space="preserve"> : string = '' ; </v>
      </c>
      <c r="H54" s="35" t="str">
        <f t="shared" si="4"/>
        <v xml:space="preserve">			{headerName: this.l('Inner Material Type9'),headerTooltip: this.l('Inner Material Type9'),field: 'innerMaterialType9',flex: 1},</v>
      </c>
      <c r="I54" s="35" t="str">
        <f t="shared" si="5"/>
        <v xml:space="preserve">								&lt;div class='input-search'&gt;
									&lt;input [(ngModel)]='innerMaterialType9' name='innerMaterialType9'
									class='form-control' [placeholder]="l('Inner Material Type9')"
									type='text' (keyup.enter)='searchDatas()'&gt;
								&lt;/div&gt;</v>
      </c>
      <c r="J54" s="28"/>
      <c r="K54" s="35" t="str">
        <f t="shared" si="6"/>
        <v xml:space="preserve">					&lt;div class='col-md-12 form-group row'&gt;
						&lt;label class='col-md-2 form-control title'&gt;Inner Material Type9&lt;/label&gt;
						&lt;input type='text' class='col-md-10 form-control input-text' name='InnerMaterialType9' [(ngModel)]='rowdata.innerMaterialType9'&gt;
					&lt;/div&gt;</v>
      </c>
      <c r="L54" s="56" t="str">
        <f t="shared" si="71"/>
        <v/>
      </c>
      <c r="M54" s="28"/>
      <c r="N54" s="28"/>
      <c r="O54" s="28"/>
      <c r="P54" s="28"/>
      <c r="Q54" s="28"/>
      <c r="R54" s="28"/>
      <c r="S54" s="28" t="str">
        <f t="shared" si="13"/>
        <v xml:space="preserve">	innerMaterialType9 : string = '' ; </v>
      </c>
      <c r="T54" s="28" t="str">
        <f t="shared" si="14"/>
        <v xml:space="preserve">			this.innerMaterialType9,</v>
      </c>
      <c r="U54" s="28" t="str">
        <f t="shared" si="15"/>
        <v xml:space="preserve">		this.innerMaterialType9 = '',</v>
      </c>
      <c r="V54" s="28" t="str">
        <f t="shared" si="8"/>
        <v/>
      </c>
    </row>
    <row r="55" spans="1:22" ht="15" customHeight="1" x14ac:dyDescent="0.25">
      <c r="A55" t="s">
        <v>399</v>
      </c>
      <c r="B55" s="28" t="str">
        <f t="shared" si="68"/>
        <v>InnerMaterialType10</v>
      </c>
      <c r="C55" s="28" t="str">
        <f t="shared" si="69"/>
        <v>Inner Material Type10</v>
      </c>
      <c r="D55" s="28" t="str">
        <f t="shared" si="70"/>
        <v>innerMaterialType10</v>
      </c>
      <c r="E55" s="28" t="str">
        <f>A.Backend!H49</f>
        <v>string</v>
      </c>
      <c r="F55" s="28" t="str">
        <f>A.Backend!G49</f>
        <v>2</v>
      </c>
      <c r="G55" s="28" t="str">
        <f t="shared" si="3"/>
        <v xml:space="preserve"> : string = '' ; </v>
      </c>
      <c r="H55" s="35" t="str">
        <f t="shared" si="4"/>
        <v xml:space="preserve">			{headerName: this.l('Inner Material Type10'),headerTooltip: this.l('Inner Material Type10'),field: 'innerMaterialType10',flex: 1},</v>
      </c>
      <c r="I55" s="35" t="str">
        <f t="shared" si="5"/>
        <v xml:space="preserve">								&lt;div class='input-search'&gt;
									&lt;input [(ngModel)]='innerMaterialType10' name='innerMaterialType10'
									class='form-control' [placeholder]="l('Inner Material Type10')"
									type='text' (keyup.enter)='searchDatas()'&gt;
								&lt;/div&gt;</v>
      </c>
      <c r="J55" s="28"/>
      <c r="K55" s="35" t="str">
        <f t="shared" si="6"/>
        <v xml:space="preserve">					&lt;div class='col-md-12 form-group row'&gt;
						&lt;label class='col-md-2 form-control title'&gt;Inner Material Type10&lt;/label&gt;
						&lt;input type='text' class='col-md-10 form-control input-text' name='InnerMaterialType10' [(ngModel)]='rowdata.innerMaterialType10'&gt;
					&lt;/div&gt;</v>
      </c>
      <c r="L55" s="56" t="str">
        <f t="shared" si="71"/>
        <v/>
      </c>
      <c r="M55" s="28"/>
      <c r="N55" s="28"/>
      <c r="O55" s="28"/>
      <c r="P55" s="28"/>
      <c r="Q55" s="28"/>
      <c r="R55" s="28"/>
      <c r="S55" s="28" t="str">
        <f t="shared" si="13"/>
        <v xml:space="preserve">	innerMaterialType10 : string = '' ; </v>
      </c>
      <c r="T55" s="28" t="str">
        <f t="shared" si="14"/>
        <v xml:space="preserve">			this.innerMaterialType10,</v>
      </c>
      <c r="U55" s="28" t="str">
        <f t="shared" si="15"/>
        <v xml:space="preserve">		this.innerMaterialType10 = '',</v>
      </c>
      <c r="V55" s="28" t="str">
        <f t="shared" si="8"/>
        <v/>
      </c>
    </row>
    <row r="56" spans="1:22" ht="18" customHeight="1" x14ac:dyDescent="0.25">
      <c r="A56" t="s">
        <v>400</v>
      </c>
      <c r="B56" s="28" t="str">
        <f t="shared" si="68"/>
        <v>InnerMaterialType11</v>
      </c>
      <c r="C56" s="28" t="str">
        <f t="shared" si="69"/>
        <v>Inner Material Type11</v>
      </c>
      <c r="D56" s="28" t="str">
        <f t="shared" si="70"/>
        <v>innerMaterialType11</v>
      </c>
      <c r="E56" s="28" t="str">
        <f>A.Backend!H50</f>
        <v>string</v>
      </c>
      <c r="F56" s="28" t="str">
        <f>A.Backend!G50</f>
        <v>2</v>
      </c>
      <c r="G56" s="28" t="str">
        <f t="shared" si="3"/>
        <v xml:space="preserve"> : string = '' ; </v>
      </c>
      <c r="H56" s="35" t="str">
        <f t="shared" si="4"/>
        <v xml:space="preserve">			{headerName: this.l('Inner Material Type11'),headerTooltip: this.l('Inner Material Type11'),field: 'innerMaterialType11',flex: 1},</v>
      </c>
      <c r="I56" s="35" t="str">
        <f t="shared" si="5"/>
        <v xml:space="preserve">								&lt;div class='input-search'&gt;
									&lt;input [(ngModel)]='innerMaterialType11' name='innerMaterialType11'
									class='form-control' [placeholder]="l('Inner Material Type11')"
									type='text' (keyup.enter)='searchDatas()'&gt;
								&lt;/div&gt;</v>
      </c>
      <c r="J56" s="28"/>
      <c r="K56" s="35" t="str">
        <f t="shared" si="6"/>
        <v xml:space="preserve">					&lt;div class='col-md-12 form-group row'&gt;
						&lt;label class='col-md-2 form-control title'&gt;Inner Material Type11&lt;/label&gt;
						&lt;input type='text' class='col-md-10 form-control input-text' name='InnerMaterialType11' [(ngModel)]='rowdata.innerMaterialType11'&gt;
					&lt;/div&gt;</v>
      </c>
      <c r="L56" s="56" t="str">
        <f t="shared" si="71"/>
        <v/>
      </c>
      <c r="M56" s="28"/>
      <c r="N56" s="28"/>
      <c r="O56" s="28"/>
      <c r="P56" s="28"/>
      <c r="Q56" s="28"/>
      <c r="R56" s="28"/>
      <c r="S56" s="28" t="str">
        <f t="shared" si="13"/>
        <v xml:space="preserve">	innerMaterialType11 : string = '' ; </v>
      </c>
      <c r="T56" s="28" t="str">
        <f t="shared" si="14"/>
        <v xml:space="preserve">			this.innerMaterialType11,</v>
      </c>
      <c r="U56" s="28" t="str">
        <f t="shared" si="15"/>
        <v xml:space="preserve">		this.innerMaterialType11 = '',</v>
      </c>
      <c r="V56" s="28" t="str">
        <f t="shared" si="8"/>
        <v/>
      </c>
    </row>
    <row r="57" spans="1:22" ht="18" customHeight="1" x14ac:dyDescent="0.25">
      <c r="A57" t="s">
        <v>401</v>
      </c>
      <c r="B57" s="28" t="str">
        <f>SUBSTITUTE(PROPER(A57),"_","")</f>
        <v>InnerMaterialType12</v>
      </c>
      <c r="C57" s="28" t="str">
        <f>SUBSTITUTE(PROPER(A57),"_"," ")</f>
        <v>Inner Material Type12</v>
      </c>
      <c r="D57" s="28" t="str">
        <f>LOWER(LEFT(B57,1))&amp;RIGHT(B57,LEN(B57) - 1)</f>
        <v>innerMaterialType12</v>
      </c>
      <c r="E57" s="28" t="str">
        <f>A.Backend!H51</f>
        <v>string</v>
      </c>
      <c r="F57" s="28" t="str">
        <f>A.Backend!G51</f>
        <v>2</v>
      </c>
      <c r="G57" s="28" t="str">
        <f t="shared" si="3"/>
        <v xml:space="preserve"> : string = '' ; </v>
      </c>
      <c r="H57" s="35" t="str">
        <f t="shared" si="4"/>
        <v xml:space="preserve">			{headerName: this.l('Inner Material Type12'),headerTooltip: this.l('Inner Material Type12'),field: 'innerMaterialType12',flex: 1},</v>
      </c>
      <c r="I57" s="35" t="str">
        <f t="shared" si="5"/>
        <v xml:space="preserve">								&lt;div class='input-search'&gt;
									&lt;input [(ngModel)]='innerMaterialType12' name='innerMaterialType12'
									class='form-control' [placeholder]="l('Inner Material Type12')"
									type='text' (keyup.enter)='searchDatas()'&gt;
								&lt;/div&gt;</v>
      </c>
      <c r="J57" s="28"/>
      <c r="K57" s="35" t="str">
        <f t="shared" si="6"/>
        <v xml:space="preserve">					&lt;div class='col-md-12 form-group row'&gt;
						&lt;label class='col-md-2 form-control title'&gt;Inner Material Type12&lt;/label&gt;
						&lt;input type='text' class='col-md-10 form-control input-text' name='InnerMaterialType12' [(ngModel)]='rowdata.innerMaterialType12'&gt;
					&lt;/div&gt;</v>
      </c>
      <c r="L57" s="56" t="str">
        <f>IF(E57="DateTime",
REPT(CHAR(9),2)&amp;"const dateValue =  this.rowdata."&amp;D57&amp;" ? new Date(this.rowdata."&amp;D57&amp;"?.toString()) : new Date();
"&amp;REPT(CHAR(9),2)&amp;"this.datepicker?.bsValueChange.emit(dateValue);","")</f>
        <v/>
      </c>
      <c r="M57" s="28"/>
      <c r="N57" s="28"/>
      <c r="O57" s="28"/>
      <c r="P57" s="28"/>
      <c r="Q57" s="28"/>
      <c r="R57" s="28"/>
      <c r="S57" s="28" t="str">
        <f t="shared" si="13"/>
        <v xml:space="preserve">	innerMaterialType12 : string = '' ; </v>
      </c>
      <c r="T57" s="28" t="str">
        <f t="shared" si="14"/>
        <v xml:space="preserve">			this.innerMaterialType12,</v>
      </c>
      <c r="U57" s="28" t="str">
        <f t="shared" si="15"/>
        <v xml:space="preserve">		this.innerMaterialType12 = '',</v>
      </c>
      <c r="V57" s="28" t="str">
        <f t="shared" si="8"/>
        <v/>
      </c>
    </row>
    <row r="58" spans="1:22" ht="15" customHeight="1" x14ac:dyDescent="0.25">
      <c r="A58" t="s">
        <v>402</v>
      </c>
      <c r="B58" s="28" t="str">
        <f t="shared" ref="B58:B61" si="72">SUBSTITUTE(PROPER(A58),"_","")</f>
        <v>InnerMaterialQuantity1</v>
      </c>
      <c r="C58" s="28" t="str">
        <f t="shared" ref="C58:C61" si="73">SUBSTITUTE(PROPER(A58),"_"," ")</f>
        <v>Inner Material Quantity1</v>
      </c>
      <c r="D58" s="28" t="str">
        <f t="shared" ref="D58:D61" si="74">LOWER(LEFT(B58,1))&amp;RIGHT(B58,LEN(B58) - 1)</f>
        <v>innerMaterialQuantity1</v>
      </c>
      <c r="E58" s="28" t="str">
        <f>A.Backend!H52</f>
        <v>int?</v>
      </c>
      <c r="F58" s="28" t="str">
        <f>A.Backend!G52</f>
        <v/>
      </c>
      <c r="G58" s="28" t="str">
        <f t="shared" si="3"/>
        <v/>
      </c>
      <c r="H58" s="35" t="str">
        <f t="shared" si="4"/>
        <v xml:space="preserve">			{headerName: this.l('Inner Material Quantity1'),headerTooltip: this.l('Inner Material Quantity1'),field: 'innerMaterialQuantity1',flex: 1},</v>
      </c>
      <c r="I58" s="35" t="str">
        <f t="shared" si="5"/>
        <v/>
      </c>
      <c r="J58" s="28"/>
      <c r="K58" s="35" t="str">
        <f t="shared" si="6"/>
        <v/>
      </c>
      <c r="L58" s="56" t="str">
        <f t="shared" ref="L58:L61" si="75">IF(E58="DateTime",
REPT(CHAR(9),2)&amp;"const dateValue =  this.rowdata."&amp;D58&amp;" ? new Date(this.rowdata."&amp;D58&amp;"?.toString()) : new Date();
"&amp;REPT(CHAR(9),2)&amp;"this.datepicker?.bsValueChange.emit(dateValue);","")</f>
        <v/>
      </c>
      <c r="M58" s="28"/>
      <c r="N58" s="28"/>
      <c r="O58" s="28"/>
      <c r="P58" s="28"/>
      <c r="Q58" s="28"/>
      <c r="R58" s="28"/>
      <c r="S58" s="28" t="str">
        <f t="shared" si="13"/>
        <v xml:space="preserve">	innerMaterialQuantity1</v>
      </c>
      <c r="T58" s="28" t="str">
        <f t="shared" si="14"/>
        <v xml:space="preserve">			this.innerMaterialQuantity1,</v>
      </c>
      <c r="U58" s="28" t="str">
        <f t="shared" si="15"/>
        <v xml:space="preserve">		this.innerMaterialQuantity1 = '',</v>
      </c>
      <c r="V58" s="28" t="str">
        <f t="shared" si="8"/>
        <v/>
      </c>
    </row>
    <row r="59" spans="1:22" ht="18" customHeight="1" x14ac:dyDescent="0.25">
      <c r="A59" t="s">
        <v>403</v>
      </c>
      <c r="B59" s="28" t="str">
        <f t="shared" si="72"/>
        <v>InnerMaterialQuantity2</v>
      </c>
      <c r="C59" s="28" t="str">
        <f t="shared" si="73"/>
        <v>Inner Material Quantity2</v>
      </c>
      <c r="D59" s="28" t="str">
        <f t="shared" si="74"/>
        <v>innerMaterialQuantity2</v>
      </c>
      <c r="E59" s="28" t="str">
        <f>A.Backend!H53</f>
        <v>int?</v>
      </c>
      <c r="F59" s="28" t="str">
        <f>A.Backend!G53</f>
        <v/>
      </c>
      <c r="G59" s="28" t="str">
        <f t="shared" si="3"/>
        <v/>
      </c>
      <c r="H59" s="35" t="str">
        <f t="shared" si="4"/>
        <v xml:space="preserve">			{headerName: this.l('Inner Material Quantity2'),headerTooltip: this.l('Inner Material Quantity2'),field: 'innerMaterialQuantity2',flex: 1},</v>
      </c>
      <c r="I59" s="35" t="str">
        <f t="shared" si="5"/>
        <v/>
      </c>
      <c r="J59" s="28"/>
      <c r="K59" s="35" t="str">
        <f t="shared" si="6"/>
        <v/>
      </c>
      <c r="L59" s="56" t="str">
        <f t="shared" si="75"/>
        <v/>
      </c>
      <c r="M59" s="28"/>
      <c r="N59" s="28"/>
      <c r="O59" s="28"/>
      <c r="P59" s="28"/>
      <c r="Q59" s="28"/>
      <c r="R59" s="28"/>
      <c r="S59" s="28" t="str">
        <f t="shared" si="13"/>
        <v xml:space="preserve">	innerMaterialQuantity2</v>
      </c>
      <c r="T59" s="28" t="str">
        <f t="shared" si="14"/>
        <v xml:space="preserve">			this.innerMaterialQuantity2,</v>
      </c>
      <c r="U59" s="28" t="str">
        <f t="shared" si="15"/>
        <v xml:space="preserve">		this.innerMaterialQuantity2 = '',</v>
      </c>
      <c r="V59" s="28" t="str">
        <f t="shared" si="8"/>
        <v/>
      </c>
    </row>
    <row r="60" spans="1:22" ht="15" customHeight="1" x14ac:dyDescent="0.25">
      <c r="A60" t="s">
        <v>404</v>
      </c>
      <c r="B60" s="28" t="str">
        <f t="shared" si="72"/>
        <v>InnerMaterialQuantity3</v>
      </c>
      <c r="C60" s="28" t="str">
        <f t="shared" si="73"/>
        <v>Inner Material Quantity3</v>
      </c>
      <c r="D60" s="28" t="str">
        <f t="shared" si="74"/>
        <v>innerMaterialQuantity3</v>
      </c>
      <c r="E60" s="28" t="str">
        <f>A.Backend!H54</f>
        <v>int?</v>
      </c>
      <c r="F60" s="28" t="str">
        <f>A.Backend!G54</f>
        <v/>
      </c>
      <c r="G60" s="28" t="str">
        <f t="shared" si="3"/>
        <v/>
      </c>
      <c r="H60" s="35" t="str">
        <f t="shared" si="4"/>
        <v xml:space="preserve">			{headerName: this.l('Inner Material Quantity3'),headerTooltip: this.l('Inner Material Quantity3'),field: 'innerMaterialQuantity3',flex: 1},</v>
      </c>
      <c r="I60" s="35" t="str">
        <f t="shared" si="5"/>
        <v/>
      </c>
      <c r="J60" s="28"/>
      <c r="K60" s="35" t="str">
        <f t="shared" si="6"/>
        <v/>
      </c>
      <c r="L60" s="56" t="str">
        <f t="shared" si="75"/>
        <v/>
      </c>
      <c r="M60" s="28"/>
      <c r="N60" s="28"/>
      <c r="O60" s="28"/>
      <c r="P60" s="28"/>
      <c r="Q60" s="28"/>
      <c r="R60" s="28"/>
      <c r="S60" s="28" t="str">
        <f t="shared" si="13"/>
        <v xml:space="preserve">	innerMaterialQuantity3</v>
      </c>
      <c r="T60" s="28" t="str">
        <f t="shared" si="14"/>
        <v xml:space="preserve">			this.innerMaterialQuantity3,</v>
      </c>
      <c r="U60" s="28" t="str">
        <f t="shared" si="15"/>
        <v xml:space="preserve">		this.innerMaterialQuantity3 = '',</v>
      </c>
      <c r="V60" s="28" t="str">
        <f t="shared" si="8"/>
        <v/>
      </c>
    </row>
    <row r="61" spans="1:22" ht="18" customHeight="1" x14ac:dyDescent="0.25">
      <c r="A61" t="s">
        <v>405</v>
      </c>
      <c r="B61" s="28" t="str">
        <f t="shared" si="72"/>
        <v>InnerMaterialQuantity4</v>
      </c>
      <c r="C61" s="28" t="str">
        <f t="shared" si="73"/>
        <v>Inner Material Quantity4</v>
      </c>
      <c r="D61" s="28" t="str">
        <f t="shared" si="74"/>
        <v>innerMaterialQuantity4</v>
      </c>
      <c r="E61" s="28" t="str">
        <f>A.Backend!H55</f>
        <v>int?</v>
      </c>
      <c r="F61" s="28" t="str">
        <f>A.Backend!G55</f>
        <v/>
      </c>
      <c r="G61" s="28" t="str">
        <f t="shared" si="3"/>
        <v/>
      </c>
      <c r="H61" s="35" t="str">
        <f t="shared" si="4"/>
        <v xml:space="preserve">			{headerName: this.l('Inner Material Quantity4'),headerTooltip: this.l('Inner Material Quantity4'),field: 'innerMaterialQuantity4',flex: 1},</v>
      </c>
      <c r="I61" s="35" t="str">
        <f t="shared" si="5"/>
        <v/>
      </c>
      <c r="J61" s="28"/>
      <c r="K61" s="35" t="str">
        <f t="shared" si="6"/>
        <v/>
      </c>
      <c r="L61" s="56" t="str">
        <f t="shared" si="75"/>
        <v/>
      </c>
      <c r="M61" s="28"/>
      <c r="N61" s="28"/>
      <c r="O61" s="28"/>
      <c r="P61" s="28"/>
      <c r="Q61" s="28"/>
      <c r="R61" s="28"/>
      <c r="S61" s="28" t="str">
        <f t="shared" si="13"/>
        <v xml:space="preserve">	innerMaterialQuantity4</v>
      </c>
      <c r="T61" s="28" t="str">
        <f t="shared" si="14"/>
        <v xml:space="preserve">			this.innerMaterialQuantity4,</v>
      </c>
      <c r="U61" s="28" t="str">
        <f t="shared" si="15"/>
        <v xml:space="preserve">		this.innerMaterialQuantity4 = '',</v>
      </c>
      <c r="V61" s="28" t="str">
        <f t="shared" si="8"/>
        <v/>
      </c>
    </row>
    <row r="62" spans="1:22" ht="18" customHeight="1" x14ac:dyDescent="0.25">
      <c r="A62" t="s">
        <v>406</v>
      </c>
      <c r="B62" s="28" t="str">
        <f>SUBSTITUTE(PROPER(A62),"_","")</f>
        <v>InnerMaterialQuantity5</v>
      </c>
      <c r="C62" s="28" t="str">
        <f>SUBSTITUTE(PROPER(A62),"_"," ")</f>
        <v>Inner Material Quantity5</v>
      </c>
      <c r="D62" s="28" t="str">
        <f>LOWER(LEFT(B62,1))&amp;RIGHT(B62,LEN(B62) - 1)</f>
        <v>innerMaterialQuantity5</v>
      </c>
      <c r="E62" s="28" t="str">
        <f>A.Backend!H56</f>
        <v>int?</v>
      </c>
      <c r="F62" s="28" t="str">
        <f>A.Backend!G56</f>
        <v/>
      </c>
      <c r="G62" s="28" t="str">
        <f t="shared" si="3"/>
        <v/>
      </c>
      <c r="H62" s="35" t="str">
        <f t="shared" si="4"/>
        <v xml:space="preserve">			{headerName: this.l('Inner Material Quantity5'),headerTooltip: this.l('Inner Material Quantity5'),field: 'innerMaterialQuantity5',flex: 1},</v>
      </c>
      <c r="I62" s="35" t="str">
        <f t="shared" si="5"/>
        <v/>
      </c>
      <c r="J62" s="28"/>
      <c r="K62" s="35" t="str">
        <f t="shared" si="6"/>
        <v/>
      </c>
      <c r="L62" s="56" t="str">
        <f>IF(E62="DateTime",
REPT(CHAR(9),2)&amp;"const dateValue =  this.rowdata."&amp;D62&amp;" ? new Date(this.rowdata."&amp;D62&amp;"?.toString()) : new Date();
"&amp;REPT(CHAR(9),2)&amp;"this.datepicker?.bsValueChange.emit(dateValue);","")</f>
        <v/>
      </c>
      <c r="M62" s="28"/>
      <c r="N62" s="28"/>
      <c r="O62" s="28"/>
      <c r="P62" s="28"/>
      <c r="Q62" s="28"/>
      <c r="R62" s="28"/>
      <c r="S62" s="28" t="str">
        <f t="shared" si="13"/>
        <v xml:space="preserve">	innerMaterialQuantity5</v>
      </c>
      <c r="T62" s="28" t="str">
        <f t="shared" si="14"/>
        <v xml:space="preserve">			this.innerMaterialQuantity5,</v>
      </c>
      <c r="U62" s="28" t="str">
        <f t="shared" si="15"/>
        <v xml:space="preserve">		this.innerMaterialQuantity5 = '',</v>
      </c>
      <c r="V62" s="28" t="str">
        <f t="shared" si="8"/>
        <v/>
      </c>
    </row>
    <row r="63" spans="1:22" ht="15" customHeight="1" x14ac:dyDescent="0.25">
      <c r="A63" t="s">
        <v>407</v>
      </c>
      <c r="B63" s="28" t="str">
        <f t="shared" ref="B63:B66" si="76">SUBSTITUTE(PROPER(A63),"_","")</f>
        <v>InnerMaterialQuantity6</v>
      </c>
      <c r="C63" s="28" t="str">
        <f t="shared" ref="C63:C66" si="77">SUBSTITUTE(PROPER(A63),"_"," ")</f>
        <v>Inner Material Quantity6</v>
      </c>
      <c r="D63" s="28" t="str">
        <f t="shared" ref="D63:D66" si="78">LOWER(LEFT(B63,1))&amp;RIGHT(B63,LEN(B63) - 1)</f>
        <v>innerMaterialQuantity6</v>
      </c>
      <c r="E63" s="28" t="str">
        <f>A.Backend!H57</f>
        <v>int?</v>
      </c>
      <c r="F63" s="28" t="str">
        <f>A.Backend!G57</f>
        <v/>
      </c>
      <c r="G63" s="28" t="str">
        <f t="shared" si="3"/>
        <v/>
      </c>
      <c r="H63" s="35" t="str">
        <f t="shared" si="4"/>
        <v xml:space="preserve">			{headerName: this.l('Inner Material Quantity6'),headerTooltip: this.l('Inner Material Quantity6'),field: 'innerMaterialQuantity6',flex: 1},</v>
      </c>
      <c r="I63" s="35" t="str">
        <f t="shared" si="5"/>
        <v/>
      </c>
      <c r="J63" s="28"/>
      <c r="K63" s="35" t="str">
        <f t="shared" si="6"/>
        <v/>
      </c>
      <c r="L63" s="56" t="str">
        <f t="shared" ref="L63:L66" si="79">IF(E63="DateTime",
REPT(CHAR(9),2)&amp;"const dateValue =  this.rowdata."&amp;D63&amp;" ? new Date(this.rowdata."&amp;D63&amp;"?.toString()) : new Date();
"&amp;REPT(CHAR(9),2)&amp;"this.datepicker?.bsValueChange.emit(dateValue);","")</f>
        <v/>
      </c>
      <c r="M63" s="28"/>
      <c r="N63" s="28"/>
      <c r="O63" s="28"/>
      <c r="P63" s="28"/>
      <c r="Q63" s="28"/>
      <c r="R63" s="28"/>
      <c r="S63" s="28" t="str">
        <f t="shared" si="13"/>
        <v xml:space="preserve">	innerMaterialQuantity6</v>
      </c>
      <c r="T63" s="28" t="str">
        <f t="shared" si="14"/>
        <v xml:space="preserve">			this.innerMaterialQuantity6,</v>
      </c>
      <c r="U63" s="28" t="str">
        <f t="shared" si="15"/>
        <v xml:space="preserve">		this.innerMaterialQuantity6 = '',</v>
      </c>
      <c r="V63" s="28" t="str">
        <f t="shared" si="8"/>
        <v/>
      </c>
    </row>
    <row r="64" spans="1:22" ht="18" customHeight="1" x14ac:dyDescent="0.25">
      <c r="A64" t="s">
        <v>408</v>
      </c>
      <c r="B64" s="28" t="str">
        <f t="shared" si="76"/>
        <v>InnerMaterialQuantity7</v>
      </c>
      <c r="C64" s="28" t="str">
        <f t="shared" si="77"/>
        <v>Inner Material Quantity7</v>
      </c>
      <c r="D64" s="28" t="str">
        <f t="shared" si="78"/>
        <v>innerMaterialQuantity7</v>
      </c>
      <c r="E64" s="28" t="str">
        <f>A.Backend!H58</f>
        <v>int?</v>
      </c>
      <c r="F64" s="28" t="str">
        <f>A.Backend!G58</f>
        <v/>
      </c>
      <c r="G64" s="28" t="str">
        <f t="shared" si="3"/>
        <v/>
      </c>
      <c r="H64" s="35" t="str">
        <f t="shared" si="4"/>
        <v xml:space="preserve">			{headerName: this.l('Inner Material Quantity7'),headerTooltip: this.l('Inner Material Quantity7'),field: 'innerMaterialQuantity7',flex: 1},</v>
      </c>
      <c r="I64" s="35" t="str">
        <f t="shared" si="5"/>
        <v/>
      </c>
      <c r="J64" s="28"/>
      <c r="K64" s="35" t="str">
        <f t="shared" si="6"/>
        <v/>
      </c>
      <c r="L64" s="56" t="str">
        <f t="shared" si="79"/>
        <v/>
      </c>
      <c r="M64" s="28"/>
      <c r="N64" s="28"/>
      <c r="O64" s="28"/>
      <c r="P64" s="28"/>
      <c r="Q64" s="28"/>
      <c r="R64" s="28"/>
      <c r="S64" s="28" t="str">
        <f t="shared" si="13"/>
        <v xml:space="preserve">	innerMaterialQuantity7</v>
      </c>
      <c r="T64" s="28" t="str">
        <f t="shared" si="14"/>
        <v xml:space="preserve">			this.innerMaterialQuantity7,</v>
      </c>
      <c r="U64" s="28" t="str">
        <f t="shared" si="15"/>
        <v xml:space="preserve">		this.innerMaterialQuantity7 = '',</v>
      </c>
      <c r="V64" s="28" t="str">
        <f t="shared" si="8"/>
        <v/>
      </c>
    </row>
    <row r="65" spans="1:22" ht="15" customHeight="1" x14ac:dyDescent="0.25">
      <c r="A65" t="s">
        <v>409</v>
      </c>
      <c r="B65" s="28" t="str">
        <f t="shared" si="76"/>
        <v>InnerMaterialQuantity8</v>
      </c>
      <c r="C65" s="28" t="str">
        <f t="shared" si="77"/>
        <v>Inner Material Quantity8</v>
      </c>
      <c r="D65" s="28" t="str">
        <f t="shared" si="78"/>
        <v>innerMaterialQuantity8</v>
      </c>
      <c r="E65" s="28" t="str">
        <f>A.Backend!H59</f>
        <v>int?</v>
      </c>
      <c r="F65" s="28" t="str">
        <f>A.Backend!G59</f>
        <v/>
      </c>
      <c r="G65" s="28" t="str">
        <f t="shared" si="3"/>
        <v/>
      </c>
      <c r="H65" s="35" t="str">
        <f t="shared" si="4"/>
        <v xml:space="preserve">			{headerName: this.l('Inner Material Quantity8'),headerTooltip: this.l('Inner Material Quantity8'),field: 'innerMaterialQuantity8',flex: 1},</v>
      </c>
      <c r="I65" s="35" t="str">
        <f t="shared" si="5"/>
        <v/>
      </c>
      <c r="J65" s="28"/>
      <c r="K65" s="35" t="str">
        <f t="shared" si="6"/>
        <v/>
      </c>
      <c r="L65" s="56" t="str">
        <f t="shared" si="79"/>
        <v/>
      </c>
      <c r="M65" s="28"/>
      <c r="N65" s="28"/>
      <c r="O65" s="28"/>
      <c r="P65" s="28"/>
      <c r="Q65" s="28"/>
      <c r="R65" s="28"/>
      <c r="S65" s="28" t="str">
        <f t="shared" si="13"/>
        <v xml:space="preserve">	innerMaterialQuantity8</v>
      </c>
      <c r="T65" s="28" t="str">
        <f t="shared" si="14"/>
        <v xml:space="preserve">			this.innerMaterialQuantity8,</v>
      </c>
      <c r="U65" s="28" t="str">
        <f t="shared" si="15"/>
        <v xml:space="preserve">		this.innerMaterialQuantity8 = '',</v>
      </c>
      <c r="V65" s="28" t="str">
        <f t="shared" si="8"/>
        <v/>
      </c>
    </row>
    <row r="66" spans="1:22" ht="18" customHeight="1" x14ac:dyDescent="0.25">
      <c r="A66" t="s">
        <v>410</v>
      </c>
      <c r="B66" s="28" t="str">
        <f t="shared" si="76"/>
        <v>InnerMaterialQuantity9</v>
      </c>
      <c r="C66" s="28" t="str">
        <f t="shared" si="77"/>
        <v>Inner Material Quantity9</v>
      </c>
      <c r="D66" s="28" t="str">
        <f t="shared" si="78"/>
        <v>innerMaterialQuantity9</v>
      </c>
      <c r="E66" s="28" t="str">
        <f>A.Backend!H60</f>
        <v>int?</v>
      </c>
      <c r="F66" s="28" t="str">
        <f>A.Backend!G60</f>
        <v/>
      </c>
      <c r="G66" s="28" t="str">
        <f t="shared" si="3"/>
        <v/>
      </c>
      <c r="H66" s="35" t="str">
        <f t="shared" si="4"/>
        <v xml:space="preserve">			{headerName: this.l('Inner Material Quantity9'),headerTooltip: this.l('Inner Material Quantity9'),field: 'innerMaterialQuantity9',flex: 1},</v>
      </c>
      <c r="I66" s="35" t="str">
        <f t="shared" si="5"/>
        <v/>
      </c>
      <c r="J66" s="28"/>
      <c r="K66" s="35" t="str">
        <f t="shared" si="6"/>
        <v/>
      </c>
      <c r="L66" s="56" t="str">
        <f t="shared" si="79"/>
        <v/>
      </c>
      <c r="M66" s="28"/>
      <c r="N66" s="28"/>
      <c r="O66" s="28"/>
      <c r="P66" s="28"/>
      <c r="Q66" s="28"/>
      <c r="R66" s="28"/>
      <c r="S66" s="28" t="str">
        <f t="shared" si="13"/>
        <v xml:space="preserve">	innerMaterialQuantity9</v>
      </c>
      <c r="T66" s="28" t="str">
        <f t="shared" si="14"/>
        <v xml:space="preserve">			this.innerMaterialQuantity9,</v>
      </c>
      <c r="U66" s="28" t="str">
        <f t="shared" si="15"/>
        <v xml:space="preserve">		this.innerMaterialQuantity9 = '',</v>
      </c>
      <c r="V66" s="28" t="str">
        <f t="shared" si="8"/>
        <v/>
      </c>
    </row>
    <row r="67" spans="1:22" ht="18" customHeight="1" x14ac:dyDescent="0.25">
      <c r="A67" t="s">
        <v>411</v>
      </c>
      <c r="B67" s="28" t="str">
        <f>SUBSTITUTE(PROPER(A67),"_","")</f>
        <v>InnerMaterialQuantity10</v>
      </c>
      <c r="C67" s="28" t="str">
        <f>SUBSTITUTE(PROPER(A67),"_"," ")</f>
        <v>Inner Material Quantity10</v>
      </c>
      <c r="D67" s="28" t="str">
        <f>LOWER(LEFT(B67,1))&amp;RIGHT(B67,LEN(B67) - 1)</f>
        <v>innerMaterialQuantity10</v>
      </c>
      <c r="E67" s="28" t="str">
        <f>A.Backend!H61</f>
        <v>int?</v>
      </c>
      <c r="F67" s="28" t="str">
        <f>A.Backend!G61</f>
        <v/>
      </c>
      <c r="G67" s="28" t="str">
        <f t="shared" si="3"/>
        <v/>
      </c>
      <c r="H67" s="35" t="str">
        <f t="shared" si="4"/>
        <v xml:space="preserve">			{headerName: this.l('Inner Material Quantity10'),headerTooltip: this.l('Inner Material Quantity10'),field: 'innerMaterialQuantity10',flex: 1},</v>
      </c>
      <c r="I67" s="35" t="str">
        <f t="shared" si="5"/>
        <v/>
      </c>
      <c r="J67" s="28"/>
      <c r="K67" s="35" t="str">
        <f t="shared" si="6"/>
        <v/>
      </c>
      <c r="L67" s="56" t="str">
        <f>IF(E67="DateTime",
REPT(CHAR(9),2)&amp;"const dateValue =  this.rowdata."&amp;D67&amp;" ? new Date(this.rowdata."&amp;D67&amp;"?.toString()) : new Date();
"&amp;REPT(CHAR(9),2)&amp;"this.datepicker?.bsValueChange.emit(dateValue);","")</f>
        <v/>
      </c>
      <c r="M67" s="28"/>
      <c r="N67" s="28"/>
      <c r="O67" s="28"/>
      <c r="P67" s="28"/>
      <c r="Q67" s="28"/>
      <c r="R67" s="28"/>
      <c r="S67" s="28" t="str">
        <f t="shared" si="13"/>
        <v xml:space="preserve">	innerMaterialQuantity10</v>
      </c>
      <c r="T67" s="28" t="str">
        <f t="shared" si="14"/>
        <v xml:space="preserve">			this.innerMaterialQuantity10,</v>
      </c>
      <c r="U67" s="28" t="str">
        <f t="shared" si="15"/>
        <v xml:space="preserve">		this.innerMaterialQuantity10 = '',</v>
      </c>
      <c r="V67" s="28" t="str">
        <f t="shared" si="8"/>
        <v/>
      </c>
    </row>
    <row r="68" spans="1:22" ht="15" customHeight="1" x14ac:dyDescent="0.25">
      <c r="A68" t="s">
        <v>412</v>
      </c>
      <c r="B68" s="28" t="str">
        <f t="shared" ref="B68:B70" si="80">SUBSTITUTE(PROPER(A68),"_","")</f>
        <v>InnerMaterialQuantity11</v>
      </c>
      <c r="C68" s="28" t="str">
        <f t="shared" ref="C68:C70" si="81">SUBSTITUTE(PROPER(A68),"_"," ")</f>
        <v>Inner Material Quantity11</v>
      </c>
      <c r="D68" s="28" t="str">
        <f t="shared" ref="D68:D70" si="82">LOWER(LEFT(B68,1))&amp;RIGHT(B68,LEN(B68) - 1)</f>
        <v>innerMaterialQuantity11</v>
      </c>
      <c r="E68" s="28" t="str">
        <f>A.Backend!H62</f>
        <v>int?</v>
      </c>
      <c r="F68" s="28" t="str">
        <f>A.Backend!G62</f>
        <v/>
      </c>
      <c r="G68" s="28" t="str">
        <f t="shared" si="3"/>
        <v/>
      </c>
      <c r="H68" s="35" t="str">
        <f t="shared" si="4"/>
        <v xml:space="preserve">			{headerName: this.l('Inner Material Quantity11'),headerTooltip: this.l('Inner Material Quantity11'),field: 'innerMaterialQuantity11',flex: 1},</v>
      </c>
      <c r="I68" s="35" t="str">
        <f t="shared" si="5"/>
        <v/>
      </c>
      <c r="J68" s="28"/>
      <c r="K68" s="35" t="str">
        <f t="shared" si="6"/>
        <v/>
      </c>
      <c r="L68" s="56" t="str">
        <f t="shared" ref="L68:L70" si="83">IF(E68="DateTime",
REPT(CHAR(9),2)&amp;"const dateValue =  this.rowdata."&amp;D68&amp;" ? new Date(this.rowdata."&amp;D68&amp;"?.toString()) : new Date();
"&amp;REPT(CHAR(9),2)&amp;"this.datepicker?.bsValueChange.emit(dateValue);","")</f>
        <v/>
      </c>
      <c r="M68" s="28"/>
      <c r="N68" s="28"/>
      <c r="O68" s="28"/>
      <c r="P68" s="28"/>
      <c r="Q68" s="28"/>
      <c r="R68" s="28"/>
      <c r="S68" s="28" t="str">
        <f t="shared" si="13"/>
        <v xml:space="preserve">	innerMaterialQuantity11</v>
      </c>
      <c r="T68" s="28" t="str">
        <f t="shared" si="14"/>
        <v xml:space="preserve">			this.innerMaterialQuantity11,</v>
      </c>
      <c r="U68" s="28" t="str">
        <f t="shared" si="15"/>
        <v xml:space="preserve">		this.innerMaterialQuantity11 = '',</v>
      </c>
      <c r="V68" s="28" t="str">
        <f t="shared" si="8"/>
        <v/>
      </c>
    </row>
    <row r="69" spans="1:22" ht="18" customHeight="1" x14ac:dyDescent="0.25">
      <c r="A69" t="s">
        <v>413</v>
      </c>
      <c r="B69" s="28" t="str">
        <f t="shared" si="80"/>
        <v>InnerMaterialQuantity12</v>
      </c>
      <c r="C69" s="28" t="str">
        <f t="shared" si="81"/>
        <v>Inner Material Quantity12</v>
      </c>
      <c r="D69" s="28" t="str">
        <f t="shared" si="82"/>
        <v>innerMaterialQuantity12</v>
      </c>
      <c r="E69" s="28" t="str">
        <f>A.Backend!H63</f>
        <v>int?</v>
      </c>
      <c r="F69" s="28" t="str">
        <f>A.Backend!G63</f>
        <v/>
      </c>
      <c r="G69" s="28" t="str">
        <f t="shared" si="3"/>
        <v/>
      </c>
      <c r="H69" s="35" t="str">
        <f t="shared" si="4"/>
        <v xml:space="preserve">			{headerName: this.l('Inner Material Quantity12'),headerTooltip: this.l('Inner Material Quantity12'),field: 'innerMaterialQuantity12',flex: 1},</v>
      </c>
      <c r="I69" s="35" t="str">
        <f t="shared" si="5"/>
        <v/>
      </c>
      <c r="J69" s="28"/>
      <c r="K69" s="35" t="str">
        <f t="shared" si="6"/>
        <v/>
      </c>
      <c r="L69" s="56" t="str">
        <f t="shared" si="83"/>
        <v/>
      </c>
      <c r="M69" s="28"/>
      <c r="N69" s="28"/>
      <c r="O69" s="28"/>
      <c r="P69" s="28"/>
      <c r="Q69" s="28"/>
      <c r="R69" s="28"/>
      <c r="S69" s="28" t="str">
        <f t="shared" si="13"/>
        <v xml:space="preserve">	innerMaterialQuantity12</v>
      </c>
      <c r="T69" s="28" t="str">
        <f t="shared" si="14"/>
        <v xml:space="preserve">			this.innerMaterialQuantity12,</v>
      </c>
      <c r="U69" s="28" t="str">
        <f t="shared" si="15"/>
        <v xml:space="preserve">		this.innerMaterialQuantity12 = '',</v>
      </c>
      <c r="V69" s="28" t="str">
        <f t="shared" si="8"/>
        <v/>
      </c>
    </row>
    <row r="70" spans="1:22" ht="15" customHeight="1" x14ac:dyDescent="0.25">
      <c r="A70" t="s">
        <v>350</v>
      </c>
      <c r="B70" s="28" t="str">
        <f t="shared" si="80"/>
        <v>Status</v>
      </c>
      <c r="C70" s="28" t="str">
        <f t="shared" si="81"/>
        <v>Status</v>
      </c>
      <c r="D70" s="28" t="str">
        <f t="shared" si="82"/>
        <v>status</v>
      </c>
      <c r="E70" s="28" t="str">
        <f>A.Backend!H64</f>
        <v>int?</v>
      </c>
      <c r="F70" s="28" t="str">
        <f>A.Backend!G64</f>
        <v/>
      </c>
      <c r="G70" s="28" t="str">
        <f t="shared" si="3"/>
        <v/>
      </c>
      <c r="H70" s="35" t="str">
        <f t="shared" si="4"/>
        <v xml:space="preserve">			{headerName: this.l('Status'),headerTooltip: this.l('Status'),field: 'status',flex: 1},</v>
      </c>
      <c r="I70" s="35" t="str">
        <f t="shared" si="5"/>
        <v/>
      </c>
      <c r="J70" s="28"/>
      <c r="K70" s="35" t="str">
        <f t="shared" si="6"/>
        <v/>
      </c>
      <c r="L70" s="56" t="str">
        <f t="shared" si="83"/>
        <v/>
      </c>
      <c r="M70" s="28"/>
      <c r="N70" s="28"/>
      <c r="O70" s="28"/>
      <c r="P70" s="28"/>
      <c r="Q70" s="28"/>
      <c r="R70" s="28"/>
      <c r="S70" s="28" t="str">
        <f t="shared" si="13"/>
        <v xml:space="preserve">	status</v>
      </c>
      <c r="T70" s="28" t="str">
        <f t="shared" si="14"/>
        <v xml:space="preserve">			this.status,</v>
      </c>
      <c r="U70" s="28" t="str">
        <f t="shared" si="15"/>
        <v xml:space="preserve">		this.status = '',</v>
      </c>
      <c r="V70" s="28" t="str">
        <f t="shared" si="8"/>
        <v/>
      </c>
    </row>
    <row r="71" spans="1:22" ht="18" customHeight="1" x14ac:dyDescent="0.25">
      <c r="A71" t="s">
        <v>319</v>
      </c>
      <c r="B71" s="28" t="str">
        <f>SUBSTITUTE(PROPER(A71),"_","")</f>
        <v>IsActive</v>
      </c>
      <c r="C71" s="28" t="str">
        <f>SUBSTITUTE(PROPER(A71),"_"," ")</f>
        <v>Is Active</v>
      </c>
      <c r="D71" s="28" t="str">
        <f>LOWER(LEFT(B71,1))&amp;RIGHT(B71,LEN(B71) - 1)</f>
        <v>isActive</v>
      </c>
      <c r="E71" s="28" t="str">
        <f>A.Backend!H65</f>
        <v>string</v>
      </c>
      <c r="F71" s="28" t="str">
        <f>A.Backend!G65</f>
        <v>1</v>
      </c>
      <c r="G71" s="28" t="str">
        <f t="shared" si="3"/>
        <v xml:space="preserve"> : string = '' ; </v>
      </c>
      <c r="H7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71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71" s="28"/>
      <c r="K71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71" s="56" t="str">
        <f>IF(E71="DateTime",
REPT(CHAR(9),2)&amp;"const dateValue =  this.rowdata."&amp;D71&amp;" ? new Date(this.rowdata."&amp;D71&amp;"?.toString()) : new Date();
"&amp;REPT(CHAR(9),2)&amp;"this.datepicker?.bsValueChange.emit(dateValue);","")</f>
        <v/>
      </c>
      <c r="M71" s="28"/>
      <c r="N71" s="28"/>
      <c r="O71" s="28"/>
      <c r="P71" s="28"/>
      <c r="Q71" s="28"/>
      <c r="R71" s="28"/>
      <c r="S71" s="28" t="str">
        <f t="shared" si="13"/>
        <v xml:space="preserve">	isActive : string = '' ; </v>
      </c>
      <c r="T71" s="28" t="str">
        <f t="shared" si="14"/>
        <v xml:space="preserve">			this.isActive,</v>
      </c>
      <c r="U71" s="28" t="str">
        <f t="shared" si="15"/>
        <v xml:space="preserve">		this.isActive = '',</v>
      </c>
      <c r="V71" s="28" t="str">
        <f t="shared" si="8"/>
        <v>isActive</v>
      </c>
    </row>
    <row r="7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2023-06-12T04:40:15Z</dcterms:modified>
</cp:coreProperties>
</file>
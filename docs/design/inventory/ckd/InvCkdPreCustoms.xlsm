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5" l="1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U23" i="5" l="1"/>
  <c r="K23" i="5"/>
  <c r="I23" i="5"/>
  <c r="H23" i="5"/>
  <c r="G23" i="5"/>
  <c r="S23" i="5" s="1"/>
  <c r="V23" i="5"/>
  <c r="L23" i="5"/>
  <c r="L21" i="5"/>
  <c r="H21" i="5"/>
  <c r="K21" i="5"/>
  <c r="I21" i="5"/>
  <c r="G21" i="5"/>
  <c r="S21" i="5" s="1"/>
  <c r="V21" i="5"/>
  <c r="U21" i="5"/>
  <c r="I20" i="1"/>
  <c r="E26" i="5"/>
  <c r="K28" i="5"/>
  <c r="G28" i="5"/>
  <c r="S28" i="5" s="1"/>
  <c r="I28" i="5"/>
  <c r="H28" i="5"/>
  <c r="V28" i="5"/>
  <c r="U28" i="5"/>
  <c r="L28" i="5"/>
  <c r="I22" i="5"/>
  <c r="U22" i="5"/>
  <c r="K22" i="5"/>
  <c r="H22" i="5"/>
  <c r="G22" i="5"/>
  <c r="S22" i="5" s="1"/>
  <c r="L22" i="5"/>
  <c r="V22" i="5"/>
  <c r="K20" i="5"/>
  <c r="L20" i="5"/>
  <c r="I20" i="5"/>
  <c r="G20" i="5"/>
  <c r="S20" i="5" s="1"/>
  <c r="H20" i="5"/>
  <c r="V20" i="5"/>
  <c r="U20" i="5"/>
  <c r="K29" i="5"/>
  <c r="H29" i="5"/>
  <c r="I29" i="5"/>
  <c r="G29" i="5"/>
  <c r="S29" i="5" s="1"/>
  <c r="V29" i="5"/>
  <c r="L29" i="5"/>
  <c r="U29" i="5"/>
  <c r="L24" i="5"/>
  <c r="V24" i="5"/>
  <c r="U24" i="5"/>
  <c r="G24" i="5"/>
  <c r="S24" i="5" s="1"/>
  <c r="K24" i="5"/>
  <c r="I24" i="5"/>
  <c r="H24" i="5"/>
  <c r="G25" i="5"/>
  <c r="S25" i="5" s="1"/>
  <c r="H25" i="5"/>
  <c r="V25" i="5"/>
  <c r="U25" i="5"/>
  <c r="I25" i="5"/>
  <c r="K25" i="5"/>
  <c r="L25" i="5"/>
  <c r="I27" i="5"/>
  <c r="H27" i="5"/>
  <c r="V27" i="5"/>
  <c r="K27" i="5"/>
  <c r="G27" i="5"/>
  <c r="S27" i="5" s="1"/>
  <c r="U27" i="5"/>
  <c r="L27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17" i="5"/>
  <c r="B17" i="5"/>
  <c r="D17" i="5" s="1"/>
  <c r="T17" i="5" s="1"/>
  <c r="C16" i="5"/>
  <c r="B16" i="5"/>
  <c r="D16" i="5" s="1"/>
  <c r="T16" i="5" s="1"/>
  <c r="L26" i="5" l="1"/>
  <c r="H26" i="5"/>
  <c r="U26" i="5"/>
  <c r="G26" i="5"/>
  <c r="S26" i="5" s="1"/>
  <c r="V26" i="5"/>
  <c r="K26" i="5"/>
  <c r="I26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18" i="5" l="1"/>
  <c r="U18" i="5"/>
  <c r="I18" i="5"/>
  <c r="G18" i="5"/>
  <c r="S18" i="5" s="1"/>
  <c r="V18" i="5"/>
  <c r="K18" i="5"/>
  <c r="L18" i="5"/>
  <c r="G17" i="5"/>
  <c r="S17" i="5" s="1"/>
  <c r="V17" i="5"/>
  <c r="H17" i="5"/>
  <c r="U17" i="5"/>
  <c r="K17" i="5"/>
  <c r="I17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H16" i="5"/>
  <c r="I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5" i="1"/>
  <c r="T7" i="1" l="1"/>
  <c r="W25" i="1"/>
  <c r="G6" i="1" l="1"/>
  <c r="H13" i="5"/>
  <c r="S13" i="5"/>
  <c r="I13" i="5"/>
  <c r="U13" i="5"/>
  <c r="K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25" i="1"/>
  <c r="J25" i="1"/>
  <c r="P25" i="1"/>
  <c r="I25" i="1"/>
  <c r="N25" i="1"/>
  <c r="Q7" i="1" l="1"/>
  <c r="M68" i="3" s="1"/>
  <c r="L7" i="1"/>
  <c r="G68" i="3" s="1"/>
  <c r="K68" i="3"/>
  <c r="J68" i="3"/>
  <c r="M25" i="1"/>
  <c r="K2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<sst xmlns="http://schemas.openxmlformats.org/spreadsheetml/2006/main" count="537" uniqueCount="418">
  <si>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</si>
  <si>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</si>
  <si>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</si>
  <si>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</si>
  <si>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</si>
  <si>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</si>
  <si>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</si>
  <si>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</si>
  <si>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</si>
  <si>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</si>
  <si>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</si>
  <si>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</si>
  <si>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</si>
  <si>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</si>
  <si>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</si>
  <si>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</si>
  <si>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</si>
  <si>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</si>
  <si>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</si>
  <si>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</si>
  <si>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</si>
  <si>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</si>
  <si>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</si>
  <si>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</si>
  <si>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</si>
  <si>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</si>
  <si>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</si>
  <si>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</si>
  <si>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</si>
  <si>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</si>
  <si>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</si>
  <si>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</si>
  <si>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</si>
  <si>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</si>
  <si>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</si>
  <si>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</si>
  <si>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</si>
  <si>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</si>
  <si>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</si>
  <si>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</si>
  <si>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</si>
  <si>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</si>
  <si>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</si>
  <si>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</si>
  <si>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</si>
  <si>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</si>
  <si>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</si>
  <si>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</si>
  <si>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</si>
  <si>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</si>
  <si>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</si>
  <si>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</si>
  <si>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</si>
  <si>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</si>
  <si>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</si>
  <si>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</si>
  <si>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</si>
  <si>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</si>
  <si>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</si>
  <si>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</si>
  <si>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</si>
  <si>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</si>
  <si>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</si>
  <si>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</si>
  <si>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</si>
  <si>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</si>
  <si>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</si>
  <si>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</si>
  <si>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</si>
  <si>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</si>
  <si>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</si>
  <si>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</si>
  <si>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</si>
  <si>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</si>
  <si>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</si>
  <si>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</si>
  <si>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</si>
  <si>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</si>
  <si>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</si>
  <si>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</si>
  <si>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</si>
  <si>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</si>
  <si>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</si>
  <si>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</si>
  <si>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</si>
  <si>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</si>
  <si>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</si>
  <si>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</si>
  <si>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</si>
  <si>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</si>
  <si>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</si>
  <si>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</si>
  <si>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</si>
  <si>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</si>
  <si>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</si>
  <si>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</si>
  <si>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</si>
  <si>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</si>
  <si>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</si>
  <si>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</si>
  <si>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</si>
  <si>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</si>
  <si>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</si>
  <si>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</si>
  <si>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</si>
  <si>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</si>
  <si>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</si>
  <si>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</si>
  <si>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</si>
  <si>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</si>
  <si>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</si>
  <si>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</si>
  <si>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</si>
  <si>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</si>
  <si>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</si>
  <si>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</si>
  <si>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</si>
  <si>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</si>
  <si>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</si>
  <si>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</si>
  <si>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</si>
  <si>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</si>
  <si>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</si>
  <si>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</si>
  <si>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</si>
  <si>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</si>
  <si>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</si>
  <si>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</si>
  <si>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</si>
  <si>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</si>
  <si>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</si>
  <si>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</si>
  <si>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</si>
  <si>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</si>
  <si>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</si>
  <si>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</si>
  <si>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</si>
  <si>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</si>
  <si>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</si>
  <si>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</si>
  <si>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</si>
  <si>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</si>
  <si>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</si>
  <si>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</si>
  <si>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</si>
  <si>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</si>
  <si>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</si>
  <si>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</si>
  <si>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</si>
  <si>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</si>
  <si>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</si>
  <si>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</si>
  <si>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</si>
  <si>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</si>
  <si>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</si>
  <si>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</si>
  <si>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</si>
  <si>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</si>
  <si>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</si>
  <si>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</si>
  <si>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</si>
  <si>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</si>
  <si>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</si>
  <si>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</si>
  <si>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</si>
  <si>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</si>
  <si>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</si>
  <si>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</si>
  <si>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</si>
  <si>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</si>
  <si>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</si>
  <si>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</si>
  <si>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</si>
  <si>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</si>
  <si>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</si>
  <si>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</si>
  <si>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</si>
  <si>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</si>
  <si>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</si>
  <si>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</si>
  <si>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</si>
  <si>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</si>
  <si>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</si>
  <si>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</si>
  <si>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</si>
  <si>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</si>
  <si>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</si>
  <si>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</si>
  <si>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</si>
  <si>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</si>
  <si>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</si>
  <si>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</si>
  <si>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</si>
  <si>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</si>
  <si>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</si>
  <si>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</si>
  <si>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</si>
  <si>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</si>
  <si>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</si>
  <si>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</si>
  <si>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</si>
  <si>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</si>
  <si>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</si>
  <si>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</si>
  <si>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</si>
  <si>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</si>
  <si>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</si>
  <si>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</si>
  <si>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</si>
  <si>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</si>
  <si>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</si>
  <si>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</si>
  <si>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</si>
  <si>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</si>
  <si>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</si>
  <si>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</si>
  <si>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</si>
  <si>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</si>
  <si>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</si>
  <si>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</si>
  <si>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</si>
  <si>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</si>
  <si>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</si>
  <si>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</si>
  <si>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</si>
  <si>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</si>
  <si>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</si>
  <si>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</si>
  <si>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</si>
  <si>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</si>
  <si>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</si>
  <si>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</si>
  <si>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</si>
  <si>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</si>
  <si>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</si>
  <si>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</si>
  <si>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</si>
  <si>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</si>
  <si>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</si>
  <si>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</si>
  <si>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</si>
  <si>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</si>
  <si>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</si>
  <si>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</si>
  <si>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</si>
  <si>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</si>
  <si>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</si>
  <si>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</si>
  <si>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</si>
  <si>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</si>
  <si>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</si>
  <si>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</si>
  <si>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</si>
  <si>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</si>
  <si>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</si>
  <si>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</si>
  <si>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</si>
  <si>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</si>
  <si>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</si>
  <si>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</si>
  <si>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</si>
  <si>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</si>
  <si>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</si>
  <si>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</si>
  <si>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</si>
  <si>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</si>
  <si>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</si>
  <si>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</si>
  <si>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</si>
  <si>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</si>
  <si>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</si>
  <si>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</si>
  <si>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</si>
  <si>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</si>
  <si>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</si>
  <si>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</si>
  <si>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</si>
  <si>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</si>
  <si>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</si>
  <si>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</si>
  <si>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</si>
  <si>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</si>
  <si>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</si>
  <si>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</si>
  <si>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</si>
  <si>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</si>
  <si>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</si>
  <si>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</si>
  <si>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</si>
  <si>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</si>
  <si>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</si>
  <si>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</si>
  <si>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</si>
  <si>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</si>
  <si>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</si>
  <si>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</si>
  <si>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</si>
  <si>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</si>
  <si>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</si>
  <si>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</si>
  <si>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</si>
  <si>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</si>
  <si>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</si>
  <si>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</si>
  <si>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</si>
  <si>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</si>
  <si>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</si>
  <si>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</si>
  <si>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</si>
  <si>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</si>
  <si>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</si>
  <si>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</si>
  <si>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</si>
  <si>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</si>
  <si>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</si>
  <si>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</si>
  <si>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</si>
  <si>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</si>
  <si>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</si>
  <si>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</si>
  <si>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</si>
  <si>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</si>
  <si>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</si>
  <si>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</si>
  <si>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</si>
  <si>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</si>
  <si>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</si>
  <si>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</si>
  <si>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</si>
  <si>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</si>
  <si>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</si>
  <si>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</si>
  <si>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</si>
  <si>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</si>
  <si>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</si>
  <si>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</si>
  <si>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</si>
  <si>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</si>
  <si>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</si>
  <si>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</si>
  <si>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</si>
  <si>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</si>
  <si>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</si>
  <si>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</si>
  <si>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</si>
  <si>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</si>
  <si>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</si>
  <si>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</si>
  <si>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</si>
  <si>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</si>
  <si>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</si>
  <si>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int?</t>
  </si>
  <si>
    <t>long?</t>
  </si>
  <si>
    <t>DateTime?</t>
  </si>
  <si>
    <t>TimeSpan?</t>
  </si>
  <si>
    <t>decimal?</t>
  </si>
  <si>
    <t>byte?</t>
  </si>
  <si>
    <t>VARCHAR(10)</t>
  </si>
  <si>
    <t>VARCHAR(4)</t>
  </si>
  <si>
    <t>DECIMAL(18,5)</t>
  </si>
  <si>
    <t>VARCHAR(2)</t>
  </si>
  <si>
    <t>VARCHAR(20)</t>
  </si>
  <si>
    <t>DECLARE_TYPE</t>
  </si>
  <si>
    <t>VARCHAR(1)</t>
  </si>
  <si>
    <t>BILLOFLADING_NO</t>
  </si>
  <si>
    <t>TOTALTAX_CEPT</t>
  </si>
  <si>
    <t>TOTALTAX_NONCEPT</t>
  </si>
  <si>
    <t>TOTALVAT_CEPT</t>
  </si>
  <si>
    <t>TOTALVAT_NONCEPT</t>
  </si>
  <si>
    <t>TOTALCIF_CEPT</t>
  </si>
  <si>
    <t>TOTALCIF_NONCEPT</t>
  </si>
  <si>
    <t>ORDERTYPE_CODE</t>
  </si>
  <si>
    <t>UPDATED_DATE</t>
  </si>
  <si>
    <t>DATETIME2</t>
  </si>
  <si>
    <t>GROUP_ID</t>
  </si>
  <si>
    <t>ISVNACCS</t>
  </si>
  <si>
    <t>GROUP_PARENT_ID</t>
  </si>
  <si>
    <t>InvCkdPreCustoms</t>
  </si>
  <si>
    <t>PreCustoms</t>
  </si>
  <si>
    <t>Pre Customs</t>
  </si>
  <si>
    <t>Search</t>
  </si>
  <si>
    <t>Field</t>
  </si>
  <si>
    <t>Type</t>
  </si>
  <si>
    <t>Text Box</t>
  </si>
  <si>
    <t>Bill No</t>
  </si>
  <si>
    <t>Invoice No</t>
  </si>
  <si>
    <t>STT</t>
  </si>
  <si>
    <t>Bill Of Lading No</t>
  </si>
  <si>
    <t>Bill Date</t>
  </si>
  <si>
    <t>Status</t>
  </si>
  <si>
    <t>TAX</t>
  </si>
  <si>
    <t>VAT</t>
  </si>
  <si>
    <t>Description</t>
  </si>
  <si>
    <t>Invoice List</t>
  </si>
  <si>
    <t>Tax (USD)</t>
  </si>
  <si>
    <t>VAT (USD)</t>
  </si>
  <si>
    <t>Fix Lot</t>
  </si>
  <si>
    <t>Supplier No</t>
  </si>
  <si>
    <t>Part No</t>
  </si>
  <si>
    <t>Part Name</t>
  </si>
  <si>
    <t>Usage Quantity</t>
  </si>
  <si>
    <t>Fob</t>
  </si>
  <si>
    <t>Freight</t>
  </si>
  <si>
    <t>Insurance</t>
  </si>
  <si>
    <t>Cept Type</t>
  </si>
  <si>
    <t>Tax Rate</t>
  </si>
  <si>
    <t>VAT Rate</t>
  </si>
  <si>
    <t>Quantity</t>
  </si>
  <si>
    <t>Pre Customer Declare List</t>
  </si>
  <si>
    <t>Total Freight</t>
  </si>
  <si>
    <t>Total Insurance</t>
  </si>
  <si>
    <t>CIF</t>
  </si>
  <si>
    <t>Currency</t>
  </si>
  <si>
    <t>Invoice Details List</t>
  </si>
  <si>
    <t>INV_CKD_INVOICE_SEARCHBYPRE</t>
  </si>
  <si>
    <t>INV_CKD_PRE_CUSTOMS_SEARCH</t>
  </si>
  <si>
    <t>INV_CKD_INVOICE_DETAILS_GETBYPREINVOICEID</t>
  </si>
  <si>
    <t>Declare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</si>
</sst>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89"/>
  <sheetViews>
    <sheetView tabSelected="1" topLeftCell="K70" zoomScaleNormal="100" workbookViewId="0">
      <selection activeCell="N83" sqref="N83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346</v>
      </c>
      <c r="F18" s="1" t="s">
        <v>348</v>
      </c>
      <c r="G18" t="s">
        <v>347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320</v>
      </c>
      <c r="F42" s="1" t="s">
        <v>333</v>
      </c>
      <c r="G42" t="s">
        <v>333</v>
      </c>
    </row>
    <row r="43" spans="1:8" x14ac:dyDescent="0.3">
      <c r="A43" s="1"/>
      <c r="D43" t="s">
        <v>321</v>
      </c>
      <c r="F43" s="1" t="s">
        <v>327</v>
      </c>
      <c r="G43" t="s">
        <v>334</v>
      </c>
    </row>
    <row r="44" spans="1:8" x14ac:dyDescent="0.3">
      <c r="A44" s="1"/>
      <c r="D44" t="s">
        <v>323</v>
      </c>
      <c r="F44" s="1" t="s">
        <v>328</v>
      </c>
      <c r="G44" t="s">
        <v>335</v>
      </c>
    </row>
    <row r="45" spans="1:8" x14ac:dyDescent="0.3">
      <c r="A45" s="1"/>
      <c r="D45" t="s">
        <v>322</v>
      </c>
      <c r="F45" s="1" t="s">
        <v>329</v>
      </c>
      <c r="G45" t="s">
        <v>336</v>
      </c>
    </row>
    <row r="46" spans="1:8" x14ac:dyDescent="0.3">
      <c r="A46" s="1"/>
      <c r="D46" t="s">
        <v>325</v>
      </c>
      <c r="F46" s="1" t="s">
        <v>330</v>
      </c>
      <c r="G46" t="s">
        <v>337</v>
      </c>
    </row>
    <row r="47" spans="1:8" x14ac:dyDescent="0.3">
      <c r="A47" s="1"/>
      <c r="D47" t="s">
        <v>343</v>
      </c>
      <c r="F47" s="1" t="s">
        <v>344</v>
      </c>
      <c r="G47" t="s">
        <v>345</v>
      </c>
    </row>
    <row r="48" spans="1:8" x14ac:dyDescent="0.3">
      <c r="A48" s="1"/>
      <c r="D48" t="s">
        <v>326</v>
      </c>
      <c r="F48" s="1" t="s">
        <v>331</v>
      </c>
      <c r="G48" t="s">
        <v>338</v>
      </c>
    </row>
    <row r="49" spans="1:7" x14ac:dyDescent="0.3">
      <c r="A49" s="1"/>
      <c r="D49" t="s">
        <v>324</v>
      </c>
      <c r="F49" s="1" t="s">
        <v>332</v>
      </c>
      <c r="G49" t="s">
        <v>339</v>
      </c>
    </row>
    <row r="50" spans="1:7" x14ac:dyDescent="0.3">
      <c r="A50" s="1"/>
      <c r="D50" t="s">
        <v>340</v>
      </c>
      <c r="F50" s="1" t="s">
        <v>341</v>
      </c>
      <c r="G50" t="s">
        <v>342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[Table("InvCkdPreCustoms")]
	public class InvCkdPreCustoms: FullAuditedEntity&lt;long&gt;, IEntity&lt;long&gt;	
	{
		public const int MaxBillofladingNoLength = 20;
		public const int MaxStatusLength = 4;
		public const int MaxOrdertypeCodeLength = 2;
		public const int MaxDeclareTypeLength = 10;
		public const int MaxIsActiveLength = 1;
		[StringLength(MaxBillofladingNoLength)]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[StringLength(MaxStatusLength)]
		public virtual string Status { get; set; }
		[StringLength(MaxOrdertypeCodeLength)]
		public virtual string OrdertypeCode { get; set; }
		public virtual DateTime? UpdatedDate { get; set; }
		public virtual long? GroupId { get; set; }
		public virtual int? Isvnaccs { get; set; }
		public virtual long? GroupParentId { get; set; }
		[StringLength(MaxDeclareTypeLength)]
		public virtual string DeclareType { get; set; }
		[StringLength(MaxIsActiveLength)]
		public virtual string IsActive { get; set; }
	}
}
</v>
      </c>
      <c r="D68" s="48" t="str">
        <f>A.Backend!O7</f>
        <v xml:space="preserve">		public const string Pages_Inventory_CKD_PreCustoms = "Pages.Inventory.CKD.PreCustoms";
		public const string Pages_Inventory_CKD_PreCustoms_CreateEdit = "Pages.Inventory.CKD.PreCustoms.CreateEdit";
		public const string Pages_Inventory_CKD_PreCustoms_Delete = "Pages.Inventory.CKD.PreCustoms.Delete";
</v>
      </c>
      <c r="E68" s="48" t="str">
        <f>A.Backend!N7</f>
        <v xml:space="preserve">		var perInvCkdPreCustoms = PARENTS.CreateChildPermission(AppPermissions.Pages_Inventory_CKD_PreCustoms, L( "InventoryCKDPreCustoms"), multiTenancySides: MultiTenancySides.Tenant);
		perInvCkdPreCustoms.CreateChildPermission(AppPermissions.Pages_Inventory_CKD_PreCustoms_CreateEdit, L( "InventoryCKDPreCustomsCreateEdit"), multiTenancySides: MultiTenancySides.Tenant);
		perInvCkdPreCustoms.CreateChildPermission(AppPermissions.Pages_Inventory_CKD_PreCustoms_Delete, L( "InventoryCKDPreCustomsDelete"), multiTenancySides: MultiTenancySides.Tenant);</v>
      </c>
      <c r="F68" s="48" t="str">
        <f>A.Backend!K7</f>
        <v>public virtual DbSet&lt;InvCkdPreCustoms&gt; InvCkdPreCustomss { get; set; }</v>
      </c>
      <c r="G68" s="48" t="str">
        <f ca="1">A.Backend!L7</f>
        <v xml:space="preserve">namespace prod.Inventory.CKD
{
	public class InvCkdPreCustomsConsts	
	{
		public const int MaxBillofladingNoLength = 20;
		public const int MaxStatusLength = 4;
		public const int MaxOrdertypeCodeLength = 2;
		public const int MaxDeclareTypeLength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InvCkdPreCustomsDto : EntityDto&lt;long?&gt;	
	{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public virtual string Status { get; set; }
		public virtual string OrdertypeCode { get; set; }
		public virtual DateTime? UpdatedDate { get; set; }
		public virtual long? GroupId { get; set; }
		public virtual int? Isvnaccs { get; set; }
		public virtual long? GroupParentId { get; set; }
		public virtual string DeclareType { get; set; }
		public virtual string IsActive { get; set; }
	}
	public class CreateOrEditInvCkdPreCustomsDto : EntityDto&lt;long?&gt;	
	{
		[StringLength(InvCkdPreCustomsConsts.MaxBillofladingNoLength)]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[StringLength(InvCkdPreCustomsConsts.MaxStatusLength)]
		public virtual string Status { get; set; }
		[StringLength(InvCkdPreCustomsConsts.MaxOrdertypeCodeLength)]
		public virtual string OrdertypeCode { get; set; }
		public virtual DateTime? UpdatedDate { get; set; }
		public virtual long? GroupId { get; set; }
		public virtual int? Isvnaccs { get; set; }
		public virtual long? GroupParentId { get; set; }
		[StringLength(InvCkdPreCustomsConsts.MaxDeclareTypeLength)]
		public virtual string DeclareType { get; set; }
		[StringLength(InvCkdPreCustomsConsts.MaxIsActiveLength)]
		public virtual string IsActive { get; set; }
	}
	public class GetInvCkdPreCustomsInput : PagedAndSortedResultRequestDto	
	{
		public virtual string BillofladingNo { get; set; }
		public virtual string Status { get; set; }
		public virtual string OrdertypeCode { get; set; }
		public virtual string DeclareType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InvCkdPreCustomsExportInput{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public virtual string Status { get; set; }
		public virtual string OrdertypeCode { get; set; }
		public virtual DateTime? UpdatedDate { get; set; }
		public virtual long? GroupId { get; set; }
		public virtual int? Isvnaccs { get; set; }
		public virtual long? GroupParentId { get; set; }
		public virtual string DeclareType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IInvCkdPreCustomsAppService : IApplicationService
	{
		Task&lt;PagedResultDto&lt;InvCkdPreCustomsDto&gt;&gt; GetAll(GetInvCkdPreCustomsInput input);
		Task CreateOrEdit(CreateOrEditInvCkdPreCustomsDto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IInvCkdPreCustomsExcelExporter : IApplicationService
	{
		FileDto ExportToFile(List&lt;InvCkdPreCustomsDto&gt; invckdprecustoms);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InvCkdPreCustomsExcelExporter : NpoiExcelExporterBase, IInvCkdPreCustomsExcelExporter
    {
        public InvCkdPreCustomsExcelExporter(ITempFileCacheManager tempFileCacheManager) : base(tempFileCacheManager) { }
        public FileDto ExportToFile(List&lt;InvCkdPreCustomsDto&gt; precustoms)
        {
            return CreateExcelPackage(
				"InventoryCKDPreCustoms.xlsx",
				excelPackage =&gt;
				 {
					var sheet = excelPackage.CreateSheet("PreCustoms");
					AddHeader(
								sheet,
								("BillofladingNo"),
								("TotaltaxCept"),
								("TotaltaxNoncept"),
								("TotalvatCept"),
								("TotalvatNoncept"),
								("TotalcifCept"),
								("TotalcifNoncept"),
								("Status"),
								("OrdertypeCode"),
								("UpdatedDate"),
								("GroupId"),
								("Isvnaccs"),
								("GroupParentId"),
								("DeclareType"),
								("IsActive"),
							   );
					AddObjects(
						 sheet, 1, precustoms,                                       
								_ =&gt; _.BillofladingNo,
								_ =&gt; _.TotaltaxCept,
								_ =&gt; _.TotaltaxNoncept,
								_ =&gt; _.TotalvatCept,
								_ =&gt; _.TotalvatNoncept,
								_ =&gt; _.TotalcifCept,
								_ =&gt; _.TotalcifNoncept,
								_ =&gt; _.Status,
								_ =&gt; _.OrdertypeCode,
								_ =&gt; _.UpdatedDate,
								_ =&gt; _.GroupId,
								_ =&gt; _.Isvnaccs,
								_ =&gt; _.GroupParentId,
								_ =&gt; _.DeclareType,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[AbpAuthorize(AppPermissions.Pages_Inventory_CKD_PreCustoms)]
    public class InvCkdPreCustomsAppService : vovinaAppServiceBase, IInvCkdPreCustomsAppService
    {
        private readonly IDapperRepository&lt;InvCkdPreCustoms, long&gt; _dapperRepo;
        private readonly IRepository&lt;InvCkdPreCustoms, long&gt; _repo;
        private readonly IInvCkdPreCustomsExcelExporter _calendarListExcelExporter;
        public InvCkdPreCustomsAppService(IRepository&lt;InvCkdPreCustoms,long&gt; repo, 
                                         IDapperRepository&lt;InvCkdPreCustoms,long&gt; dapperRepo,
                                        IInvCkdPreCustomsExcelExporter calendarListExcelExporter
            )
        {
            _repo = repo;
            _dapperRepo = dapperRepo;
            _calendarListExcelExporter = calendarListExcelExporter;
        }
        [AbpAuthorize(AppPermissions.Pages_Inventory_CKD_PreCustoms_CreateEdit)]
        public async Task CreateOrEdit(CreateOrEditInvCkdPreCustomsDto input)
        {
            if (input.Id == null) await Create(input);
            else await Update(input);
        }
        //CREATE
        private async Task Create(CreateOrEditInvCkdPreCustomsDto input)
        {          
            var mainObj = ObjectMapper.Map&lt;InvCkdPreCustoms&gt;(input);
            await CurrentUnitOfWork.GetDbContext&lt;vovinaDbContext&gt;().AddAsync(mainObj);
        }
        // EDIT
        private async Task Update(CreateOrEditInvCkdPreCustomsDto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[AbpAuthorize(AppPermissions.Pages_Inventory_CKD_PreCustoms_Delete)]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Task&lt;PagedResultDto&lt;InvCkdPreCustomsDto&gt;&gt; GetAll(GetInvCkdPreCustomsInput input)
        {
            var filtered = _repo.GetAll()
				.WhereIf(!string.IsNullOrWhiteSpace(input.BillofladingNo), e =&gt; e.BillofladingNo.Contains(input.BillofladingNo))
				.WhereIf(!string.IsNullOrWhiteSpace(input.Status), e =&gt; e.Status.Contains(input.Status))
				.WhereIf(!string.IsNullOrWhiteSpace(input.OrdertypeCode), e =&gt; e.OrdertypeCode.Contains(input.OrdertypeCode))
				.WhereIf(!string.IsNullOrWhiteSpace(input.DeclareType), e =&gt; e.DeclareType.Contains(input.DeclareType))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InvCkdPreCustomsDto
                        {
							Id = o.Id,
							BillofladingNo = o.BillofladingNo,
							TotaltaxCept = o.TotaltaxCept,
							TotaltaxNoncept = o.TotaltaxNoncept,
							TotalvatCept = o.TotalvatCept,
							TotalvatNoncept = o.TotalvatNoncept,
							TotalcifCept = o.TotalcifCept,
							TotalcifNoncept = o.TotalcifNoncept,
							Status = o.Status,
							OrdertypeCode = o.OrdertypeCode,
							UpdatedDate = o.UpdatedDate,
							GroupId = o.GroupId,
							Isvnaccs = o.Isvnaccs,
							GroupParentId = o.GroupParentId,
							DeclareType = o.DeclareType,
							IsActive = o.IsActive,
                        };
            var totalCount = await filtered.CountAsync();
			var paged = system.PageBy(input);
            return new PagedResultDto&lt;InvCkdPreCustomsDto&gt;(
                totalCount,
                 await paged.ToListAsync()
            );
        }
        public async Task&lt;FileDto&gt; GetPreCustomsToExcel(InvCkdPreCustomsExportInput input)
        {
            var query = from o in _repo.GetAll()
                        select new InvCkdPreCustomsDto
                        {
							Id = o.Id,
							BillofladingNo = o.BillofladingNo,
							TotaltaxCept = o.TotaltaxCept,
							TotaltaxNoncept = o.TotaltaxNoncept,
							TotalvatCept = o.TotalvatCept,
							TotalvatNoncept = o.TotalvatNoncept,
							TotalcifCept = o.TotalcifCept,
							TotalcifNoncept = o.TotalcifNoncept,
							Status = o.Status,
							OrdertypeCode = o.OrdertypeCode,
							UpdatedDate = o.UpdatedDate,
							GroupId = o.GroupId,
							Isvnaccs = o.Isvnaccs,
							GroupParentId = o.GroupParentId,
							DeclareType = o.DeclareType,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_dapperRepo.ExecuteAsync(InvCkdPreCustomsConsts.SP_MST_WPT_CALENDAR_GENERATE);
       // }
    }
}</v>
      </c>
      <c r="N68" s="58" t="str">
        <f>A.Backend!U7</f>
        <v xml:space="preserve">  configuration.CreateMap&lt;InvCkdPreCustomsDto, InvCkdPreCustoms&gt;();
  configuration.CreateMap&lt;InvCkdPreCustoms, InvCkdPreCustomsDto&gt;();
  configuration.CreateMap&lt;CreateOrEditInvCkdPreCustomsDto, InvCkdPreCustoms&gt;();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precustoms</v>
      </c>
      <c r="C73" s="66" t="str">
        <f>"create folder " &amp;B73</f>
        <v>create folder precustoms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precustoms.component.ts</v>
      </c>
      <c r="D74" s="28" t="str">
        <f>B.Frontend!I14</f>
        <v>precustoms.component.html</v>
      </c>
      <c r="E74" s="28" t="str">
        <f>B.Frontend!J14</f>
        <v>precustoms.component.less</v>
      </c>
      <c r="F74" s="28" t="str">
        <f>B.Frontend!K14</f>
        <v>create-or-edit-precustoms-modal.component.html</v>
      </c>
      <c r="G74" s="28" t="str">
        <f>B.Frontend!L14</f>
        <v>create-or-edit-precustoms-modal.component.ts</v>
      </c>
      <c r="H74" s="28" t="str">
        <f>B.Frontend!M14</f>
        <v>create-or-edit-precustoms-modal.component.less</v>
      </c>
      <c r="I74" s="28" t="str">
        <f>B.Frontend!N14</f>
        <v>precustoms.module.ts</v>
      </c>
      <c r="J74" s="28" t="str">
        <f>B.Frontend!O14</f>
        <v>precustoms-routing.module.ts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InvCkdPreCustomsDto, InvCkdPreCustomsServiceProxy } from '@shared/service-proxies/service-proxies';
import { finalize } from 'rxjs/internal/operators/finalize';
import { CreateOrEditPreCustomsModalComponent } from './create-or-edit-precustoms-modal.component';
import { DatePipe } from '@angular/common';
import { FileDownloadService } from '@shared/utils/file-download.service';
import ceil from 'lodash-es/ceil';
import { Paginator } from 'primeng/paginator';
@Component({
    templateUrl: './precustoms.component.html',
    styleUrls: ['./precustoms.component.less'],
})
export class PreCustomsComponent extends AppComponentBase implements OnInit {
    @ViewChild('createOrEditModalPreCustoms', { static: true }) createOrEditModalPreCustoms:| CreateOrEditPreCustomsModalComponent|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InvCkdPreCustomsDto = new InvCkdPreCustomsDto();
    saveSelectedRow: InvCkdPreCustomsDto = new InvCkdPreCustomsDto();
    datas: InvCkdPreCustomsDto = new InvCkdPreCustomsDto();
    isLoading: boolean = false;
    dataParams: GridParams | undefined;
    rowData: any[] = [];
    gridApi!: GridApi;
    rowSelection = 'multiple';
    filter: string = '';
	pipe = new DatePipe('en-US');
	frameworkComponents: FrameworkComponent;
    	billofladingNo : string = '' ; 
	totaltaxCept
	totaltaxNoncept
	totalvatCept
	totalvatNoncept
	totalcifCept
	totalcifNoncept
	status : string = '' ; 
	ordertypeCode : string = '' ; 
	updatedDate
	groupId
	isvnaccs
	groupParentId
	declareType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InvCkdPreCustomsServiceProxy,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this.l('Billoflading No'),headerTooltip: this.l('Billoflading No'),field: 'billofladingNo',flex: 1},
			{headerName: this.l('Totaltax Cept'),headerTooltip: this.l('Totaltax Cept'),field: 'totaltaxCept',flex: 1},
			{headerName: this.l('Totaltax Noncept'),headerTooltip: this.l('Totaltax Noncept'),field: 'totaltaxNoncept',flex: 1},
			{headerName: this.l('Totalvat Cept'),headerTooltip: this.l('Totalvat Cept'),field: 'totalvatCept',flex: 1},
			{headerName: this.l('Totalvat Noncept'),headerTooltip: this.l('Totalvat Noncept'),field: 'totalvatNoncept',flex: 1},
			{headerName: this.l('Totalcif Cept'),headerTooltip: this.l('Totalcif Cept'),field: 'totalcifCept',flex: 1},
			{headerName: this.l('Totalcif Noncept'),headerTooltip: this.l('Totalcif Noncept'),field: 'totalcifNoncept',flex: 1},
			{headerName: this.l('Status'),headerTooltip: this.l('Status'),field: 'status',flex: 1},
			{headerName: this.l('Ordertype Code'),headerTooltip: this.l('Ordertype Code'),field: 'ordertypeCode',flex: 1},
			{headerName: this.l('Updated Date'),headerTooltip: this.l('Updated Date'),field: 'updatedDate',flex: 1},
			{headerName: this.l('Group Id'),headerTooltip: this.l('Group Id'),field: 'groupId',flex: 1},
			{headerName: this.l('Isvnaccs'),headerTooltip: this.l('Isvnaccs'),field: 'isvnaccs',flex: 1},
			{headerName: this.l('Group Parent Id'),headerTooltip: this.l('Group Parent Id'),field: 'groupParentId',flex: 1},
			{headerName: this.l('Declare Type'),headerTooltip: this.l('Declare Type'),field: 'declareType',flex: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this.billofladingNo = '',
		this.totaltaxCept = '',
		this.totaltaxNoncept = '',
		this.totalvatCept = '',
		this.totalvatNoncept = '',
		this.totalcifCept = '',
		this.totalcifNoncept = '',
		this.status = '',
		this.ordertypeCode = '',
		this.updatedDate = '',
		this.groupId = '',
		this.isvnaccs = '',
		this.groupParentId = '',
		this.declareType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
			'',
            this.paginationParams.skipCount,
            this.paginationParams.pageSize
        );
    }
    onChangeRowSelection(params: { api: { getSelectedRows: () =&gt; InvCkdPreCustomsDto[] } }) {
        this.saveSelectedRow = params.api.getSelectedRows()[0] ?? new InvCkdPreCustomsDto();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InvCkdPreCustomsDto):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this._service.getPreCustomsToExcel(
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Pre Customs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[(ngModel)]='declareType' name='declareType'
									class='form-control' [placeholder]="l('Declare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(click)="createOrEditModalPreCustoms.show()"&gt;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(click)="createOrEditModalPreCustoms.show(selectedRow)"&gt;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&lt;create-or-edit-precustoms-modal
    #createOrEditModalPreCustoms
    (modalSave)="callBackDataGrid(dataParams)"
    (modalClose)="onChangeRowSelection(dataParams)"
&gt;
&lt;/create-or-edit-precustoms-modal&gt;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#createOrEditModalPreCustoms="bs-modal"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PreCustoms')}}&lt;/h3&gt;
                    &lt;h3 *ngIf="!rowdata.id"&gt;{{('Create New PreCustoms')}}&lt;/h3&gt;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title'&gt;Declare Type&lt;/label&gt;
						&lt;input type='text' class='col-md-10 form-control input-text' name='DeclareType' [(ngModel)]='rowdata.declareType'&gt;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CreateOrEditInvCkdPreCustomsDto, InvCkdPreCustomsServiceProxy } from '@shared/service-proxies/service-proxies';
import { BsDatepickerDirective } from 'ngx-bootstrap/datepicker';
@Component({
    selector: 'create-or-edit-precustoms-modal',
    templateUrl: './create-or-edit-precustoms-modal.component.html',
    styleUrls: ['./create-or-edit-precustoms-modal.component.less']
    })
export class CreateOrEditPreCustomsModalComponent extends AppComponentBase {
    @ViewChild('createOrEditModalPreCustoms',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CreateOrEditInvCkdPreCustomsDto = new CreateOrEditInvCkdPreCustomsDto();
    active: boolean = false;
    saving: boolean = false;
    _isActive: boolean;
    constructor(
        injector: Injector,
        private _mstwptPreCustomsService: InvCkdPreCustomsServiceProxy,
    ) 
    {
        super(injector);
    }
    show(rowdata?: CreateOrEditInvCkdPreCustomsDto): void {
        if (!rowdata) this.rowdata = new CreateOrEditInvCkdPreCustomsDto();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this._mstwptPreCustomsService.createOrEdit(this.rowdata)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PreCustomsRoutingModule } from './precustoms-routing.module';
import { PreCustomsComponent } from './precustoms.component';
import { CreateOrEditPreCustomsModalComponent } from './create-or-edit-precustoms-modal.component';
@NgModule({
    declarations: [
       PreCustomsComponent, 
        CreateOrEditPreCustomsModalComponent
    ],
    imports: [
        AppSharedModule, PreCustomsRoutingModule]
})
export class PreCustomsModule {}</v>
      </c>
      <c r="J75" s="46" t="str">
        <f>B.Frontend!O10</f>
        <v>import {NgModule} from '@angular/core';
import {RouterModule, Routes} from '@angular/router';
import { PreCustomsComponent } from './precustoms.component';
const routes: Routes = [{
    path: '',
    component: PreCustomsComponent,
    pathMatch: 'full'
}];
@NgModule({
    imports: [RouterModule.forChild(routes)],
    exports: [RouterModule],
})
export class PreCustomsRoutingModule {}</v>
      </c>
      <c r="K75" s="46" t="str">
        <f>B.Frontend!P10</f>
        <v xml:space="preserve"> new AppMenuItem("PreCustoms", "Pages.Inventory.CKD.PreCustoms", "flaticon-book",   "/app/main/inventory/ckd/precustoms"),</v>
      </c>
      <c r="L75" s="47" t="str">
        <f>B.Frontend!Q10</f>
        <v>{
    path: 'inventory/ckd/precustoms',
    loadChildren: () =&gt; import('./inventory/ckd/precustoms/precustoms.module').then(m =&gt; m.PreCustomsModule),
    data: { permission: 'Pages.Inventory.CKD.PreCustoms' }
},</v>
      </c>
      <c r="M75" s="45" t="str">
        <f>B.Frontend!R10</f>
        <v>ApiServiceProxies.InvCkdPreCustomsServiceProxy,</v>
      </c>
    </row>
    <row r="77" spans="2:14" x14ac:dyDescent="0.3">
      <c r="B77" s="1" t="s">
        <v>72</v>
      </c>
    </row>
    <row r="78" spans="2:14" x14ac:dyDescent="0.3">
      <c r="B78" s="1" t="s">
        <v>380</v>
      </c>
      <c r="C78" s="1" t="s">
        <v>381</v>
      </c>
      <c r="D78" s="1" t="s">
        <v>382</v>
      </c>
      <c r="E78" s="1"/>
      <c r="F78" s="1"/>
    </row>
    <row r="79" spans="2:14" x14ac:dyDescent="0.3">
      <c r="C79" t="s">
        <v>384</v>
      </c>
      <c r="D79" t="s">
        <v>383</v>
      </c>
      <c r="E79" s="1"/>
    </row>
    <row r="80" spans="2:14" x14ac:dyDescent="0.3">
      <c r="C80" t="s">
        <v>385</v>
      </c>
      <c r="D80" t="s">
        <v>383</v>
      </c>
    </row>
    <row r="81" spans="2:22" x14ac:dyDescent="0.3">
      <c r="B81" s="1" t="s">
        <v>408</v>
      </c>
      <c r="E81" s="1" t="s">
        <v>415</v>
      </c>
    </row>
    <row r="82" spans="2:22" x14ac:dyDescent="0.3">
      <c r="C82" s="1" t="s">
        <v>386</v>
      </c>
      <c r="D82" s="1" t="s">
        <v>387</v>
      </c>
      <c r="E82" s="1" t="s">
        <v>388</v>
      </c>
      <c r="F82" s="1" t="s">
        <v>394</v>
      </c>
      <c r="G82" s="1" t="s">
        <v>395</v>
      </c>
      <c r="H82" s="1" t="s">
        <v>389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2:22" x14ac:dyDescent="0.3">
      <c r="H83" t="s">
        <v>392</v>
      </c>
    </row>
    <row r="84" spans="2:22" x14ac:dyDescent="0.3">
      <c r="B84" s="1" t="s">
        <v>393</v>
      </c>
      <c r="E84" s="1" t="s">
        <v>414</v>
      </c>
    </row>
    <row r="85" spans="2:22" x14ac:dyDescent="0.3">
      <c r="C85" s="1" t="s">
        <v>386</v>
      </c>
      <c r="D85" s="1" t="s">
        <v>397</v>
      </c>
      <c r="E85" s="1" t="s">
        <v>385</v>
      </c>
      <c r="F85" s="1" t="s">
        <v>401</v>
      </c>
      <c r="G85" s="1" t="s">
        <v>409</v>
      </c>
      <c r="H85" s="1" t="s">
        <v>410</v>
      </c>
      <c r="I85" s="1" t="s">
        <v>411</v>
      </c>
      <c r="J85" s="1" t="s">
        <v>412</v>
      </c>
      <c r="K85" s="1" t="s">
        <v>389</v>
      </c>
      <c r="L85" s="1"/>
      <c r="M85" s="1"/>
    </row>
    <row r="87" spans="2:22" x14ac:dyDescent="0.3">
      <c r="B87" s="1" t="s">
        <v>413</v>
      </c>
      <c r="E87" s="1" t="s">
        <v>416</v>
      </c>
    </row>
    <row r="88" spans="2:22" x14ac:dyDescent="0.3">
      <c r="C88" s="1" t="s">
        <v>386</v>
      </c>
      <c r="D88" s="1" t="s">
        <v>385</v>
      </c>
      <c r="E88" s="1" t="s">
        <v>396</v>
      </c>
      <c r="F88" s="1" t="s">
        <v>397</v>
      </c>
      <c r="G88" s="1" t="s">
        <v>398</v>
      </c>
      <c r="H88" s="1" t="s">
        <v>399</v>
      </c>
      <c r="I88" s="1" t="s">
        <v>400</v>
      </c>
      <c r="J88" s="1" t="s">
        <v>401</v>
      </c>
      <c r="K88" s="1" t="s">
        <v>402</v>
      </c>
      <c r="L88" s="1" t="s">
        <v>403</v>
      </c>
      <c r="M88" s="1" t="s">
        <v>404</v>
      </c>
      <c r="N88" s="1" t="s">
        <v>417</v>
      </c>
      <c r="O88" s="1" t="s">
        <v>390</v>
      </c>
      <c r="P88" s="1" t="s">
        <v>391</v>
      </c>
      <c r="Q88" s="1" t="s">
        <v>405</v>
      </c>
      <c r="R88" s="1" t="s">
        <v>406</v>
      </c>
    </row>
    <row r="89" spans="2:22" x14ac:dyDescent="0.3">
      <c r="I89" t="s">
        <v>407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workbookViewId="0">
      <pane xSplit="1" topLeftCell="B1" activePane="topRight" state="frozen"/>
      <selection pane="topRight" activeCell="C12" sqref="C12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377</v>
      </c>
      <c r="C3" s="9" t="s">
        <v>41</v>
      </c>
      <c r="D3" s="9" t="s">
        <v>42</v>
      </c>
      <c r="E3" s="9" t="s">
        <v>37</v>
      </c>
      <c r="F3" s="10" t="str">
        <f>"J"&amp;COUNTA($A:$A)</f>
        <v>J23</v>
      </c>
      <c r="G3" s="4" t="s">
        <v>54</v>
      </c>
      <c r="H3" s="9" t="str">
        <f>"I"&amp;COUNTA($A:$A)</f>
        <v>I23</v>
      </c>
      <c r="I3" s="9" t="str">
        <f>REPT(CHAR(9),2)&amp;"[Required]"&amp;"
"</f>
        <v xml:space="preserve">		[Required]
</v>
      </c>
      <c r="J3" s="10" t="str">
        <f>"L"&amp;COUNTA($A:$A)</f>
        <v>L23</v>
      </c>
      <c r="K3" s="5" t="s">
        <v>53</v>
      </c>
      <c r="L3" s="10" t="str">
        <f>"M"&amp;COUNTA($A:$A)</f>
        <v>M23</v>
      </c>
      <c r="M3" s="10" t="str">
        <f>"N"&amp;COUNTA($A:$A)</f>
        <v>N23</v>
      </c>
      <c r="N3" s="10" t="str">
        <f>"O"&amp;COUNTA($A:$A)</f>
        <v>O23</v>
      </c>
      <c r="O3" s="10" t="str">
        <f>"P"&amp;COUNTA($A:$A)</f>
        <v>P23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InvCkdPreCustomsExportInput{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T23</v>
      </c>
      <c r="V3" s="10" t="str">
        <f>"V"&amp;COUNTA($A:$A)</f>
        <v>V23</v>
      </c>
      <c r="W3" s="9" t="str">
        <f>"W"&amp;COUNTA($A:$A)</f>
        <v>W23</v>
      </c>
    </row>
    <row r="4" spans="1:23" s="10" customFormat="1" ht="33" customHeight="1" x14ac:dyDescent="0.3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378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InvCkdPreCustoms: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InvCkdPreCustomsConsts	
	{
</v>
      </c>
      <c r="F6" s="10" t="str">
        <f>REPT(CHAR(9),1)&amp;"public class "&amp;B3&amp;"Dto"&amp;K3&amp;REPT(CHAR(9),1)&amp;"
"&amp;REPT(CHAR(9),1)&amp;C3</f>
        <v xml:space="preserve">	public class InvCkdPreCustomsDto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CreateOrEditInvCkdPreCustomsDto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GetInvCkdPreCustomsInput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InvCkdPreCustoms</v>
      </c>
      <c r="C7" s="10" t="str">
        <f>REPT(CHAR(9),1)&amp;"[Table("""&amp;B7&amp;""")]"&amp;"
"</f>
        <v xml:space="preserve">	[Table("InvCkdPreCustoms")]
</v>
      </c>
      <c r="D7" s="10"/>
      <c r="E7" s="10"/>
      <c r="F7" s="10"/>
      <c r="G7" s="10"/>
      <c r="H7" s="10"/>
      <c r="I7" s="10"/>
      <c r="J7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[Table("InvCkdPreCustoms")]
	public class InvCkdPreCustoms: FullAuditedEntity&lt;long&gt;, IEntity&lt;long&gt;	
	{
		public const int MaxBillofladingNoLength = 20;
		public const int MaxStatusLength = 4;
		public const int MaxOrdertypeCodeLength = 2;
		public const int MaxDeclareTypeLength = 10;
		public const int MaxIsActiveLength = 1;
		[StringLength(MaxBillofladingNoLength)]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[StringLength(MaxStatusLength)]
		public virtual string Status { get; set; }
		[StringLength(MaxOrdertypeCodeLength)]
		public virtual string OrdertypeCode { get; set; }
		public virtual DateTime? UpdatedDate { get; set; }
		public virtual long? GroupId { get; set; }
		public virtual int? Isvnaccs { get; set; }
		public virtual long? GroupParentId { get; set; }
		[StringLength(MaxDeclareTypeLength)]
		public virtual string DeclareType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DbSet&lt;InvCkdPreCustoms&gt; InvCkdPreCustomss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prod.Inventory.CKD
{
	public class InvCkdPreCustomsConsts	
	{
		public const int MaxBillofladingNoLength = 20;
		public const int MaxStatusLength = 4;
		public const int MaxOrdertypeCodeLength = 2;
		public const int MaxDeclareTypeLength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prod.Inventory.CKD.Dto
{
	public class InvCkdPreCustomsDto : EntityDto&lt;long?&gt;	
	{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public virtual string Status { get; set; }
		public virtual string OrdertypeCode { get; set; }
		public virtual DateTime? UpdatedDate { get; set; }
		public virtual long? GroupId { get; set; }
		public virtual int? Isvnaccs { get; set; }
		public virtual long? GroupParentId { get; set; }
		public virtual string DeclareType { get; set; }
		public virtual string IsActive { get; set; }
	}
	public class CreateOrEditInvCkdPreCustomsDto : EntityDto&lt;long?&gt;	
	{
		[StringLength(InvCkdPreCustomsConsts.MaxBillofladingNoLength)]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[StringLength(InvCkdPreCustomsConsts.MaxStatusLength)]
		public virtual string Status { get; set; }
		[StringLength(InvCkdPreCustomsConsts.MaxOrdertypeCodeLength)]
		public virtual string OrdertypeCode { get; set; }
		public virtual DateTime? UpdatedDate { get; set; }
		public virtual long? GroupId { get; set; }
		public virtual int? Isvnaccs { get; set; }
		public virtual long? GroupParentId { get; set; }
		[StringLength(InvCkdPreCustomsConsts.MaxDeclareTypeLength)]
		public virtual string DeclareType { get; set; }
		[StringLength(InvCkdPreCustomsConsts.MaxIsActiveLength)]
		public virtual string IsActive { get; set; }
	}
	public class GetInvCkdPreCustomsInput : PagedAndSortedResultRequestDto	
	{
		public virtual string BillofladingNo { get; set; }
		public virtual string Status { get; set; }
		public virtual string OrdertypeCode { get; set; }
		public virtual string DeclareType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perInvCkdPreCustoms = PARENTS.CreateChildPermission(AppPermissions.Pages_Inventory_CKD_PreCustoms, L( "InventoryCKDPreCustoms"), multiTenancySides: MultiTenancySides.Tenant);
		perInvCkdPreCustoms.CreateChildPermission(AppPermissions.Pages_Inventory_CKD_PreCustoms_CreateEdit, L( "InventoryCKDPreCustomsCreateEdit"), multiTenancySides: MultiTenancySides.Tenant);
		perInvCkdPreCustoms.CreateChildPermission(AppPermissions.Pages_Inventory_CKD_PreCustoms_Delete, L( "InventoryCKDPreCustomsDelete"),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Pages_Inventory_CKD_PreCustoms = "Pages.Inventory.CKD.PreCustoms";
		public const string Pages_Inventory_CKD_PreCustoms_CreateEdit = "Pages.Inventory.CKD.PreCustoms.CreateEdit";
		public const string Pages_Inventory_CKD_PreCustoms_Delete = "Pages.Inventory.CKD.PreCustoms.Delete";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IInvCkdPreCustomsAppService : IApplicationService
	{
		Task&lt;PagedResultDto&lt;InvCkdPreCustomsDto&gt;&gt; GetAll(GetInvCkdPreCustomsInput input);
		Task CreateOrEdit(CreateOrEditInvCkdPreCustomsDto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[AbpAuthorize(AppPermissions.Pages_Inventory_CKD_PreCustoms)]
    public class InvCkdPreCustomsAppService : vovinaAppServiceBase, IInvCkdPreCustomsAppService
    {
        private readonly IDapperRepository&lt;InvCkdPreCustoms, long&gt; _dapperRepo;
        private readonly IRepository&lt;InvCkdPreCustoms, long&gt; _repo;
        private readonly IInvCkdPreCustomsExcelExporter _calendarListExcelExporter;
        public InvCkdPreCustomsAppService(IRepository&lt;InvCkdPreCustoms,long&gt; repo, 
                                         IDapperRepository&lt;InvCkdPreCustoms,long&gt; dapperRepo,
                                        IInvCkdPreCustomsExcelExporter calendarListExcelExporter
            )
        {
            _repo = repo;
            _dapperRepo = dapperRepo;
            _calendarListExcelExporter = calendarListExcelExporter;
        }
        [AbpAuthorize(AppPermissions.Pages_Inventory_CKD_PreCustoms_CreateEdit)]
        public async Task CreateOrEdit(CreateOrEditInvCkdPreCustomsDto input)
        {
            if (input.Id == null) await Create(input);
            else await Update(input);
        }
        //CREATE
        private async Task Create(CreateOrEditInvCkdPreCustomsDto input)
        {          
            var mainObj = ObjectMapper.Map&lt;InvCkdPreCustoms&gt;(input);
            await CurrentUnitOfWork.GetDbContext&lt;vovinaDbContext&gt;().AddAsync(mainObj);
        }
        // EDIT
        private async Task Update(CreateOrEditInvCkdPreCustomsDto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[AbpAuthorize(AppPermissions.Pages_Inventory_CKD_PreCustoms_Delete)]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Task&lt;PagedResultDto&lt;InvCkdPreCustomsDto&gt;&gt; GetAll(GetInvCkdPreCustomsInput input)
        {
            var filtered = _repo.GetAll()
				.WhereIf(!string.IsNullOrWhiteSpace(input.BillofladingNo), e =&gt; e.BillofladingNo.Contains(input.BillofladingNo))
				.WhereIf(!string.IsNullOrWhiteSpace(input.Status), e =&gt; e.Status.Contains(input.Status))
				.WhereIf(!string.IsNullOrWhiteSpace(input.OrdertypeCode), e =&gt; e.OrdertypeCode.Contains(input.OrdertypeCode))
				.WhereIf(!string.IsNullOrWhiteSpace(input.DeclareType), e =&gt; e.DeclareType.Contains(input.DeclareType))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InvCkdPreCustomsDto
                        {
							Id = o.Id,
							BillofladingNo = o.BillofladingNo,
							TotaltaxCept = o.TotaltaxCept,
							TotaltaxNoncept = o.TotaltaxNoncept,
							TotalvatCept = o.TotalvatCept,
							TotalvatNoncept = o.TotalvatNoncept,
							TotalcifCept = o.TotalcifCept,
							TotalcifNoncept = o.TotalcifNoncept,
							Status = o.Status,
							OrdertypeCode = o.OrdertypeCode,
							UpdatedDate = o.UpdatedDate,
							GroupId = o.GroupId,
							Isvnaccs = o.Isvnaccs,
							GroupParentId = o.GroupParentId,
							DeclareType = o.DeclareType,
							IsActive = o.IsActive,
                        };
            var totalCount = await filtered.CountAsync();
			var paged = system.PageBy(input);
            return new PagedResultDto&lt;InvCkdPreCustomsDto&gt;(
                totalCount,
                 await paged.ToListAsync()
            );
        }
        public async Task&lt;FileDto&gt; GetPreCustomsToExcel(InvCkdPreCustomsExportInput input)
        {
            var query = from o in _repo.GetAll()
                        select new InvCkdPreCustomsDto
                        {
							Id = o.Id,
							BillofladingNo = o.BillofladingNo,
							TotaltaxCept = o.TotaltaxCept,
							TotaltaxNoncept = o.TotaltaxNoncept,
							TotalvatCept = o.TotalvatCept,
							TotalvatNoncept = o.TotalvatNoncept,
							TotalcifCept = o.TotalcifCept,
							TotalcifNoncept = o.TotalcifNoncept,
							Status = o.Status,
							OrdertypeCode = o.OrdertypeCode,
							UpdatedDate = o.UpdatedDate,
							GroupId = o.GroupId,
							Isvnaccs = o.Isvnaccs,
							GroupParentId = o.GroupParentId,
							DeclareType = o.DeclareType,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_dapperRepo.ExecuteAsync(InvCkdPreCustomsConsts.SP_MST_WPT_CALENDAR_GENERATE);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prod.Inventory.CKD.Dto
{
	public class InvCkdPreCustomsExportInput{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public virtual string Status { get; set; }
		public virtual string OrdertypeCode { get; set; }
		public virtual DateTime? UpdatedDate { get; set; }
		public virtual long? GroupId { get; set; }
		public virtual int? Isvnaccs { get; set; }
		public virtual long? GroupParentId { get; set; }
		public virtual string DeclareType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IInvCkdPreCustomsExcelExporter : IApplicationService
	{
		FileDto ExportToFile(List&lt;InvCkdPreCustomsDto&gt; invckdprecustoms);
	}
}
</v>
      </c>
      <c r="T7" s="26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InvCkdPreCustomsExcelExporter : NpoiExcelExporterBase, IInvCkdPreCustomsExcelExporter
    {
        public InvCkdPreCustomsExcelExporter(ITempFileCacheManager tempFileCacheManager) : base(tempFileCacheManager) { }
        public FileDto ExportToFile(List&lt;InvCkdPreCustomsDto&gt; precustoms)
        {
            return CreateExcelPackage(
				"InventoryCKDPreCustoms.xlsx",
				excelPackage =&gt;
				 {
					var sheet = excelPackage.CreateSheet("PreCustoms");
					AddHeader(
								sheet,
								("BillofladingNo"),
								("TotaltaxCept"),
								("TotaltaxNoncept"),
								("TotalvatCept"),
								("TotalvatNoncept"),
								("TotalcifCept"),
								("TotalcifNoncept"),
								("Status"),
								("OrdertypeCode"),
								("UpdatedDate"),
								("GroupId"),
								("Isvnaccs"),
								("GroupParentId"),
								("DeclareType"),
								("IsActive"),
							   );
					AddObjects(
						 sheet, 1, precustoms,                                       
								_ =&gt; _.BillofladingNo,
								_ =&gt; _.TotaltaxCept,
								_ =&gt; _.TotaltaxNoncept,
								_ =&gt; _.TotalvatCept,
								_ =&gt; _.TotalvatNoncept,
								_ =&gt; _.TotalcifCept,
								_ =&gt; _.TotalcifNoncept,
								_ =&gt; _.Status,
								_ =&gt; _.OrdertypeCode,
								_ =&gt; _.UpdatedDate,
								_ =&gt; _.GroupId,
								_ =&gt; _.Isvnaccs,
								_ =&gt; _.GroupParentId,
								_ =&gt; _.DeclareType,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configuration.CreateMap&lt;InvCkdPreCustomsDto, InvCkdPreCustoms&gt;();
  configuration.CreateMap&lt;InvCkdPreCustoms, InvCkdPreCustomsDto&gt;();
  configuration.CreateMap&lt;CreateOrEditInvCkdPreCustomsDto, InvCkdPreCustoms&gt;();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364</v>
      </c>
      <c r="B9" t="s">
        <v>361</v>
      </c>
      <c r="C9" t="s">
        <v>1</v>
      </c>
      <c r="D9" t="str">
        <f t="shared" ref="D9" si="0">SUBSTITUTE(PROPER(A9),"_","")</f>
        <v>BillofladingNo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MaxBillofladingNoLength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[StringLength(MaxBillofladingNoLength)]
		public virtual string BillofladingNo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BillofladingNo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[StringLength(InvCkdPreCustomsConsts.MaxBillofladingNoLength)]
		public virtual string BillofladingNo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BillofladingNo { get; set; }
</v>
      </c>
      <c r="P9" t="str">
        <f t="shared" ref="P9" si="9">REPT(CHAR(9),7)&amp;D9&amp;" = o." &amp;D9 &amp;","</f>
        <v xml:space="preserve">							BillofladingNo = o.BillofladingNo,</v>
      </c>
      <c r="T9" s="63" t="str">
        <f t="shared" ref="T9" si="10">REPT(CHAR(9),8)&amp;"("""&amp;D9&amp;"""),"</f>
        <v xml:space="preserve">								("BillofladingNo"),</v>
      </c>
      <c r="V9" s="64" t="str">
        <f t="shared" ref="V9" si="11">REPT(CHAR(9),8)&amp;"_ =&gt; _."&amp;D9&amp;","</f>
        <v xml:space="preserve">								_ =&gt; _.BillofladingNo,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.WhereIf(!string.IsNullOrWhiteSpace(input.BillofladingNo), e =&gt; e.BillofladingNo.Contains(input.BillofladingNo))</v>
      </c>
    </row>
    <row r="10" spans="1:23" customFormat="1" ht="18.75" customHeight="1" x14ac:dyDescent="0.3">
      <c r="A10" t="s">
        <v>365</v>
      </c>
      <c r="B10" t="s">
        <v>359</v>
      </c>
      <c r="C10" t="s">
        <v>1</v>
      </c>
      <c r="D10" t="str">
        <f t="shared" ref="D10:D11" si="13">SUBSTITUTE(PROPER(A10),"_","")</f>
        <v>TotaltaxCept</v>
      </c>
      <c r="E10" t="str">
        <f t="shared" ref="E10:E11" si="14">IFERROR(LEFT(B10, FIND("(",B10)-1),B10)</f>
        <v>DECIMAL</v>
      </c>
      <c r="F10" s="6"/>
      <c r="G10" t="str">
        <f t="shared" ref="G10:G11" si="15">IFERROR(MID(B10,FIND("(",B10) +1, FIND(")",B10) - FIND("(",B10) - 1),"")</f>
        <v>18,5</v>
      </c>
      <c r="H10" t="str">
        <f>+VLOOKUP(E10,'Data Type Mapping'!A:B,2,)</f>
        <v>decimal?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decimal? TotaltaxCept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decimal? TotaltaxCept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decimal? TotaltaxCept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TotaltaxCept = o.TotaltaxCept,</v>
      </c>
      <c r="T10" s="63" t="str">
        <f t="shared" ref="T10:T11" si="23">REPT(CHAR(9),8)&amp;"("""&amp;D10&amp;"""),"</f>
        <v xml:space="preserve">								("TotaltaxCept"),</v>
      </c>
      <c r="V10" s="64" t="str">
        <f t="shared" ref="V10:V11" si="24">REPT(CHAR(9),8)&amp;"_ =&gt; _."&amp;D10&amp;","</f>
        <v xml:space="preserve">								_ =&gt; _.TotaltaxCept,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">
      <c r="A11" t="s">
        <v>366</v>
      </c>
      <c r="B11" t="s">
        <v>359</v>
      </c>
      <c r="C11" t="s">
        <v>1</v>
      </c>
      <c r="D11" t="str">
        <f t="shared" si="13"/>
        <v>TotaltaxNoncept</v>
      </c>
      <c r="E11" t="str">
        <f t="shared" si="14"/>
        <v>DECIMAL</v>
      </c>
      <c r="F11" s="6"/>
      <c r="G11" t="str">
        <f t="shared" si="15"/>
        <v>18,5</v>
      </c>
      <c r="H11" t="str">
        <f>+VLOOKUP(E11,'Data Type Mapping'!A:B,2,)</f>
        <v>decimal?</v>
      </c>
      <c r="I11" t="str">
        <f t="shared" si="16"/>
        <v/>
      </c>
      <c r="J11" t="str">
        <f t="shared" si="17"/>
        <v xml:space="preserve">		public virtual decimal? TotaltaxNoncept { get; set; }
</v>
      </c>
      <c r="K11" s="6"/>
      <c r="L11" t="str">
        <f t="shared" si="18"/>
        <v/>
      </c>
      <c r="M11" t="str">
        <f t="shared" si="19"/>
        <v xml:space="preserve">		public virtual decimal? TotaltaxNoncept { get; set; }
</v>
      </c>
      <c r="N11" t="str">
        <f t="shared" si="20"/>
        <v xml:space="preserve">		public virtual decimal? TotaltaxNoncept { get; set; }
</v>
      </c>
      <c r="O11" t="str">
        <f t="shared" si="21"/>
        <v/>
      </c>
      <c r="P11" t="str">
        <f t="shared" si="22"/>
        <v xml:space="preserve">							TotaltaxNoncept = o.TotaltaxNoncept,</v>
      </c>
      <c r="T11" s="63" t="str">
        <f t="shared" si="23"/>
        <v xml:space="preserve">								("TotaltaxNoncept"),</v>
      </c>
      <c r="V11" s="64" t="str">
        <f t="shared" si="24"/>
        <v xml:space="preserve">								_ =&gt; _.TotaltaxNoncept,</v>
      </c>
      <c r="W11" s="63" t="str">
        <f t="shared" si="25"/>
        <v/>
      </c>
    </row>
    <row r="12" spans="1:23" customFormat="1" ht="18.75" customHeight="1" x14ac:dyDescent="0.3">
      <c r="A12" t="s">
        <v>367</v>
      </c>
      <c r="B12" t="s">
        <v>359</v>
      </c>
      <c r="C12" t="s">
        <v>1</v>
      </c>
      <c r="D12" t="str">
        <f t="shared" ref="D12:D15" si="26">SUBSTITUTE(PROPER(A12),"_","")</f>
        <v>TotalvatCept</v>
      </c>
      <c r="E12" t="str">
        <f t="shared" ref="E12:E15" si="27">IFERROR(LEFT(B12, FIND("(",B12)-1),B12)</f>
        <v>DECIMAL</v>
      </c>
      <c r="F12" s="6"/>
      <c r="G12" t="str">
        <f t="shared" ref="G12:G15" si="28">IFERROR(MID(B12,FIND("(",B12) +1, FIND(")",B12) - FIND("(",B12) - 1),"")</f>
        <v>18,5</v>
      </c>
      <c r="H12" t="str">
        <f>+VLOOKUP(E12,'Data Type Mapping'!A:B,2,)</f>
        <v>decimal?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decimal? TotalvatCept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decimal? TotalvatCept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decimal? TotalvatCept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TotalvatCept = o.TotalvatCept,</v>
      </c>
      <c r="T12" s="63" t="str">
        <f t="shared" ref="T12:T15" si="36">REPT(CHAR(9),8)&amp;"("""&amp;D12&amp;"""),"</f>
        <v xml:space="preserve">								("TotalvatCept"),</v>
      </c>
      <c r="V12" s="64" t="str">
        <f t="shared" ref="V12:V15" si="37">REPT(CHAR(9),8)&amp;"_ =&gt; _."&amp;D12&amp;","</f>
        <v xml:space="preserve">								_ =&gt; _.TotalvatCept,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">
      <c r="A13" t="s">
        <v>368</v>
      </c>
      <c r="B13" t="s">
        <v>359</v>
      </c>
      <c r="C13" t="s">
        <v>1</v>
      </c>
      <c r="D13" t="str">
        <f t="shared" si="26"/>
        <v>TotalvatNoncept</v>
      </c>
      <c r="E13" t="str">
        <f t="shared" si="27"/>
        <v>DECIMAL</v>
      </c>
      <c r="F13" s="6"/>
      <c r="G13" t="str">
        <f t="shared" si="28"/>
        <v>18,5</v>
      </c>
      <c r="H13" t="str">
        <f>+VLOOKUP(E13,'Data Type Mapping'!A:B,2,)</f>
        <v>decimal?</v>
      </c>
      <c r="I13" t="str">
        <f t="shared" si="29"/>
        <v/>
      </c>
      <c r="J13" t="str">
        <f t="shared" si="30"/>
        <v xml:space="preserve">		public virtual decimal? TotalvatNoncept { get; set; }
</v>
      </c>
      <c r="K13" s="6"/>
      <c r="L13" t="str">
        <f t="shared" si="31"/>
        <v/>
      </c>
      <c r="M13" t="str">
        <f t="shared" si="32"/>
        <v xml:space="preserve">		public virtual decimal? TotalvatNoncept { get; set; }
</v>
      </c>
      <c r="N13" t="str">
        <f t="shared" si="33"/>
        <v xml:space="preserve">		public virtual decimal? TotalvatNoncept { get; set; }
</v>
      </c>
      <c r="O13" t="str">
        <f t="shared" si="34"/>
        <v/>
      </c>
      <c r="P13" t="str">
        <f t="shared" si="35"/>
        <v xml:space="preserve">							TotalvatNoncept = o.TotalvatNoncept,</v>
      </c>
      <c r="T13" s="63" t="str">
        <f t="shared" si="36"/>
        <v xml:space="preserve">								("TotalvatNoncept"),</v>
      </c>
      <c r="V13" s="64" t="str">
        <f t="shared" si="37"/>
        <v xml:space="preserve">								_ =&gt; _.TotalvatNoncept,</v>
      </c>
      <c r="W13" s="63" t="str">
        <f t="shared" si="38"/>
        <v/>
      </c>
    </row>
    <row r="14" spans="1:23" customFormat="1" ht="18.75" customHeight="1" x14ac:dyDescent="0.3">
      <c r="A14" t="s">
        <v>369</v>
      </c>
      <c r="B14" t="s">
        <v>359</v>
      </c>
      <c r="C14" t="s">
        <v>1</v>
      </c>
      <c r="D14" t="str">
        <f t="shared" si="26"/>
        <v>TotalcifCept</v>
      </c>
      <c r="E14" t="str">
        <f t="shared" si="27"/>
        <v>DECIMAL</v>
      </c>
      <c r="F14" s="6"/>
      <c r="G14" t="str">
        <f t="shared" si="28"/>
        <v>18,5</v>
      </c>
      <c r="H14" t="str">
        <f>+VLOOKUP(E14,'Data Type Mapping'!A:B,2,)</f>
        <v>decimal?</v>
      </c>
      <c r="I14" t="str">
        <f t="shared" si="29"/>
        <v/>
      </c>
      <c r="J14" t="str">
        <f t="shared" si="30"/>
        <v xml:space="preserve">		public virtual decimal? TotalcifCept { get; set; }
</v>
      </c>
      <c r="K14" s="6"/>
      <c r="L14" t="str">
        <f t="shared" si="31"/>
        <v/>
      </c>
      <c r="M14" t="str">
        <f t="shared" si="32"/>
        <v xml:space="preserve">		public virtual decimal? TotalcifCept { get; set; }
</v>
      </c>
      <c r="N14" t="str">
        <f t="shared" si="33"/>
        <v xml:space="preserve">		public virtual decimal? TotalcifCept { get; set; }
</v>
      </c>
      <c r="O14" t="str">
        <f t="shared" si="34"/>
        <v/>
      </c>
      <c r="P14" t="str">
        <f t="shared" si="35"/>
        <v xml:space="preserve">							TotalcifCept = o.TotalcifCept,</v>
      </c>
      <c r="T14" s="63" t="str">
        <f t="shared" si="36"/>
        <v xml:space="preserve">								("TotalcifCept"),</v>
      </c>
      <c r="V14" s="64" t="str">
        <f t="shared" si="37"/>
        <v xml:space="preserve">								_ =&gt; _.TotalcifCept,</v>
      </c>
      <c r="W14" s="63" t="str">
        <f t="shared" si="38"/>
        <v/>
      </c>
    </row>
    <row r="15" spans="1:23" customFormat="1" ht="18.75" customHeight="1" x14ac:dyDescent="0.3">
      <c r="A15" t="s">
        <v>370</v>
      </c>
      <c r="B15" t="s">
        <v>359</v>
      </c>
      <c r="C15" t="s">
        <v>1</v>
      </c>
      <c r="D15" t="str">
        <f t="shared" si="26"/>
        <v>TotalcifNoncept</v>
      </c>
      <c r="E15" t="str">
        <f t="shared" si="27"/>
        <v>DECIMAL</v>
      </c>
      <c r="F15" s="6"/>
      <c r="G15" t="str">
        <f t="shared" si="28"/>
        <v>18,5</v>
      </c>
      <c r="H15" t="str">
        <f>+VLOOKUP(E15,'Data Type Mapping'!A:B,2,)</f>
        <v>decimal?</v>
      </c>
      <c r="I15" t="str">
        <f t="shared" si="29"/>
        <v/>
      </c>
      <c r="J15" t="str">
        <f t="shared" si="30"/>
        <v xml:space="preserve">		public virtual decimal? TotalcifNoncept { get; set; }
</v>
      </c>
      <c r="K15" s="6"/>
      <c r="L15" t="str">
        <f t="shared" si="31"/>
        <v/>
      </c>
      <c r="M15" t="str">
        <f t="shared" si="32"/>
        <v xml:space="preserve">		public virtual decimal? TotalcifNoncept { get; set; }
</v>
      </c>
      <c r="N15" t="str">
        <f t="shared" si="33"/>
        <v xml:space="preserve">		public virtual decimal? TotalcifNoncept { get; set; }
</v>
      </c>
      <c r="O15" t="str">
        <f t="shared" si="34"/>
        <v/>
      </c>
      <c r="P15" t="str">
        <f t="shared" si="35"/>
        <v xml:space="preserve">							TotalcifNoncept = o.TotalcifNoncept,</v>
      </c>
      <c r="T15" s="63" t="str">
        <f t="shared" si="36"/>
        <v xml:space="preserve">								("TotalcifNoncept"),</v>
      </c>
      <c r="V15" s="64" t="str">
        <f t="shared" si="37"/>
        <v xml:space="preserve">								_ =&gt; _.TotalcifNoncept,</v>
      </c>
      <c r="W15" s="63" t="str">
        <f t="shared" si="38"/>
        <v/>
      </c>
    </row>
    <row r="16" spans="1:23" customFormat="1" ht="18.75" customHeight="1" x14ac:dyDescent="0.3">
      <c r="A16" t="s">
        <v>350</v>
      </c>
      <c r="B16" t="s">
        <v>358</v>
      </c>
      <c r="C16" t="s">
        <v>1</v>
      </c>
      <c r="D16" t="str">
        <f t="shared" ref="D16:D23" si="39">SUBSTITUTE(PROPER(A16),"_","")</f>
        <v>Status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4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MaxStatusLength = 4;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[StringLength(MaxStatusLength)]
		public virtual string Status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Status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[StringLength(InvCkdPreCustomsConsts.MaxStatusLength)]
		public virtual string Status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Status { get; set; }
</v>
      </c>
      <c r="P16" t="str">
        <f t="shared" ref="P16:P23" si="48">REPT(CHAR(9),7)&amp;D16&amp;" = o." &amp;D16 &amp;","</f>
        <v xml:space="preserve">							Status = o.Status,</v>
      </c>
      <c r="T16" s="63" t="str">
        <f t="shared" ref="T16:T23" si="49">REPT(CHAR(9),8)&amp;"("""&amp;D16&amp;"""),"</f>
        <v xml:space="preserve">								("Status"),</v>
      </c>
      <c r="V16" s="64" t="str">
        <f t="shared" ref="V16:V23" si="50">REPT(CHAR(9),8)&amp;"_ =&gt; _."&amp;D16&amp;","</f>
        <v xml:space="preserve">								_ =&gt; _.Status,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.WhereIf(!string.IsNullOrWhiteSpace(input.Status), e =&gt; e.Status.Contains(input.Status))</v>
      </c>
    </row>
    <row r="17" spans="1:23" customFormat="1" ht="18.75" customHeight="1" x14ac:dyDescent="0.3">
      <c r="A17" t="s">
        <v>371</v>
      </c>
      <c r="B17" t="s">
        <v>360</v>
      </c>
      <c r="C17" t="s">
        <v>1</v>
      </c>
      <c r="D17" t="str">
        <f t="shared" si="39"/>
        <v>OrdertypeCode</v>
      </c>
      <c r="E17" t="str">
        <f t="shared" si="40"/>
        <v>VARCHAR</v>
      </c>
      <c r="F17" s="6"/>
      <c r="G17" t="str">
        <f t="shared" si="41"/>
        <v>2</v>
      </c>
      <c r="H17" t="str">
        <f>+VLOOKUP(E17,'Data Type Mapping'!A:B,2,)</f>
        <v>string</v>
      </c>
      <c r="I17" t="str">
        <f t="shared" si="42"/>
        <v xml:space="preserve">		public const int MaxOrdertypeCodeLength = 2;
</v>
      </c>
      <c r="J17" t="str">
        <f t="shared" si="43"/>
        <v xml:space="preserve">		[StringLength(MaxOrdertypeCodeLength)]
		public virtual string OrdertypeCode { get; set; }
</v>
      </c>
      <c r="K17" s="6"/>
      <c r="L17" t="str">
        <f t="shared" si="44"/>
        <v/>
      </c>
      <c r="M17" t="str">
        <f t="shared" si="45"/>
        <v xml:space="preserve">		public virtual string OrdertypeCode { get; set; }
</v>
      </c>
      <c r="N17" t="str">
        <f t="shared" si="46"/>
        <v xml:space="preserve">		[StringLength(InvCkdPreCustomsConsts.MaxOrdertypeCodeLength)]
		public virtual string OrdertypeCode { get; set; }
</v>
      </c>
      <c r="O17" t="str">
        <f t="shared" si="47"/>
        <v xml:space="preserve">		public virtual string OrdertypeCode { get; set; }
</v>
      </c>
      <c r="P17" t="str">
        <f t="shared" si="48"/>
        <v xml:space="preserve">							OrdertypeCode = o.OrdertypeCode,</v>
      </c>
      <c r="T17" s="63" t="str">
        <f t="shared" si="49"/>
        <v xml:space="preserve">								("OrdertypeCode"),</v>
      </c>
      <c r="V17" s="64" t="str">
        <f t="shared" si="50"/>
        <v xml:space="preserve">								_ =&gt; _.OrdertypeCode,</v>
      </c>
      <c r="W17" s="63" t="str">
        <f t="shared" si="51"/>
        <v xml:space="preserve">				.WhereIf(!string.IsNullOrWhiteSpace(input.OrdertypeCode), e =&gt; e.OrdertypeCode.Contains(input.OrdertypeCode))</v>
      </c>
    </row>
    <row r="18" spans="1:23" customFormat="1" ht="18.75" customHeight="1" x14ac:dyDescent="0.3">
      <c r="A18" t="s">
        <v>372</v>
      </c>
      <c r="B18" t="s">
        <v>373</v>
      </c>
      <c r="C18" t="s">
        <v>1</v>
      </c>
      <c r="D18" t="str">
        <f t="shared" si="39"/>
        <v>UpdatedDate</v>
      </c>
      <c r="E18" t="str">
        <f t="shared" si="40"/>
        <v>DATETIME2</v>
      </c>
      <c r="F18" s="6"/>
      <c r="G18" t="str">
        <f t="shared" si="41"/>
        <v/>
      </c>
      <c r="H18" t="str">
        <f>+VLOOKUP(E18,'Data Type Mapping'!A:B,2,)</f>
        <v>DateTime?</v>
      </c>
      <c r="I18" t="str">
        <f t="shared" si="42"/>
        <v/>
      </c>
      <c r="J18" t="str">
        <f t="shared" si="43"/>
        <v xml:space="preserve">		public virtual DateTime? UpdatedDate { get; set; }
</v>
      </c>
      <c r="K18" s="6"/>
      <c r="L18" t="str">
        <f t="shared" si="44"/>
        <v/>
      </c>
      <c r="M18" t="str">
        <f t="shared" si="45"/>
        <v xml:space="preserve">		public virtual DateTime? UpdatedDate { get; set; }
</v>
      </c>
      <c r="N18" t="str">
        <f t="shared" si="46"/>
        <v xml:space="preserve">		public virtual DateTime? UpdatedDate { get; set; }
</v>
      </c>
      <c r="O18" t="str">
        <f t="shared" si="47"/>
        <v/>
      </c>
      <c r="P18" t="str">
        <f t="shared" si="48"/>
        <v xml:space="preserve">							UpdatedDate = o.UpdatedDate,</v>
      </c>
      <c r="T18" s="63" t="str">
        <f t="shared" si="49"/>
        <v xml:space="preserve">								("UpdatedDate"),</v>
      </c>
      <c r="V18" s="64" t="str">
        <f t="shared" si="50"/>
        <v xml:space="preserve">								_ =&gt; _.UpdatedDate,</v>
      </c>
      <c r="W18" s="63" t="str">
        <f t="shared" si="51"/>
        <v/>
      </c>
    </row>
    <row r="19" spans="1:23" customFormat="1" ht="18.75" customHeight="1" x14ac:dyDescent="0.3">
      <c r="A19" t="s">
        <v>374</v>
      </c>
      <c r="B19" t="s">
        <v>0</v>
      </c>
      <c r="C19" t="s">
        <v>1</v>
      </c>
      <c r="D19" t="str">
        <f t="shared" si="39"/>
        <v>GroupId</v>
      </c>
      <c r="E19" t="str">
        <f t="shared" si="40"/>
        <v>bigint</v>
      </c>
      <c r="F19" s="6"/>
      <c r="G19" t="str">
        <f t="shared" si="41"/>
        <v/>
      </c>
      <c r="H19" t="str">
        <f>+VLOOKUP(E19,'Data Type Mapping'!A:B,2,)</f>
        <v>long?</v>
      </c>
      <c r="I19" t="str">
        <f t="shared" si="42"/>
        <v/>
      </c>
      <c r="J19" t="str">
        <f t="shared" si="43"/>
        <v xml:space="preserve">		public virtual long? GroupId { get; set; }
</v>
      </c>
      <c r="K19" s="6"/>
      <c r="L19" t="str">
        <f t="shared" si="44"/>
        <v/>
      </c>
      <c r="M19" t="str">
        <f t="shared" si="45"/>
        <v xml:space="preserve">		public virtual long? GroupId { get; set; }
</v>
      </c>
      <c r="N19" t="str">
        <f t="shared" si="46"/>
        <v xml:space="preserve">		public virtual long? GroupId { get; set; }
</v>
      </c>
      <c r="O19" t="str">
        <f t="shared" si="47"/>
        <v/>
      </c>
      <c r="P19" t="str">
        <f t="shared" si="48"/>
        <v xml:space="preserve">							GroupId = o.GroupId,</v>
      </c>
      <c r="T19" s="63" t="str">
        <f t="shared" si="49"/>
        <v xml:space="preserve">								("GroupId"),</v>
      </c>
      <c r="V19" s="64" t="str">
        <f t="shared" si="50"/>
        <v xml:space="preserve">								_ =&gt; _.GroupId,</v>
      </c>
      <c r="W19" s="63" t="str">
        <f t="shared" si="51"/>
        <v/>
      </c>
    </row>
    <row r="20" spans="1:23" customFormat="1" ht="18.75" customHeight="1" x14ac:dyDescent="0.3">
      <c r="A20" t="s">
        <v>375</v>
      </c>
      <c r="B20" t="s">
        <v>4</v>
      </c>
      <c r="C20" t="s">
        <v>1</v>
      </c>
      <c r="D20" t="str">
        <f t="shared" si="39"/>
        <v>Isvnaccs</v>
      </c>
      <c r="E20" t="str">
        <f t="shared" si="40"/>
        <v>int</v>
      </c>
      <c r="F20" s="6"/>
      <c r="G20" t="str">
        <f t="shared" si="41"/>
        <v/>
      </c>
      <c r="H20" t="str">
        <f>+VLOOKUP(E20,'Data Type Mapping'!A:B,2,)</f>
        <v>int?</v>
      </c>
      <c r="I20" t="str">
        <f t="shared" si="42"/>
        <v/>
      </c>
      <c r="J20" t="str">
        <f t="shared" si="43"/>
        <v xml:space="preserve">		public virtual int? Isvnaccs { get; set; }
</v>
      </c>
      <c r="K20" s="6"/>
      <c r="L20" t="str">
        <f t="shared" si="44"/>
        <v/>
      </c>
      <c r="M20" t="str">
        <f t="shared" si="45"/>
        <v xml:space="preserve">		public virtual int? Isvnaccs { get; set; }
</v>
      </c>
      <c r="N20" t="str">
        <f t="shared" si="46"/>
        <v xml:space="preserve">		public virtual int? Isvnaccs { get; set; }
</v>
      </c>
      <c r="O20" t="str">
        <f t="shared" si="47"/>
        <v/>
      </c>
      <c r="P20" t="str">
        <f t="shared" si="48"/>
        <v xml:space="preserve">							Isvnaccs = o.Isvnaccs,</v>
      </c>
      <c r="T20" s="63" t="str">
        <f t="shared" si="49"/>
        <v xml:space="preserve">								("Isvnaccs"),</v>
      </c>
      <c r="V20" s="64" t="str">
        <f t="shared" si="50"/>
        <v xml:space="preserve">								_ =&gt; _.Isvnaccs,</v>
      </c>
      <c r="W20" s="63" t="str">
        <f t="shared" si="51"/>
        <v/>
      </c>
    </row>
    <row r="21" spans="1:23" customFormat="1" ht="18.75" customHeight="1" x14ac:dyDescent="0.3">
      <c r="A21" t="s">
        <v>376</v>
      </c>
      <c r="B21" t="s">
        <v>0</v>
      </c>
      <c r="C21" t="s">
        <v>1</v>
      </c>
      <c r="D21" t="str">
        <f t="shared" si="39"/>
        <v>GroupParentId</v>
      </c>
      <c r="E21" t="str">
        <f t="shared" si="40"/>
        <v>bigint</v>
      </c>
      <c r="F21" s="6"/>
      <c r="G21" t="str">
        <f t="shared" si="41"/>
        <v/>
      </c>
      <c r="H21" t="str">
        <f>+VLOOKUP(E21,'Data Type Mapping'!A:B,2,)</f>
        <v>long?</v>
      </c>
      <c r="I21" t="str">
        <f t="shared" si="42"/>
        <v/>
      </c>
      <c r="J21" t="str">
        <f t="shared" si="43"/>
        <v xml:space="preserve">		public virtual long? GroupParentId { get; set; }
</v>
      </c>
      <c r="K21" s="6"/>
      <c r="L21" t="str">
        <f t="shared" si="44"/>
        <v/>
      </c>
      <c r="M21" t="str">
        <f t="shared" si="45"/>
        <v xml:space="preserve">		public virtual long? GroupParentId { get; set; }
</v>
      </c>
      <c r="N21" t="str">
        <f t="shared" si="46"/>
        <v xml:space="preserve">		public virtual long? GroupParentId { get; set; }
</v>
      </c>
      <c r="O21" t="str">
        <f t="shared" si="47"/>
        <v/>
      </c>
      <c r="P21" t="str">
        <f t="shared" si="48"/>
        <v xml:space="preserve">							GroupParentId = o.GroupParentId,</v>
      </c>
      <c r="T21" s="63" t="str">
        <f t="shared" si="49"/>
        <v xml:space="preserve">								("GroupParentId"),</v>
      </c>
      <c r="V21" s="64" t="str">
        <f t="shared" si="50"/>
        <v xml:space="preserve">								_ =&gt; _.GroupParentId,</v>
      </c>
      <c r="W21" s="63" t="str">
        <f t="shared" si="51"/>
        <v/>
      </c>
    </row>
    <row r="22" spans="1:23" customFormat="1" ht="18.75" customHeight="1" x14ac:dyDescent="0.3">
      <c r="A22" t="s">
        <v>362</v>
      </c>
      <c r="B22" t="s">
        <v>357</v>
      </c>
      <c r="C22" t="s">
        <v>1</v>
      </c>
      <c r="D22" t="str">
        <f t="shared" si="39"/>
        <v>DeclareType</v>
      </c>
      <c r="E22" t="str">
        <f t="shared" si="40"/>
        <v>VARCHAR</v>
      </c>
      <c r="F22" s="6"/>
      <c r="G22" t="str">
        <f t="shared" si="41"/>
        <v>10</v>
      </c>
      <c r="H22" t="str">
        <f>+VLOOKUP(E22,'Data Type Mapping'!A:B,2,)</f>
        <v>string</v>
      </c>
      <c r="I22" t="str">
        <f t="shared" si="42"/>
        <v xml:space="preserve">		public const int MaxDeclareTypeLength = 10;
</v>
      </c>
      <c r="J22" t="str">
        <f t="shared" si="43"/>
        <v xml:space="preserve">		[StringLength(MaxDeclareTypeLength)]
		public virtual string DeclareType { get; set; }
</v>
      </c>
      <c r="K22" s="6"/>
      <c r="L22" t="str">
        <f t="shared" si="44"/>
        <v/>
      </c>
      <c r="M22" t="str">
        <f t="shared" si="45"/>
        <v xml:space="preserve">		public virtual string DeclareType { get; set; }
</v>
      </c>
      <c r="N22" t="str">
        <f t="shared" si="46"/>
        <v xml:space="preserve">		[StringLength(InvCkdPreCustomsConsts.MaxDeclareTypeLength)]
		public virtual string DeclareType { get; set; }
</v>
      </c>
      <c r="O22" t="str">
        <f t="shared" si="47"/>
        <v xml:space="preserve">		public virtual string DeclareType { get; set; }
</v>
      </c>
      <c r="P22" t="str">
        <f t="shared" si="48"/>
        <v xml:space="preserve">							DeclareType = o.DeclareType,</v>
      </c>
      <c r="T22" s="63" t="str">
        <f t="shared" si="49"/>
        <v xml:space="preserve">								("DeclareType"),</v>
      </c>
      <c r="V22" s="64" t="str">
        <f t="shared" si="50"/>
        <v xml:space="preserve">								_ =&gt; _.DeclareType,</v>
      </c>
      <c r="W22" s="63" t="str">
        <f t="shared" si="51"/>
        <v xml:space="preserve">				.WhereIf(!string.IsNullOrWhiteSpace(input.DeclareType), e =&gt; e.DeclareType.Contains(input.DeclareType))</v>
      </c>
    </row>
    <row r="23" spans="1:23" customFormat="1" ht="18.75" customHeight="1" x14ac:dyDescent="0.3">
      <c r="A23" t="s">
        <v>319</v>
      </c>
      <c r="B23" t="s">
        <v>363</v>
      </c>
      <c r="C23" t="s">
        <v>1</v>
      </c>
      <c r="D23" t="str">
        <f t="shared" si="39"/>
        <v>IsActive</v>
      </c>
      <c r="E23" t="str">
        <f t="shared" si="40"/>
        <v>VARCHAR</v>
      </c>
      <c r="F23" s="6"/>
      <c r="G23" t="str">
        <f t="shared" si="41"/>
        <v>1</v>
      </c>
      <c r="H23" t="str">
        <f>+VLOOKUP(E23,'Data Type Mapping'!A:B,2,)</f>
        <v>string</v>
      </c>
      <c r="I23" t="str">
        <f t="shared" si="42"/>
        <v xml:space="preserve">		public const int MaxIsActiveLength = 1;
</v>
      </c>
      <c r="J23" t="str">
        <f t="shared" si="43"/>
        <v xml:space="preserve">		[StringLength(MaxIsActiveLength)]
		public virtual string IsActive { get; set; }
</v>
      </c>
      <c r="K23" s="6"/>
      <c r="L23" t="str">
        <f t="shared" si="44"/>
        <v/>
      </c>
      <c r="M23" t="str">
        <f t="shared" si="45"/>
        <v xml:space="preserve">		public virtual string IsActive { get; set; }
</v>
      </c>
      <c r="N23" t="str">
        <f t="shared" si="46"/>
        <v xml:space="preserve">		[StringLength(InvCkdPreCustomsConsts.MaxIsActiveLength)]
		public virtual string IsActive { get; set; }
</v>
      </c>
      <c r="O23" t="str">
        <f t="shared" si="47"/>
        <v xml:space="preserve">		public virtual string IsActive { get; set; }
</v>
      </c>
      <c r="P23" t="str">
        <f t="shared" si="48"/>
        <v xml:space="preserve">							IsActive = o.IsActive,</v>
      </c>
      <c r="T23" s="63" t="str">
        <f t="shared" si="49"/>
        <v xml:space="preserve">								("IsActive"),</v>
      </c>
      <c r="V23" s="64" t="str">
        <f t="shared" si="50"/>
        <v xml:space="preserve">								_ =&gt; _.IsActive,</v>
      </c>
      <c r="W23" s="63" t="str">
        <f t="shared" si="51"/>
        <v xml:space="preserve">				.WhereIf(!string.IsNullOrWhiteSpace(input.IsActive), e =&gt; e.IsActive.Contains(input.IsActive))</v>
      </c>
    </row>
    <row r="25" spans="1:23" ht="45.75" customHeight="1" x14ac:dyDescent="0.3">
      <c r="H25" s="11"/>
      <c r="I25" s="31" t="str">
        <f ca="1">TEXTJOIN2("
", TRUE,INDIRECT( $H$1):INDIRECT( $H$3))</f>
        <v xml:space="preserve">		public const int MaxBillofladingNoLength = 20;
		public const int MaxStatusLength = 4;
		public const int MaxOrdertypeCodeLength = 2;
		public const int MaxDeclareTypeLength = 10;
		public const int MaxIsActiveLength = 1;
</v>
      </c>
      <c r="J25" s="30" t="str">
        <f ca="1">TEXTJOIN2("
", TRUE,INDIRECT( $F$1):INDIRECT( $F$3))</f>
        <v xml:space="preserve">		[StringLength(MaxBillofladingNoLength)]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[StringLength(MaxStatusLength)]
		public virtual string Status { get; set; }
		[StringLength(MaxOrdertypeCodeLength)]
		public virtual string OrdertypeCode { get; set; }
		public virtual DateTime? UpdatedDate { get; set; }
		public virtual long? GroupId { get; set; }
		public virtual int? Isvnaccs { get; set; }
		public virtual long? GroupParentId { get; set; }
		[StringLength(MaxDeclareTypeLength)]
		public virtual string DeclareType { get; set; }
		[StringLength(MaxIsActiveLength)]
		public virtual string IsActive { get; set; }
</v>
      </c>
      <c r="K25" s="32" t="str">
        <f ca="1">TEXTJOIN2("
", TRUE,INDIRECT( $J$1):INDIRECT( $J$3))</f>
        <v/>
      </c>
      <c r="L25" s="12" t="s">
        <v>57</v>
      </c>
      <c r="M25" s="33" t="str">
        <f ca="1">TEXTJOIN2("
",TRUE,INDIRECT( $L$1):INDIRECT($L$3))</f>
        <v xml:space="preserve">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public virtual string Status { get; set; }
		public virtual string OrdertypeCode { get; set; }
		public virtual DateTime? UpdatedDate { get; set; }
		public virtual long? GroupId { get; set; }
		public virtual int? Isvnaccs { get; set; }
		public virtual long? GroupParentId { get; set; }
		public virtual string DeclareType { get; set; }
		public virtual string IsActive { get; set; }
</v>
      </c>
      <c r="N25" s="30" t="str">
        <f ca="1">TEXTJOIN2("
",TRUE,INDIRECT( $M$1):INDIRECT($M$3))</f>
        <v xml:space="preserve">		[StringLength(InvCkdPreCustomsConsts.MaxBillofladingNoLength)]
		public virtual string BillofladingNo { get; set; }
		public virtual decimal? TotaltaxCept { get; set; }
		public virtual decimal? TotaltaxNoncept { get; set; }
		public virtual decimal? TotalvatCept { get; set; }
		public virtual decimal? TotalvatNoncept { get; set; }
		public virtual decimal? TotalcifCept { get; set; }
		public virtual decimal? TotalcifNoncept { get; set; }
		[StringLength(InvCkdPreCustomsConsts.MaxStatusLength)]
		public virtual string Status { get; set; }
		[StringLength(InvCkdPreCustomsConsts.MaxOrdertypeCodeLength)]
		public virtual string OrdertypeCode { get; set; }
		public virtual DateTime? UpdatedDate { get; set; }
		public virtual long? GroupId { get; set; }
		public virtual int? Isvnaccs { get; set; }
		public virtual long? GroupParentId { get; set; }
		[StringLength(InvCkdPreCustomsConsts.MaxDeclareTypeLength)]
		public virtual string DeclareType { get; set; }
		[StringLength(InvCkdPreCustomsConsts.MaxIsActiveLength)]
		public virtual string IsActive { get; set; }
</v>
      </c>
      <c r="O25" s="30" t="str">
        <f ca="1">TEXTJOIN2("
",TRUE,INDIRECT( $N$1):INDIRECT($N$3))</f>
        <v xml:space="preserve">		public virtual string BillofladingNo { get; set; }
		public virtual string Status { get; set; }
		public virtual string OrdertypeCode { get; set; }
		public virtual string DeclareType { get; set; }
		public virtual string IsActive { get; set; }
</v>
      </c>
      <c r="P25" s="8" t="str">
        <f ca="1">TEXTJOIN2("
",TRUE,INDIRECT( $O$1):INDIRECT($O$3))</f>
        <v xml:space="preserve">							BillofladingNo = o.BillofladingNo,
							TotaltaxCept = o.TotaltaxCept,
							TotaltaxNoncept = o.TotaltaxNoncept,
							TotalvatCept = o.TotalvatCept,
							TotalvatNoncept = o.TotalvatNoncept,
							TotalcifCept = o.TotalcifCept,
							TotalcifNoncept = o.TotalcifNoncept,
							Status = o.Status,
							OrdertypeCode = o.OrdertypeCode,
							UpdatedDate = o.UpdatedDate,
							GroupId = o.GroupId,
							Isvnaccs = o.Isvnaccs,
							GroupParentId = o.GroupParentId,
							DeclareType = o.DeclareType,
							IsActive = o.IsActive,</v>
      </c>
      <c r="T25" s="8" t="str">
        <f ca="1">TEXTJOIN2("
",TRUE,INDIRECT( $T$2):INDIRECT($T$3))</f>
        <v xml:space="preserve">								("BillofladingNo"),
								("TotaltaxCept"),
								("TotaltaxNoncept"),
								("TotalvatCept"),
								("TotalvatNoncept"),
								("TotalcifCept"),
								("TotalcifNoncept"),
								("Status"),
								("OrdertypeCode"),
								("UpdatedDate"),
								("GroupId"),
								("Isvnaccs"),
								("GroupParentId"),
								("DeclareType"),
								("IsActive"),</v>
      </c>
      <c r="V25" s="8" t="str">
        <f ca="1">TEXTJOIN2("
",TRUE,INDIRECT( $V$2):INDIRECT($V$3))</f>
        <v xml:space="preserve">								_ =&gt; _.BillofladingNo,
								_ =&gt; _.TotaltaxCept,
								_ =&gt; _.TotaltaxNoncept,
								_ =&gt; _.TotalvatCept,
								_ =&gt; _.TotalvatNoncept,
								_ =&gt; _.TotalcifCept,
								_ =&gt; _.TotalcifNoncept,
								_ =&gt; _.Status,
								_ =&gt; _.OrdertypeCode,
								_ =&gt; _.UpdatedDate,
								_ =&gt; _.GroupId,
								_ =&gt; _.Isvnaccs,
								_ =&gt; _.GroupParentId,
								_ =&gt; _.DeclareType,
								_ =&gt; _.IsActive,</v>
      </c>
      <c r="W25" s="8" t="str">
        <f ca="1">TEXTJOIN2("
",TRUE,INDIRECT( $W$2):INDIRECT($W$3))</f>
        <v xml:space="preserve">				.WhereIf(!string.IsNullOrWhiteSpace(input.BillofladingNo), e =&gt; e.BillofladingNo.Contains(input.BillofladingNo))
				.WhereIf(!string.IsNullOrWhiteSpace(input.Status), e =&gt; e.Status.Contains(input.Status))
				.WhereIf(!string.IsNullOrWhiteSpace(input.OrdertypeCode), e =&gt; e.OrdertypeCode.Contains(input.OrdertypeCode))
				.WhereIf(!string.IsNullOrWhiteSpace(input.DeclareType), e =&gt; e.DeclareType.Contains(input.DeclareType))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1"/>
  <sheetViews>
    <sheetView workbookViewId="0">
      <selection activeCell="A15" sqref="A15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379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InvCkdPreCustoms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PreCustoms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precustoms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InvCkdPreCustomsDto, InvCkdPreCustomsServiceProxy } from '@shared/service-proxies/service-proxies';
import { finalize } from 'rxjs/internal/operators/finalize';
import { CreateOrEditPreCustomsModalComponent } from './create-or-edit-precustoms-modal.component';
import { DatePipe } from '@angular/common';
import { FileDownloadService } from '@shared/utils/file-download.service';
import ceil from 'lodash-es/ceil';
import { Paginator } from 'primeng/paginator';
@Component({
    templateUrl: './precustoms.component.html',
    styleUrls: ['./precustoms.component.less'],
})
export class PreCustomsComponent extends AppComponentBase implements OnInit {
    @ViewChild('createOrEditModalPreCustoms', { static: true }) createOrEditModalPreCustoms:| CreateOrEditPreCustomsModalComponent|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InvCkdPreCustomsDto = new InvCkdPreCustomsDto();
    saveSelectedRow: InvCkdPreCustomsDto = new InvCkdPreCustomsDto();
    datas: InvCkdPreCustomsDto = new InvCkdPreCustomsDto();
    isLoading: boolean = false;
    dataParams: GridParams | undefined;
    rowData: any[] = [];
    gridApi!: GridApi;
    rowSelection = 'multiple';
    filter: string = '';
	pipe = new DatePipe('en-US');
	frameworkComponents: FrameworkComponent;
    	billofladingNo : string = '' ; 
	totaltaxCept
	totaltaxNoncept
	totalvatCept
	totalvatNoncept
	totalcifCept
	totalcifNoncept
	status : string = '' ; 
	ordertypeCode : string = '' ; 
	updatedDate
	groupId
	isvnaccs
	groupParentId
	declareType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InvCkdPreCustomsServiceProxy,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this.l('Billoflading No'),headerTooltip: this.l('Billoflading No'),field: 'billofladingNo',flex: 1},
			{headerName: this.l('Totaltax Cept'),headerTooltip: this.l('Totaltax Cept'),field: 'totaltaxCept',flex: 1},
			{headerName: this.l('Totaltax Noncept'),headerTooltip: this.l('Totaltax Noncept'),field: 'totaltaxNoncept',flex: 1},
			{headerName: this.l('Totalvat Cept'),headerTooltip: this.l('Totalvat Cept'),field: 'totalvatCept',flex: 1},
			{headerName: this.l('Totalvat Noncept'),headerTooltip: this.l('Totalvat Noncept'),field: 'totalvatNoncept',flex: 1},
			{headerName: this.l('Totalcif Cept'),headerTooltip: this.l('Totalcif Cept'),field: 'totalcifCept',flex: 1},
			{headerName: this.l('Totalcif Noncept'),headerTooltip: this.l('Totalcif Noncept'),field: 'totalcifNoncept',flex: 1},
			{headerName: this.l('Status'),headerTooltip: this.l('Status'),field: 'status',flex: 1},
			{headerName: this.l('Ordertype Code'),headerTooltip: this.l('Ordertype Code'),field: 'ordertypeCode',flex: 1},
			{headerName: this.l('Updated Date'),headerTooltip: this.l('Updated Date'),field: 'updatedDate',flex: 1},
			{headerName: this.l('Group Id'),headerTooltip: this.l('Group Id'),field: 'groupId',flex: 1},
			{headerName: this.l('Isvnaccs'),headerTooltip: this.l('Isvnaccs'),field: 'isvnaccs',flex: 1},
			{headerName: this.l('Group Parent Id'),headerTooltip: this.l('Group Parent Id'),field: 'groupParentId',flex: 1},
			{headerName: this.l('Declare Type'),headerTooltip: this.l('Declare Type'),field: 'declareType',flex: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this.billofladingNo = '',
		this.totaltaxCept = '',
		this.totaltaxNoncept = '',
		this.totalvatCept = '',
		this.totalvatNoncept = '',
		this.totalcifCept = '',
		this.totalcifNoncept = '',
		this.status = '',
		this.ordertypeCode = '',
		this.updatedDate = '',
		this.groupId = '',
		this.isvnaccs = '',
		this.groupParentId = '',
		this.declareType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
			'',
            this.paginationParams.skipCount,
            this.paginationParams.pageSize
        );
    }
    onChangeRowSelection(params: { api: { getSelectedRows: () =&gt; InvCkdPreCustomsDto[] } }) {
        this.saveSelectedRow = params.api.getSelectedRows()[0] ?? new InvCkdPreCustomsDto();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InvCkdPreCustomsDto):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this._service.getPreCustomsToExcel(
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Pre Customs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[(ngModel)]='declareType' name='declareType'
									class='form-control' [placeholder]="l('Declare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(click)="createOrEditModalPreCustoms.show()"&gt;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(click)="createOrEditModalPreCustoms.show(selectedRow)"&gt;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&lt;create-or-edit-precustoms-modal
    #createOrEditModalPreCustoms
    (modalSave)="callBackDataGrid(dataParams)"
    (modalClose)="onChangeRowSelection(dataParams)"
&gt;
&lt;/create-or-edit-precustoms-modal&gt;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#createOrEditModalPreCustoms="bs-modal"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PreCustoms')}}&lt;/h3&gt;
                    &lt;h3 *ngIf="!rowdata.id"&gt;{{('Create New PreCustoms')}}&lt;/h3&gt;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title'&gt;Declare Type&lt;/label&gt;
						&lt;input type='text' class='col-md-10 form-control input-text' name='DeclareType' [(ngModel)]='rowdata.declareType'&gt;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CreateOrEditInvCkdPreCustomsDto, InvCkdPreCustomsServiceProxy } from '@shared/service-proxies/service-proxies';
import { BsDatepickerDirective } from 'ngx-bootstrap/datepicker';
@Component({
    selector: 'create-or-edit-precustoms-modal',
    templateUrl: './create-or-edit-precustoms-modal.component.html',
    styleUrls: ['./create-or-edit-precustoms-modal.component.less']
    })
export class CreateOrEditPreCustomsModalComponent extends AppComponentBase {
    @ViewChild('createOrEditModalPreCustoms',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CreateOrEditInvCkdPreCustomsDto = new CreateOrEditInvCkdPreCustomsDto();
    active: boolean = false;
    saving: boolean = false;
    _isActive: boolean;
    constructor(
        injector: Injector,
        private _mstwptPreCustomsService: InvCkdPreCustomsServiceProxy,
    ) 
    {
        super(injector);
    }
    show(rowdata?: CreateOrEditInvCkdPreCustomsDto): void {
        if (!rowdata) this.rowdata = new CreateOrEditInvCkdPreCustomsDto();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this._mstwptPreCustomsService.createOrEdit(this.rowdata)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PreCustomsRoutingModule } from './precustoms-routing.module';
import { PreCustomsComponent } from './precustoms.component';
import { CreateOrEditPreCustomsModalComponent } from './create-or-edit-precustoms-modal.component';
@NgModule({
    declarations: [
       PreCustomsComponent, 
        CreateOrEditPreCustomsModalComponent
    ],
    imports: [
        AppSharedModule, PreCustomsRoutingModule]
})
export class PreCustomsModule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PreCustomsComponent } from './precustoms.component';
const routes: Routes = [{
    path: '',
    component: PreCustomsComponent,
    pathMatch: 'full'
}];
@NgModule({
    imports: [RouterModule.forChild(routes)],
    exports: [RouterModule],
})
export class PreCustomsRoutingModule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AppMenuItem("PreCustoms", "Pages.Inventory.CKD.PreCustoms", "flaticon-book",   "/app/main/inventory/ckd/precustoms"),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'inventory/ckd/precustoms',
    loadChildren: () =&gt; import('./inventory/ckd/precustoms/precustoms.module').then(m =&gt; m.PreCustomsModule),
    data: { permission: 'Pages.Inventory.CKD.PreCustoms' }
},</v>
      </c>
      <c r="R10" s="47" t="str">
        <f>SUBSTITUTE(R9,"MstWptCalendar",$B$6)</f>
        <v>ApiServiceProxies.InvCkdPreCustomsServiceProxy,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H29</v>
      </c>
      <c r="I12" s="28" t="str">
        <f>"I"&amp;COUNTA($A:$A)</f>
        <v>I29</v>
      </c>
      <c r="J12" s="28"/>
      <c r="K12" s="28" t="str">
        <f>"K"&amp;COUNTA($A:$A)</f>
        <v>K29</v>
      </c>
      <c r="L12" s="28" t="str">
        <f>"L"&amp;COUNTA($A:$A)</f>
        <v>L29</v>
      </c>
      <c r="M12" s="28"/>
      <c r="N12" s="28"/>
      <c r="O12" s="28"/>
      <c r="P12" s="28"/>
      <c r="Q12" s="28"/>
      <c r="R12" s="28"/>
      <c r="S12" s="28" t="str">
        <f>"S"&amp;COUNTA($A:$A)</f>
        <v>S29</v>
      </c>
      <c r="T12" s="28" t="str">
        <f>"T"&amp;COUNTA($A:$A)</f>
        <v>T29</v>
      </c>
      <c r="U12" s="28" t="str">
        <f>"U"&amp;COUNTA($A:$A)</f>
        <v>U29</v>
      </c>
      <c r="V12" s="28" t="str">
        <f>"V"&amp;COUNTA($A:$A)</f>
        <v>V29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this.l('Billoflading No'),headerTooltip: this.l('Billoflading No'),field: 'billofladingNo',flex: 1},
			{headerName: this.l('Totaltax Cept'),headerTooltip: this.l('Totaltax Cept'),field: 'totaltaxCept',flex: 1},
			{headerName: this.l('Totaltax Noncept'),headerTooltip: this.l('Totaltax Noncept'),field: 'totaltaxNoncept',flex: 1},
			{headerName: this.l('Totalvat Cept'),headerTooltip: this.l('Totalvat Cept'),field: 'totalvatCept',flex: 1},
			{headerName: this.l('Totalvat Noncept'),headerTooltip: this.l('Totalvat Noncept'),field: 'totalvatNoncept',flex: 1},
			{headerName: this.l('Totalcif Cept'),headerTooltip: this.l('Totalcif Cept'),field: 'totalcifCept',flex: 1},
			{headerName: this.l('Totalcif Noncept'),headerTooltip: this.l('Totalcif Noncept'),field: 'totalcifNoncept',flex: 1},
			{headerName: this.l('Status'),headerTooltip: this.l('Status'),field: 'status',flex: 1},
			{headerName: this.l('Ordertype Code'),headerTooltip: this.l('Ordertype Code'),field: 'ordertypeCode',flex: 1},
			{headerName: this.l('Updated Date'),headerTooltip: this.l('Updated Date'),field: 'updatedDate',flex: 1},
			{headerName: this.l('Group Id'),headerTooltip: this.l('Group Id'),field: 'groupId',flex: 1},
			{headerName: this.l('Isvnaccs'),headerTooltip: this.l('Isvnaccs'),field: 'isvnaccs',flex: 1},
			{headerName: this.l('Group Parent Id'),headerTooltip: this.l('Group Parent Id'),field: 'groupParentId',flex: 1},
			{headerName: this.l('Declare Type'),headerTooltip: this.l('Declare Type'),field: 'declareType',flex: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[(ngModel)]='ordertypeCode' name='ordertypeCode'
									class='form-control' [placeholder]="l('Ordertype Code')"
									type='text' (keyup.enter)='searchDatas()'&gt;
								&lt;/div&gt;
								&lt;div class='input-search'&gt;
									&lt;input [(ngModel)]='declareType' name='declareType'
									class='form-control' [placeholder]="l('Declare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
					&lt;div class='col-md-12 form-group row'&gt;
						&lt;label class='col-md-2 form-control title'&gt;Declare Type&lt;/label&gt;
						&lt;input type='text' class='col-md-10 form-control input-text' name='DeclareType' [(ngModel)]='rowdata.declareType'&gt;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billofladingNo : string = '' ; 
	totaltaxCept
	totaltaxNoncept
	totalvatCept
	totalvatNoncept
	totalcifCept
	totalcifNoncept
	status : string = '' ; 
	ordertypeCode : string = '' ; 
	updatedDate
	groupId
	isvnaccs
	groupParentId
	declareType : string = '' ; 
	isActive : string = '' ; </v>
      </c>
      <c r="T13" s="62" t="str">
        <f ca="1">TEXTJOIN2("
",TRUE,INDIRECT(T11):INDIRECT(T12))</f>
        <v xml:space="preserve">			this.billofladingNo,
			this.totaltaxCept,
			this.totaltaxNoncept,
			this.totalvatCept,
			this.totalvatNoncept,
			this.totalcifCept,
			this.totalcifNoncept,
			this.status,
			this.ordertypeCode,
			this.updatedDate,
			this.groupId,
			this.isvnaccs,
			this.groupParentId,
			this.declareType,
			this.isActive,</v>
      </c>
      <c r="U13" s="62" t="str">
        <f ca="1">TEXTJOIN2("
",TRUE,INDIRECT(U11):INDIRECT(U12))</f>
        <v xml:space="preserve">		this.billofladingNo = '',
		this.totaltaxCept = '',
		this.totaltaxNoncept = '',
		this.totalvatCept = '',
		this.totalvatNoncept = '',
		this.totalcifCept = '',
		this.totalcifNoncept = '',
		this.status = '',
		this.ordertypeCode = '',
		this.updatedDate = '',
		this.groupId = '',
		this.isvnaccs = '',
		this.groupParentId = '',
		this.declareType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precustoms.component.ts</v>
      </c>
      <c r="I14" s="37" t="str">
        <f>B8&amp;".component.html"</f>
        <v>precustoms.component.html</v>
      </c>
      <c r="J14" s="36" t="str">
        <f>B8&amp;".component.less"</f>
        <v>precustoms.component.less</v>
      </c>
      <c r="K14" s="37" t="str">
        <f>"create-or-edit-"&amp;B8&amp;"-modal.component.html"</f>
        <v>create-or-edit-precustoms-modal.component.html</v>
      </c>
      <c r="L14" s="37" t="str">
        <f>"create-or-edit-"&amp;B8&amp;"-modal.component.ts"</f>
        <v>create-or-edit-precustoms-modal.component.ts</v>
      </c>
      <c r="M14" s="37" t="str">
        <f>"create-or-edit-"&amp;B8&amp;"-modal.component.less"</f>
        <v>create-or-edit-precustoms-modal.component.less</v>
      </c>
      <c r="N14" s="37" t="str">
        <f>B8&amp;".module.ts"</f>
        <v>precustoms.module.ts</v>
      </c>
      <c r="O14" s="37" t="str">
        <f>B8&amp;"-routing.module.ts"</f>
        <v>precustoms-routing.module.ts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364</v>
      </c>
      <c r="B15" s="28" t="str">
        <f t="shared" ref="B15" si="0">SUBSTITUTE(PROPER(A15),"_","")</f>
        <v>BillofladingNo</v>
      </c>
      <c r="C15" s="28" t="str">
        <f t="shared" ref="C15" si="1">SUBSTITUTE(PROPER(A15),"_"," ")</f>
        <v>Billoflading No</v>
      </c>
      <c r="D15" s="28" t="str">
        <f t="shared" ref="D15" si="2">LOWER(LEFT(B15,1))&amp;RIGHT(B15,LEN(B15) - 1)</f>
        <v>billofladingNo</v>
      </c>
      <c r="E15" s="28" t="str">
        <f>A.Backend!H9</f>
        <v>string</v>
      </c>
      <c r="F15" s="28" t="str">
        <f>A.Backend!G9</f>
        <v>20</v>
      </c>
      <c r="G15" s="28" t="str">
        <f t="shared" ref="G15:G29" si="3">IF(E15="string"," : string = '' ; ",IF(OR(E15="DateTime",E15="TimeSpan")," : any ;",IF(E15="int"," : number = 0 ;","")))</f>
        <v xml:space="preserve"> : string = '' ; </v>
      </c>
      <c r="H15" s="35" t="str">
        <f t="shared" ref="H15:H2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this.l('Billoflading No'),headerTooltip: this.l('Billoflading No'),field: 'billofladingNo',flex: 1},</v>
      </c>
      <c r="I15" s="35" t="str">
        <f t="shared" ref="I15:I2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</v>
      </c>
      <c r="J15" s="28"/>
      <c r="K15" s="35" t="str">
        <f t="shared" ref="K15:K2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billofladingNo : string = '' ; </v>
      </c>
      <c r="T15" s="28" t="str">
        <f>REPT(CHAR(9),3)&amp;"this."&amp;D15&amp;","</f>
        <v xml:space="preserve">			this.billofladingNo,</v>
      </c>
      <c r="U15" s="28" t="str">
        <f>IF(E15="int",REPT(CHAR(9),2)&amp;"this."&amp;D15&amp;" = 0,",REPT(CHAR(9),2)&amp;"this."&amp;D15&amp;" = '',")</f>
        <v xml:space="preserve">		this.billofladingNo = '',</v>
      </c>
      <c r="V15" s="28" t="str">
        <f t="shared" ref="V15:V29" si="8">IF(AND(E15="string",F15="1"),D15,"")</f>
        <v/>
      </c>
    </row>
    <row r="16" spans="1:22" ht="18" customHeight="1" x14ac:dyDescent="0.3">
      <c r="A16" t="s">
        <v>365</v>
      </c>
      <c r="B16" s="28" t="str">
        <f t="shared" ref="B16" si="9">SUBSTITUTE(PROPER(A16),"_","")</f>
        <v>TotaltaxCept</v>
      </c>
      <c r="C16" s="28" t="str">
        <f t="shared" ref="C16" si="10">SUBSTITUTE(PROPER(A16),"_"," ")</f>
        <v>Totaltax Cept</v>
      </c>
      <c r="D16" s="28" t="str">
        <f t="shared" ref="D16" si="11">LOWER(LEFT(B16,1))&amp;RIGHT(B16,LEN(B16) - 1)</f>
        <v>totaltaxCept</v>
      </c>
      <c r="E16" s="28" t="str">
        <f>A.Backend!H10</f>
        <v>decimal?</v>
      </c>
      <c r="F16" s="28" t="str">
        <f>A.Backend!G10</f>
        <v>18,5</v>
      </c>
      <c r="G16" s="28" t="str">
        <f t="shared" si="3"/>
        <v/>
      </c>
      <c r="H16" s="35" t="str">
        <f t="shared" si="4"/>
        <v xml:space="preserve">			{headerName: this.l('Totaltax Cept'),headerTooltip: this.l('Totaltax Cept'),field: 'totaltaxCept',flex: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9" si="13">REPT(CHAR(9),1)&amp;D16&amp;G16</f>
        <v xml:space="preserve">	totaltaxCept</v>
      </c>
      <c r="T16" s="28" t="str">
        <f t="shared" ref="T16:T29" si="14">REPT(CHAR(9),3)&amp;"this."&amp;D16&amp;","</f>
        <v xml:space="preserve">			this.totaltaxCept,</v>
      </c>
      <c r="U16" s="28" t="str">
        <f t="shared" ref="U16:U29" si="15">IF(E16="int",REPT(CHAR(9),2)&amp;"this."&amp;D16&amp;" = 0,",REPT(CHAR(9),2)&amp;"this."&amp;D16&amp;" = '',")</f>
        <v xml:space="preserve">		this.totaltaxCept = '',</v>
      </c>
      <c r="V16" s="28" t="str">
        <f t="shared" si="8"/>
        <v/>
      </c>
    </row>
    <row r="17" spans="1:22" ht="18" customHeight="1" x14ac:dyDescent="0.3">
      <c r="A17" t="s">
        <v>366</v>
      </c>
      <c r="B17" s="28" t="str">
        <f>SUBSTITUTE(PROPER(A17),"_","")</f>
        <v>TotaltaxNoncept</v>
      </c>
      <c r="C17" s="28" t="str">
        <f>SUBSTITUTE(PROPER(A17),"_"," ")</f>
        <v>Totaltax Noncept</v>
      </c>
      <c r="D17" s="28" t="str">
        <f>LOWER(LEFT(B17,1))&amp;RIGHT(B17,LEN(B17) - 1)</f>
        <v>totaltaxNoncept</v>
      </c>
      <c r="E17" s="28" t="str">
        <f>A.Backend!H11</f>
        <v>decimal?</v>
      </c>
      <c r="F17" s="28" t="str">
        <f>A.Backend!G11</f>
        <v>18,5</v>
      </c>
      <c r="G17" s="28" t="str">
        <f t="shared" si="3"/>
        <v/>
      </c>
      <c r="H17" s="35" t="str">
        <f t="shared" si="4"/>
        <v xml:space="preserve">			{headerName: this.l('Totaltax Noncept'),headerTooltip: this.l('Totaltax Noncept'),field: 'totaltaxNoncept',flex: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totaltaxNoncept</v>
      </c>
      <c r="T17" s="28" t="str">
        <f t="shared" si="14"/>
        <v xml:space="preserve">			this.totaltaxNoncept,</v>
      </c>
      <c r="U17" s="28" t="str">
        <f t="shared" si="15"/>
        <v xml:space="preserve">		this.totaltaxNoncept = '',</v>
      </c>
      <c r="V17" s="28" t="str">
        <f t="shared" si="8"/>
        <v/>
      </c>
    </row>
    <row r="18" spans="1:22" ht="15" customHeight="1" x14ac:dyDescent="0.3">
      <c r="A18" t="s">
        <v>367</v>
      </c>
      <c r="B18" s="28" t="str">
        <f t="shared" ref="B18:B21" si="16">SUBSTITUTE(PROPER(A18),"_","")</f>
        <v>TotalvatCept</v>
      </c>
      <c r="C18" s="28" t="str">
        <f t="shared" ref="C18:C21" si="17">SUBSTITUTE(PROPER(A18),"_"," ")</f>
        <v>Totalvat Cept</v>
      </c>
      <c r="D18" s="28" t="str">
        <f t="shared" ref="D18:D21" si="18">LOWER(LEFT(B18,1))&amp;RIGHT(B18,LEN(B18) - 1)</f>
        <v>totalvatCept</v>
      </c>
      <c r="E18" s="28" t="str">
        <f>A.Backend!H12</f>
        <v>decimal?</v>
      </c>
      <c r="F18" s="28" t="str">
        <f>A.Backend!G12</f>
        <v>18,5</v>
      </c>
      <c r="G18" s="28" t="str">
        <f t="shared" si="3"/>
        <v/>
      </c>
      <c r="H18" s="35" t="str">
        <f t="shared" si="4"/>
        <v xml:space="preserve">			{headerName: this.l('Totalvat Cept'),headerTooltip: this.l('Totalvat Cept'),field: 'totalvatCept',flex: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totalvatCept</v>
      </c>
      <c r="T18" s="28" t="str">
        <f t="shared" si="14"/>
        <v xml:space="preserve">			this.totalvatCept,</v>
      </c>
      <c r="U18" s="28" t="str">
        <f t="shared" si="15"/>
        <v xml:space="preserve">		this.totalvatCept = '',</v>
      </c>
      <c r="V18" s="28" t="str">
        <f t="shared" si="8"/>
        <v/>
      </c>
    </row>
    <row r="19" spans="1:22" ht="18" customHeight="1" x14ac:dyDescent="0.3">
      <c r="A19" t="s">
        <v>368</v>
      </c>
      <c r="B19" s="28" t="str">
        <f t="shared" si="16"/>
        <v>TotalvatNoncept</v>
      </c>
      <c r="C19" s="28" t="str">
        <f t="shared" si="17"/>
        <v>Totalvat Noncept</v>
      </c>
      <c r="D19" s="28" t="str">
        <f t="shared" si="18"/>
        <v>totalvatNoncept</v>
      </c>
      <c r="E19" s="28" t="str">
        <f>A.Backend!H13</f>
        <v>decimal?</v>
      </c>
      <c r="F19" s="28" t="str">
        <f>A.Backend!G13</f>
        <v>18,5</v>
      </c>
      <c r="G19" s="28" t="str">
        <f t="shared" si="3"/>
        <v/>
      </c>
      <c r="H19" s="35" t="str">
        <f t="shared" si="4"/>
        <v xml:space="preserve">			{headerName: this.l('Totalvat Noncept'),headerTooltip: this.l('Totalvat Noncept'),field: 'totalvatNoncept',flex: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totalvatNoncept</v>
      </c>
      <c r="T19" s="28" t="str">
        <f t="shared" si="14"/>
        <v xml:space="preserve">			this.totalvatNoncept,</v>
      </c>
      <c r="U19" s="28" t="str">
        <f t="shared" si="15"/>
        <v xml:space="preserve">		this.totalvatNoncept = '',</v>
      </c>
      <c r="V19" s="28" t="str">
        <f t="shared" si="8"/>
        <v/>
      </c>
    </row>
    <row r="20" spans="1:22" ht="15" customHeight="1" x14ac:dyDescent="0.3">
      <c r="A20" t="s">
        <v>369</v>
      </c>
      <c r="B20" s="28" t="str">
        <f t="shared" si="16"/>
        <v>TotalcifCept</v>
      </c>
      <c r="C20" s="28" t="str">
        <f t="shared" si="17"/>
        <v>Totalcif Cept</v>
      </c>
      <c r="D20" s="28" t="str">
        <f t="shared" si="18"/>
        <v>totalcifCept</v>
      </c>
      <c r="E20" s="28" t="str">
        <f>A.Backend!H14</f>
        <v>decimal?</v>
      </c>
      <c r="F20" s="28" t="str">
        <f>A.Backend!G14</f>
        <v>18,5</v>
      </c>
      <c r="G20" s="28" t="str">
        <f t="shared" si="3"/>
        <v/>
      </c>
      <c r="H20" s="35" t="str">
        <f t="shared" si="4"/>
        <v xml:space="preserve">			{headerName: this.l('Totalcif Cept'),headerTooltip: this.l('Totalcif Cept'),field: 'totalcifCept',flex: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totalcifCept</v>
      </c>
      <c r="T20" s="28" t="str">
        <f t="shared" si="14"/>
        <v xml:space="preserve">			this.totalcifCept,</v>
      </c>
      <c r="U20" s="28" t="str">
        <f t="shared" si="15"/>
        <v xml:space="preserve">		this.totalcifCept = '',</v>
      </c>
      <c r="V20" s="28" t="str">
        <f t="shared" si="8"/>
        <v/>
      </c>
    </row>
    <row r="21" spans="1:22" ht="18" customHeight="1" x14ac:dyDescent="0.3">
      <c r="A21" t="s">
        <v>370</v>
      </c>
      <c r="B21" s="28" t="str">
        <f t="shared" si="16"/>
        <v>TotalcifNoncept</v>
      </c>
      <c r="C21" s="28" t="str">
        <f t="shared" si="17"/>
        <v>Totalcif Noncept</v>
      </c>
      <c r="D21" s="28" t="str">
        <f t="shared" si="18"/>
        <v>totalcifNoncept</v>
      </c>
      <c r="E21" s="28" t="str">
        <f>A.Backend!H15</f>
        <v>decimal?</v>
      </c>
      <c r="F21" s="28" t="str">
        <f>A.Backend!G15</f>
        <v>18,5</v>
      </c>
      <c r="G21" s="28" t="str">
        <f t="shared" si="3"/>
        <v/>
      </c>
      <c r="H21" s="35" t="str">
        <f t="shared" si="4"/>
        <v xml:space="preserve">			{headerName: this.l('Totalcif Noncept'),headerTooltip: this.l('Totalcif Noncept'),field: 'totalcifNoncept',flex: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totalcifNoncept</v>
      </c>
      <c r="T21" s="28" t="str">
        <f t="shared" si="14"/>
        <v xml:space="preserve">			this.totalcifNoncept,</v>
      </c>
      <c r="U21" s="28" t="str">
        <f t="shared" si="15"/>
        <v xml:space="preserve">		this.totalcifNoncept = '',</v>
      </c>
      <c r="V21" s="28" t="str">
        <f t="shared" si="8"/>
        <v/>
      </c>
    </row>
    <row r="22" spans="1:22" ht="18" customHeight="1" x14ac:dyDescent="0.3">
      <c r="A22" t="s">
        <v>350</v>
      </c>
      <c r="B22" s="28" t="str">
        <f>SUBSTITUTE(PROPER(A22),"_","")</f>
        <v>Status</v>
      </c>
      <c r="C22" s="28" t="str">
        <f>SUBSTITUTE(PROPER(A22),"_"," ")</f>
        <v>Status</v>
      </c>
      <c r="D22" s="28" t="str">
        <f>LOWER(LEFT(B22,1))&amp;RIGHT(B22,LEN(B22) - 1)</f>
        <v>status</v>
      </c>
      <c r="E22" s="28" t="str">
        <f>A.Backend!H16</f>
        <v>string</v>
      </c>
      <c r="F22" s="28" t="str">
        <f>A.Backend!G16</f>
        <v>4</v>
      </c>
      <c r="G22" s="28" t="str">
        <f t="shared" si="3"/>
        <v xml:space="preserve"> : string = '' ; </v>
      </c>
      <c r="H22" s="35" t="str">
        <f t="shared" si="4"/>
        <v xml:space="preserve">			{headerName: this.l('Status'),headerTooltip: this.l('Status'),field: 'status',flex: 1},</v>
      </c>
      <c r="I22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status : string = '' ; </v>
      </c>
      <c r="T22" s="28" t="str">
        <f t="shared" si="14"/>
        <v xml:space="preserve">			this.status,</v>
      </c>
      <c r="U22" s="28" t="str">
        <f t="shared" si="15"/>
        <v xml:space="preserve">		this.status = '',</v>
      </c>
      <c r="V22" s="28" t="str">
        <f t="shared" si="8"/>
        <v/>
      </c>
    </row>
    <row r="23" spans="1:22" ht="15" customHeight="1" x14ac:dyDescent="0.3">
      <c r="A23" t="s">
        <v>371</v>
      </c>
      <c r="B23" s="28" t="str">
        <f t="shared" ref="B23:B26" si="20">SUBSTITUTE(PROPER(A23),"_","")</f>
        <v>OrdertypeCode</v>
      </c>
      <c r="C23" s="28" t="str">
        <f t="shared" ref="C23:C26" si="21">SUBSTITUTE(PROPER(A23),"_"," ")</f>
        <v>Ordertype Code</v>
      </c>
      <c r="D23" s="28" t="str">
        <f t="shared" ref="D23:D26" si="22">LOWER(LEFT(B23,1))&amp;RIGHT(B23,LEN(B23) - 1)</f>
        <v>ordertypeCode</v>
      </c>
      <c r="E23" s="28" t="str">
        <f>A.Backend!H17</f>
        <v>string</v>
      </c>
      <c r="F23" s="28" t="str">
        <f>A.Backend!G17</f>
        <v>2</v>
      </c>
      <c r="G23" s="28" t="str">
        <f t="shared" si="3"/>
        <v xml:space="preserve"> : string = '' ; </v>
      </c>
      <c r="H23" s="35" t="str">
        <f t="shared" si="4"/>
        <v xml:space="preserve">			{headerName: this.l('Ordertype Code'),headerTooltip: this.l('Ordertype Code'),field: 'ordertypeCode',flex: 1},</v>
      </c>
      <c r="I23" s="35" t="str">
        <f t="shared" si="5"/>
        <v xml:space="preserve">								&lt;div class='input-search'&gt;
									&lt;input [(ngModel)]='ordertypeCode' name='ordertypeCode'
									class='form-control' [placeholder]="l('Ordertype Code')"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ordertypeCode : string = '' ; </v>
      </c>
      <c r="T23" s="28" t="str">
        <f t="shared" si="14"/>
        <v xml:space="preserve">			this.ordertypeCode,</v>
      </c>
      <c r="U23" s="28" t="str">
        <f t="shared" si="15"/>
        <v xml:space="preserve">		this.ordertypeCode = '',</v>
      </c>
      <c r="V23" s="28" t="str">
        <f t="shared" si="8"/>
        <v/>
      </c>
    </row>
    <row r="24" spans="1:22" ht="18" customHeight="1" x14ac:dyDescent="0.3">
      <c r="A24" t="s">
        <v>372</v>
      </c>
      <c r="B24" s="28" t="str">
        <f t="shared" si="20"/>
        <v>UpdatedDate</v>
      </c>
      <c r="C24" s="28" t="str">
        <f t="shared" si="21"/>
        <v>Updated Date</v>
      </c>
      <c r="D24" s="28" t="str">
        <f t="shared" si="22"/>
        <v>updatedDate</v>
      </c>
      <c r="E24" s="28" t="str">
        <f>A.Backend!H18</f>
        <v>DateTime?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this.l('Updated Date'),headerTooltip: this.l('Updated Date'),field: 'updatedDate',flex: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updatedDate</v>
      </c>
      <c r="T24" s="28" t="str">
        <f t="shared" si="14"/>
        <v xml:space="preserve">			this.updatedDate,</v>
      </c>
      <c r="U24" s="28" t="str">
        <f t="shared" si="15"/>
        <v xml:space="preserve">		this.updatedDate = '',</v>
      </c>
      <c r="V24" s="28" t="str">
        <f t="shared" si="8"/>
        <v/>
      </c>
    </row>
    <row r="25" spans="1:22" ht="15" customHeight="1" x14ac:dyDescent="0.3">
      <c r="A25" t="s">
        <v>374</v>
      </c>
      <c r="B25" s="28" t="str">
        <f t="shared" si="20"/>
        <v>GroupId</v>
      </c>
      <c r="C25" s="28" t="str">
        <f t="shared" si="21"/>
        <v>Group Id</v>
      </c>
      <c r="D25" s="28" t="str">
        <f t="shared" si="22"/>
        <v>groupId</v>
      </c>
      <c r="E25" s="28" t="str">
        <f>A.Backend!H19</f>
        <v>long?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this.l('Group Id'),headerTooltip: this.l('Group Id'),field: 'groupId',flex: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groupId</v>
      </c>
      <c r="T25" s="28" t="str">
        <f t="shared" si="14"/>
        <v xml:space="preserve">			this.groupId,</v>
      </c>
      <c r="U25" s="28" t="str">
        <f t="shared" si="15"/>
        <v xml:space="preserve">		this.groupId = '',</v>
      </c>
      <c r="V25" s="28" t="str">
        <f t="shared" si="8"/>
        <v/>
      </c>
    </row>
    <row r="26" spans="1:22" ht="18" customHeight="1" x14ac:dyDescent="0.3">
      <c r="A26" t="s">
        <v>375</v>
      </c>
      <c r="B26" s="28" t="str">
        <f t="shared" si="20"/>
        <v>Isvnaccs</v>
      </c>
      <c r="C26" s="28" t="str">
        <f t="shared" si="21"/>
        <v>Isvnaccs</v>
      </c>
      <c r="D26" s="28" t="str">
        <f t="shared" si="22"/>
        <v>isvnaccs</v>
      </c>
      <c r="E26" s="28" t="str">
        <f>A.Backend!H20</f>
        <v>int?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this.l('Isvnaccs'),headerTooltip: this.l('Isvnaccs'),field: 'isvnaccs',flex: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isvnaccs</v>
      </c>
      <c r="T26" s="28" t="str">
        <f t="shared" si="14"/>
        <v xml:space="preserve">			this.isvnaccs,</v>
      </c>
      <c r="U26" s="28" t="str">
        <f t="shared" si="15"/>
        <v xml:space="preserve">		this.isvnaccs = '',</v>
      </c>
      <c r="V26" s="28" t="str">
        <f t="shared" si="8"/>
        <v/>
      </c>
    </row>
    <row r="27" spans="1:22" ht="18" customHeight="1" x14ac:dyDescent="0.3">
      <c r="A27" t="s">
        <v>376</v>
      </c>
      <c r="B27" s="28" t="str">
        <f>SUBSTITUTE(PROPER(A27),"_","")</f>
        <v>GroupParentId</v>
      </c>
      <c r="C27" s="28" t="str">
        <f>SUBSTITUTE(PROPER(A27),"_"," ")</f>
        <v>Group Parent Id</v>
      </c>
      <c r="D27" s="28" t="str">
        <f>LOWER(LEFT(B27,1))&amp;RIGHT(B27,LEN(B27) - 1)</f>
        <v>groupParentId</v>
      </c>
      <c r="E27" s="28" t="str">
        <f>A.Backend!H21</f>
        <v>long?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this.l('Group Parent Id'),headerTooltip: this.l('Group Parent Id'),field: 'groupParentId',flex: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groupParentId</v>
      </c>
      <c r="T27" s="28" t="str">
        <f t="shared" si="14"/>
        <v xml:space="preserve">			this.groupParentId,</v>
      </c>
      <c r="U27" s="28" t="str">
        <f t="shared" si="15"/>
        <v xml:space="preserve">		this.groupParentId = '',</v>
      </c>
      <c r="V27" s="28" t="str">
        <f t="shared" si="8"/>
        <v/>
      </c>
    </row>
    <row r="28" spans="1:22" ht="15" customHeight="1" x14ac:dyDescent="0.3">
      <c r="A28" t="s">
        <v>362</v>
      </c>
      <c r="B28" s="28" t="str">
        <f t="shared" ref="B28:B29" si="24">SUBSTITUTE(PROPER(A28),"_","")</f>
        <v>DeclareType</v>
      </c>
      <c r="C28" s="28" t="str">
        <f t="shared" ref="C28:C29" si="25">SUBSTITUTE(PROPER(A28),"_"," ")</f>
        <v>Declare Type</v>
      </c>
      <c r="D28" s="28" t="str">
        <f t="shared" ref="D28:D29" si="26">LOWER(LEFT(B28,1))&amp;RIGHT(B28,LEN(B28) - 1)</f>
        <v>declareType</v>
      </c>
      <c r="E28" s="28" t="str">
        <f>A.Backend!H22</f>
        <v>string</v>
      </c>
      <c r="F28" s="28" t="str">
        <f>A.Backend!G22</f>
        <v>10</v>
      </c>
      <c r="G28" s="28" t="str">
        <f t="shared" si="3"/>
        <v xml:space="preserve"> : string = '' ; </v>
      </c>
      <c r="H28" s="35" t="str">
        <f t="shared" si="4"/>
        <v xml:space="preserve">			{headerName: this.l('Declare Type'),headerTooltip: this.l('Declare Type'),field: 'declareType',flex: 1},</v>
      </c>
      <c r="I28" s="35" t="str">
        <f t="shared" si="5"/>
        <v xml:space="preserve">								&lt;div class='input-search'&gt;
									&lt;input [(ngModel)]='declareType' name='declareType'
									class='form-control' [placeholder]="l('Declare Type')"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title'&gt;Declare Type&lt;/label&gt;
						&lt;input type='text' class='col-md-10 form-control input-text' name='DeclareType' [(ngModel)]='rowdata.declareType'&gt;
					&lt;/div&gt;</v>
      </c>
      <c r="L28" s="56" t="str">
        <f t="shared" ref="L28:L29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declareType : string = '' ; </v>
      </c>
      <c r="T28" s="28" t="str">
        <f t="shared" si="14"/>
        <v xml:space="preserve">			this.declareType,</v>
      </c>
      <c r="U28" s="28" t="str">
        <f t="shared" si="15"/>
        <v xml:space="preserve">		this.declareType = '',</v>
      </c>
      <c r="V28" s="28" t="str">
        <f t="shared" si="8"/>
        <v/>
      </c>
    </row>
    <row r="29" spans="1:22" ht="18" customHeight="1" x14ac:dyDescent="0.3">
      <c r="A29" t="s">
        <v>319</v>
      </c>
      <c r="B29" s="28" t="str">
        <f t="shared" si="24"/>
        <v>IsActive</v>
      </c>
      <c r="C29" s="28" t="str">
        <f t="shared" si="25"/>
        <v>Is Active</v>
      </c>
      <c r="D29" s="28" t="str">
        <f t="shared" si="26"/>
        <v>isActive</v>
      </c>
      <c r="E29" s="28" t="str">
        <f>A.Backend!H23</f>
        <v>string</v>
      </c>
      <c r="F29" s="28" t="str">
        <f>A.Backend!G23</f>
        <v>1</v>
      </c>
      <c r="G29" s="28" t="str">
        <f t="shared" si="3"/>
        <v xml:space="preserve"> : string = '' ; </v>
      </c>
      <c r="H29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9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isActive : string = '' ; </v>
      </c>
      <c r="T29" s="28" t="str">
        <f t="shared" si="14"/>
        <v xml:space="preserve">			this.isActive,</v>
      </c>
      <c r="U29" s="28" t="str">
        <f t="shared" si="15"/>
        <v xml:space="preserve">		this.isActive = '',</v>
      </c>
      <c r="V29" s="28" t="str">
        <f t="shared" si="8"/>
        <v>isActive</v>
      </c>
    </row>
    <row r="31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356</v>
      </c>
    </row>
    <row r="7" spans="1:2" x14ac:dyDescent="0.3">
      <c r="A7" t="s">
        <v>24</v>
      </c>
      <c r="B7" t="s">
        <v>351</v>
      </c>
    </row>
    <row r="8" spans="1:2" x14ac:dyDescent="0.3">
      <c r="A8" t="s">
        <v>4</v>
      </c>
      <c r="B8" t="s">
        <v>351</v>
      </c>
    </row>
    <row r="9" spans="1:2" x14ac:dyDescent="0.3">
      <c r="A9" t="s">
        <v>0</v>
      </c>
      <c r="B9" t="s">
        <v>352</v>
      </c>
    </row>
    <row r="10" spans="1:2" x14ac:dyDescent="0.3">
      <c r="A10" t="s">
        <v>25</v>
      </c>
      <c r="B10" t="s">
        <v>355</v>
      </c>
    </row>
    <row r="11" spans="1:2" x14ac:dyDescent="0.3">
      <c r="A11" t="s">
        <v>26</v>
      </c>
      <c r="B11" t="s">
        <v>355</v>
      </c>
    </row>
    <row r="12" spans="1:2" x14ac:dyDescent="0.3">
      <c r="A12" t="s">
        <v>27</v>
      </c>
      <c r="B12" t="s">
        <v>355</v>
      </c>
    </row>
    <row r="13" spans="1:2" x14ac:dyDescent="0.3">
      <c r="A13" t="s">
        <v>28</v>
      </c>
      <c r="B13" t="s">
        <v>355</v>
      </c>
    </row>
    <row r="14" spans="1:2" x14ac:dyDescent="0.3">
      <c r="A14" t="s">
        <v>29</v>
      </c>
      <c r="B14" t="s">
        <v>355</v>
      </c>
    </row>
    <row r="15" spans="1:2" x14ac:dyDescent="0.3">
      <c r="A15" t="s">
        <v>30</v>
      </c>
      <c r="B15" t="s">
        <v>355</v>
      </c>
    </row>
    <row r="16" spans="1:2" x14ac:dyDescent="0.3">
      <c r="A16" t="s">
        <v>31</v>
      </c>
      <c r="B16" t="s">
        <v>353</v>
      </c>
    </row>
    <row r="17" spans="1:2" x14ac:dyDescent="0.3">
      <c r="A17" t="s">
        <v>3</v>
      </c>
      <c r="B17" t="s">
        <v>353</v>
      </c>
    </row>
    <row r="18" spans="1:2" x14ac:dyDescent="0.3">
      <c r="A18" t="s">
        <v>33</v>
      </c>
      <c r="B18" t="s">
        <v>353</v>
      </c>
    </row>
    <row r="19" spans="1:2" x14ac:dyDescent="0.3">
      <c r="A19" t="s">
        <v>2</v>
      </c>
      <c r="B19" t="s">
        <v>353</v>
      </c>
    </row>
    <row r="20" spans="1:2" x14ac:dyDescent="0.3">
      <c r="A20" t="s">
        <v>263</v>
      </c>
      <c r="B20" t="s">
        <v>354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2023-05-26T10:26:05Z</dcterms:modified>
</cp:coreProperties>
</file>
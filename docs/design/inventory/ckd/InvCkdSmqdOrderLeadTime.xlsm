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ckd\"/>
    </mc:Choice>
  </mc:AlternateContent>
  <xr:revisionPtr revIDLastSave="0" documentId="13_ncr:1_{69A266DF-850C-470C-975F-7EFCC4EE8EE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5" l="1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C17" i="5" l="1"/>
  <c r="B17" i="5"/>
  <c r="D17" i="5" s="1"/>
  <c r="C16" i="5"/>
  <c r="B16" i="5"/>
  <c r="D16" i="5" s="1"/>
  <c r="T17" i="5" l="1"/>
  <c r="T16" i="5"/>
  <c r="B6" i="1"/>
  <c r="G13" i="1"/>
  <c r="F19" i="5" s="1"/>
  <c r="E13" i="1"/>
  <c r="H13" i="1" s="1"/>
  <c r="E19" i="5" s="1"/>
  <c r="D13" i="1"/>
  <c r="V13" i="1" s="1"/>
  <c r="V19" i="5" l="1"/>
  <c r="U19" i="5"/>
  <c r="K19" i="5"/>
  <c r="I19" i="5"/>
  <c r="H19" i="5"/>
  <c r="G19" i="5"/>
  <c r="S19" i="5" s="1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K18" i="5"/>
  <c r="U18" i="5"/>
  <c r="I18" i="5"/>
  <c r="H18" i="5"/>
  <c r="G18" i="5"/>
  <c r="S18" i="5" s="1"/>
  <c r="L18" i="5"/>
  <c r="V17" i="5"/>
  <c r="U17" i="5"/>
  <c r="I17" i="5"/>
  <c r="K17" i="5"/>
  <c r="H17" i="5"/>
  <c r="G17" i="5"/>
  <c r="S17" i="5" s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G16" i="5"/>
  <c r="S16" i="5" s="1"/>
  <c r="H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5" i="1"/>
  <c r="T7" i="1" l="1"/>
  <c r="W15" i="1"/>
  <c r="G6" i="1" l="1"/>
  <c r="V13" i="5"/>
  <c r="H13" i="5"/>
  <c r="K13" i="5"/>
  <c r="L13" i="5"/>
  <c r="S13" i="5"/>
  <c r="I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O15" i="1"/>
  <c r="P15" i="1"/>
  <c r="I15" i="1"/>
  <c r="J15" i="1"/>
  <c r="N15" i="1"/>
  <c r="Q7" i="1" l="1"/>
  <c r="M68" i="3" s="1"/>
  <c r="L7" i="1"/>
  <c r="G68" i="3" s="1"/>
  <c r="K68" i="3"/>
  <c r="J68" i="3"/>
  <c r="M15" i="1"/>
  <c r="K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<sst xmlns="http://schemas.openxmlformats.org/spreadsheetml/2006/main" count="451" uniqueCount="365">
  <si>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</si>
  <si>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</si>
  <si>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</si>
  <si>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</si>
  <si>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</si>
  <si>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</si>
  <si>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</si>
  <si>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</si>
  <si>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</si>
  <si>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</si>
  <si>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</si>
  <si>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</si>
  <si>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</si>
  <si>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</si>
  <si>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</si>
  <si>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</si>
  <si>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</si>
  <si>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</si>
  <si>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</si>
  <si>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</si>
  <si>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</si>
  <si>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</si>
  <si>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</si>
  <si>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</si>
  <si>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</si>
  <si>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</si>
  <si>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</si>
  <si>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</si>
  <si>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</si>
  <si>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</si>
  <si>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</si>
  <si>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</si>
  <si>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</si>
  <si>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</si>
  <si>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</si>
  <si>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</si>
  <si>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</si>
  <si>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</si>
  <si>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</si>
  <si>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</si>
  <si>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</si>
  <si>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</si>
  <si>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</si>
  <si>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</si>
  <si>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</si>
  <si>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</si>
  <si>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</si>
  <si>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</si>
  <si>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</si>
  <si>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</si>
  <si>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</si>
  <si>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</si>
  <si>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</si>
  <si>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</si>
  <si>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</si>
  <si>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</si>
  <si>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</si>
  <si>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</si>
  <si>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</si>
  <si>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</si>
  <si>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</si>
  <si>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</si>
  <si>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</si>
  <si>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</si>
  <si>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</si>
  <si>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</si>
  <si>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</si>
  <si>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</si>
  <si>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</si>
  <si>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</si>
  <si>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</si>
  <si>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</si>
  <si>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</si>
  <si>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</si>
  <si>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</si>
  <si>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</si>
  <si>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</si>
  <si>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</si>
  <si>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</si>
  <si>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</si>
  <si>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</si>
  <si>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</si>
  <si>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</si>
  <si>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</si>
  <si>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</si>
  <si>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</si>
  <si>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</si>
  <si>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</si>
  <si>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</si>
  <si>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</si>
  <si>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</si>
  <si>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</si>
  <si>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</si>
  <si>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</si>
  <si>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</si>
  <si>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</si>
  <si>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</si>
  <si>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</si>
  <si>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</si>
  <si>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</si>
  <si>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</si>
  <si>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</si>
  <si>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</si>
  <si>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</si>
  <si>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</si>
  <si>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</si>
  <si>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</si>
  <si>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</si>
  <si>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</si>
  <si>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</si>
  <si>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</si>
  <si>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</si>
  <si>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</si>
  <si>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</si>
  <si>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</si>
  <si>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</si>
  <si>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</si>
  <si>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</si>
  <si>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</si>
  <si>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</si>
  <si>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</si>
  <si>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</si>
  <si>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</si>
  <si>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</si>
  <si>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</si>
  <si>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</si>
  <si>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</si>
  <si>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</si>
  <si>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</si>
  <si>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</si>
  <si>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</si>
  <si>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</si>
  <si>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</si>
  <si>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</si>
  <si>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</si>
  <si>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</si>
  <si>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</si>
  <si>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</si>
  <si>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</si>
  <si>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</si>
  <si>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</si>
  <si>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</si>
  <si>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</si>
  <si>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</si>
  <si>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</si>
  <si>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</si>
  <si>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</si>
  <si>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</si>
  <si>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</si>
  <si>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</si>
  <si>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</si>
  <si>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</si>
  <si>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</si>
  <si>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</si>
  <si>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</si>
  <si>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</si>
  <si>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</si>
  <si>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</si>
  <si>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</si>
  <si>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</si>
  <si>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</si>
  <si>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</si>
  <si>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</si>
  <si>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</si>
  <si>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</si>
  <si>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</si>
  <si>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</si>
  <si>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</si>
  <si>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</si>
  <si>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</si>
  <si>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</si>
  <si>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</si>
  <si>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</si>
  <si>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</si>
  <si>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</si>
  <si>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</si>
  <si>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</si>
  <si>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</si>
  <si>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</si>
  <si>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</si>
  <si>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</si>
  <si>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</si>
  <si>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</si>
  <si>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</si>
  <si>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</si>
  <si>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</si>
  <si>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</si>
  <si>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</si>
  <si>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</si>
  <si>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</si>
  <si>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</si>
  <si>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</si>
  <si>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</si>
  <si>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</si>
  <si>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</si>
  <si>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</si>
  <si>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</si>
  <si>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</si>
  <si>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</si>
  <si>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</si>
  <si>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</si>
  <si>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</si>
  <si>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</si>
  <si>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</si>
  <si>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</si>
  <si>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</si>
  <si>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</si>
  <si>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</si>
  <si>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</si>
  <si>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</si>
  <si>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</si>
  <si>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</si>
  <si>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</si>
  <si>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</si>
  <si>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</si>
  <si>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</si>
  <si>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</si>
  <si>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</si>
  <si>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</si>
  <si>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</si>
  <si>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</si>
  <si>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</si>
  <si>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</si>
  <si>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</si>
  <si>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</si>
  <si>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</si>
  <si>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</si>
  <si>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</si>
  <si>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</si>
  <si>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</si>
  <si>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</si>
  <si>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</si>
  <si>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</si>
  <si>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</si>
  <si>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</si>
  <si>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</si>
  <si>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</si>
  <si>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</si>
  <si>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</si>
  <si>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</si>
  <si>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</si>
  <si>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</si>
  <si>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</si>
  <si>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</si>
  <si>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</si>
  <si>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</si>
  <si>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</si>
  <si>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</si>
  <si>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</si>
  <si>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</si>
  <si>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</si>
  <si>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</si>
  <si>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</si>
  <si>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</si>
  <si>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</si>
  <si>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</si>
  <si>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</si>
  <si>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</si>
  <si>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</si>
  <si>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</si>
  <si>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</si>
  <si>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</si>
  <si>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</si>
  <si>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</si>
  <si>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</si>
  <si>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</si>
  <si>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</si>
  <si>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</si>
  <si>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</si>
  <si>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</si>
  <si>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</si>
  <si>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</si>
  <si>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</si>
  <si>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</si>
  <si>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</si>
  <si>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</si>
  <si>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</si>
  <si>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</si>
  <si>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</si>
  <si>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</si>
  <si>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</si>
  <si>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</si>
  <si>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</si>
  <si>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</si>
  <si>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</si>
  <si>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</si>
  <si>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</si>
  <si>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</si>
  <si>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</si>
  <si>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</si>
  <si>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</si>
  <si>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</si>
  <si>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</si>
  <si>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</si>
  <si>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</si>
  <si>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</si>
  <si>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</si>
  <si>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</si>
  <si>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</si>
  <si>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</si>
  <si>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</si>
  <si>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</si>
  <si>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</si>
  <si>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</si>
  <si>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</si>
  <si>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</si>
  <si>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</si>
  <si>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</si>
  <si>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</si>
  <si>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</si>
  <si>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</si>
  <si>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</si>
  <si>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</si>
  <si>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</si>
  <si>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</si>
  <si>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</si>
  <si>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</si>
  <si>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</si>
  <si>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</si>
  <si>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</si>
  <si>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</si>
  <si>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</si>
  <si>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</si>
  <si>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</si>
  <si>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</si>
  <si>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</si>
  <si>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</si>
  <si>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</si>
  <si>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</si>
  <si>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</si>
  <si>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</si>
  <si>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</si>
  <si>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</si>
  <si>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</si>
  <si>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</si>
  <si>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</si>
  <si>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</si>
  <si>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</si>
  <si>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</si>
  <si>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</si>
  <si>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</si>
  <si>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</si>
  <si>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</si>
  <si>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</si>
  <si>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</si>
  <si>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</si>
  <si>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</si>
  <si>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</si>
  <si>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</si>
  <si>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SUPPLIER_NO</t>
  </si>
  <si>
    <t>int?</t>
  </si>
  <si>
    <t>long?</t>
  </si>
  <si>
    <t>DateTime?</t>
  </si>
  <si>
    <t>TimeSpan?</t>
  </si>
  <si>
    <t>decimal?</t>
  </si>
  <si>
    <t>byte?</t>
  </si>
  <si>
    <t>Cfc</t>
  </si>
  <si>
    <t>Date</t>
  </si>
  <si>
    <t>VARCHAR(50)</t>
  </si>
  <si>
    <t>InvCkdSmqdOrderLeadTime</t>
  </si>
  <si>
    <t>SmqdOrderLeadTime</t>
  </si>
  <si>
    <t>Exp_Code</t>
  </si>
  <si>
    <t>SEA</t>
  </si>
  <si>
    <t>Air</t>
  </si>
  <si>
    <t>Smqd Order Lead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</si>
</sst>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42" zoomScaleNormal="100" workbookViewId="0">
      <selection activeCell="E59" sqref="E5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[Table("InvCkdSmqdOrderLeadTime")]
	public class InvCkdSmqdOrderLeadTime: FullAuditedEntity&lt;long&gt;, IEntity&lt;long&gt;	
	{
		public const int MaxSupplierNoLength = 50;
		public const int MaxExpCodeLength = 50;
		[StringLength(MaxSupplierNoLength)]
		public virtual string SupplierNo { get; set; }
		public virtual DateTime? Cfc { get; set; }
		[StringLength(MaxExpCodeLength)]
		public virtual string ExpCode { get; set; }
		public virtual int? Sea { get; set; }
		public virtual int? Air { get; set; }
	}
}
</v>
      </c>
      <c r="D68" s="48" t="str">
        <f>A.Backend!O7</f>
        <v xml:space="preserve">		public const string Pages_Inventory_CKD_SmqdOrderLeadTime = "Pages.Inventory.CKD.SmqdOrderLeadTime";
		public const string Pages_Inventory_CKD_SmqdOrderLeadTime_CreateEdit = "Pages.Inventory.CKD.SmqdOrderLeadTime.CreateEdit";
		public const string Pages_Inventory_CKD_SmqdOrderLeadTime_Delete = "Pages.Inventory.CKD.SmqdOrderLeadTime.Delete";
</v>
      </c>
      <c r="E68" s="48" t="str">
        <f>A.Backend!N7</f>
        <v xml:space="preserve">		var perInvCkdSmqdOrderLeadTime = PARENTS.CreateChildPermission(AppPermissions.Pages_Inventory_CKD_SmqdOrderLeadTime, L( "InventoryCKDSmqdOrderLeadTime"), multiTenancySides: MultiTenancySides.Tenant);
		perInvCkdSmqdOrderLeadTime.CreateChildPermission(AppPermissions.Pages_Inventory_CKD_SmqdOrderLeadTime_CreateEdit, L( "InventoryCKDSmqdOrderLeadTimeCreateEdit"), multiTenancySides: MultiTenancySides.Tenant);
		perInvCkdSmqdOrderLeadTime.CreateChildPermission(AppPermissions.Pages_Inventory_CKD_SmqdOrderLeadTime_Delete, L( "InventoryCKDSmqdOrderLeadTimeDelete"), multiTenancySides: MultiTenancySides.Tenant);</v>
      </c>
      <c r="F68" s="48" t="str">
        <f>A.Backend!K7</f>
        <v>public virtual DbSet&lt;InvCkdSmqdOrderLeadTime&gt; InvCkdSmqdOrderLeadTimes { get; set; }</v>
      </c>
      <c r="G68" s="48" t="str">
        <f ca="1">A.Backend!L7</f>
        <v xml:space="preserve">namespace prod.Inventory.CKD
{
	public class InvCkdSmqdOrderLeadTimeConsts	
	{
		public const int MaxSupplierNoLength = 50;
		public const int MaxExpCodeLength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InvCkdSmqdOrderLeadTimeDto : EntityDto&lt;long?&gt;	
	{
		public virtual string SupplierNo { get; set; }
		public virtual DateTime? Cfc { get; set; }
		public virtual string ExpCode { get; set; }
		public virtual int? Sea { get; set; }
		public virtual int? Air { get; set; }
	}
	public class CreateOrEditInvCkdSmqdOrderLeadTimeDto : EntityDto&lt;long?&gt;	
	{
		[StringLength(InvCkdSmqdOrderLeadTimeConsts.MaxSupplierNoLength)]
		public virtual string SupplierNo { get; set; }
		public virtual DateTime? Cfc { get; set; }
		[StringLength(InvCkdSmqdOrderLeadTimeConsts.MaxExpCodeLength)]
		public virtual string ExpCode { get; set; }
		public virtual int? Sea { get; set; }
		public virtual int? Air { get; set; }
	}
	public class GetInvCkdSmqdOrderLeadTimeInput : PagedAndSortedResultRequestDto	
	{
		public virtual string SupplierNo { get; set; }
		public virtual string ExpCode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InvCkdSmqdOrderLeadTimeExportInput{
		public virtual string SupplierNo { get; set; }
		public virtual DateTime? Cfc { get; set; }
		public virtual string ExpCode { get; set; }
		public virtual int? Sea { get; set; }
		public virtual int? Air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IInvCkdSmqdOrderLeadTimeAppService : IApplicationService
	{
		Task&lt;PagedResultDto&lt;InvCkdSmqdOrderLeadTimeDto&gt;&gt; GetAll(GetInvCkdSmqdOrderLeadTimeInput input);
		Task CreateOrEdit(CreateOrEditInvCkdSmqdOrderLeadTimeDto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IInvCkdSmqdOrderLeadTimeExcelExporter : IApplicationService
	{
		FileDto ExportToFile(List&lt;InvCkdSmqdOrderLeadTimeDto&gt; invckdsmqdorderleadtime);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InvCkdSmqdOrderLeadTimeExcelExporter : NpoiExcelExporterBase, IInvCkdSmqdOrderLeadTimeExcelExporter
    {
        public InvCkdSmqdOrderLeadTimeExcelExporter(ITempFileCacheManager tempFileCacheManager) : base(tempFileCacheManager) { }
        public FileDto ExportToFile(List&lt;InvCkdSmqdOrderLeadTimeDto&gt; smqdorderleadtime)
        {
            return CreateExcelPackage(
				"InventoryCKDSmqdOrderLeadTime.xlsx",
				excelPackage =&gt;
				 {
					var sheet = excelPackage.CreateSheet("SmqdOrderLeadTime");
					AddHeader(
								sheet,
								("SupplierNo"),
								("Cfc"),
								("ExpCode"),
								("Sea"),
								("Air"),
							   );
					AddObjects(
						 sheet, 1, smqdorderleadtime,                                       
								_ =&gt; _.SupplierNo,
								_ =&gt; _.Cfc,
								_ =&gt; _.ExpCode,
								_ =&gt; _.Sea,
								_ =&gt; _.Air,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[AbpAuthorize(AppPermissions.Pages_Inventory_CKD_SmqdOrderLeadTime)]
    public class InvCkdSmqdOrderLeadTimeAppService : vovinaAppServiceBase, IInvCkdSmqdOrderLeadTimeAppService
    {
        private readonly IDapperRepository&lt;InvCkdSmqdOrderLeadTime, long&gt; _dapperRepo;
        private readonly IRepository&lt;InvCkdSmqdOrderLeadTime, long&gt; _repo;
        private readonly IInvCkdSmqdOrderLeadTimeExcelExporter _calendarListExcelExporter;
        public InvCkdSmqdOrderLeadTimeAppService(IRepository&lt;InvCkdSmqdOrderLeadTime,long&gt; repo, 
                                         IDapperRepository&lt;InvCkdSmqdOrderLeadTime,long&gt; dapperRepo,
                                        IInvCkdSmqdOrderLeadTimeExcelExporter calendarListExcelExporter
            )
        {
            _repo = repo;
            _dapperRepo = dapperRepo;
            _calendarListExcelExporter = calendarListExcelExporter;
        }
        [AbpAuthorize(AppPermissions.Pages_Inventory_CKD_SmqdOrderLeadTime_CreateEdit)]
        public async Task CreateOrEdit(CreateOrEditInvCkdSmqdOrderLeadTimeDto input)
        {
            if (input.Id == null) await Create(input);
            else await Update(input);
        }
        //CREATE
        private async Task Create(CreateOrEditInvCkdSmqdOrderLeadTimeDto input)
        {          
            var mainObj = ObjectMapper.Map&lt;InvCkdSmqdOrderLeadTime&gt;(input);
            await CurrentUnitOfWork.GetDbContext&lt;vovinaDbContext&gt;().AddAsync(mainObj);
        }
        // EDIT
        private async Task Update(CreateOrEditInvCkdSmqdOrderLeadTimeDto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[AbpAuthorize(AppPermissions.Pages_Inventory_CKD_SmqdOrderLeadTime_Delete)]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Task&lt;PagedResultDto&lt;InvCkdSmqdOrderLeadTimeDto&gt;&gt; GetAll(GetInvCkdSmqdOrderLeadTimeInput input)
        {
            var filtered = _repo.GetAll()
				.WhereIf(!string.IsNullOrWhiteSpace(input.SupplierNo), e =&gt; e.SupplierNo.Contains(input.SupplierNo))
				.WhereIf(!string.IsNullOrWhiteSpace(input.ExpCode), e =&gt; e.ExpCode.Contains(input.ExpCode))
				;
            var pageAndFiltered = filtered.OrderBy(s =&gt; s.Id);
            var system = from o in pageAndFiltered
                         select new InvCkdSmqdOrderLeadTimeDto
                        {
							Id = o.Id,
							SupplierNo = o.SupplierNo,
							Cfc = o.Cfc,
							ExpCode = o.ExpCode,
							Sea = o.Sea,
							Air = o.Air,
                        };
            var totalCount = await filtered.CountAsync();
			var paged = system.PageBy(input);
            return new PagedResultDto&lt;InvCkdSmqdOrderLeadTimeDto&gt;(
                totalCount,
                 await paged.ToListAsync()
            );
        }
        public async Task&lt;FileDto&gt; GetSmqdOrderLeadTimeToExcel(InvCkdSmqdOrderLeadTimeExportInput input)
        {
            var query = from o in _repo.GetAll()
                        select new InvCkdSmqdOrderLeadTimeDto
                        {
							Id = o.Id,
							SupplierNo = o.SupplierNo,
							Cfc = o.Cfc,
							ExpCode = o.ExpCode,
							Sea = o.Sea,
							Air = o.Air,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_dapperRepo.ExecuteAsync(InvCkdSmqdOrderLeadTimeConsts.SP_MST_WPT_CALENDAR_GENERATE);
       // }
    }
}</v>
      </c>
      <c r="N68" s="58" t="str">
        <f>A.Backend!U7</f>
        <v xml:space="preserve">  configuration.CreateMap&lt;InvCkdSmqdOrderLeadTimeDto, InvCkdSmqdOrderLeadTime&gt;();
  configuration.CreateMap&lt;InvCkdSmqdOrderLeadTime, InvCkdSmqdOrderLeadTimeDto&gt;();
  configuration.CreateMap&lt;CreateOrEditInvCkdSmqdOrderLeadTimeDto, InvCkdSmqdOrderLeadTime&gt;();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smqdorderleadtime</v>
      </c>
      <c r="C73" s="66" t="str">
        <f>"create folder " &amp;B73</f>
        <v>create folder smqdorderleadtime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smqdorderleadtime.component.ts</v>
      </c>
      <c r="D74" s="28" t="str">
        <f>B.Frontend!I14</f>
        <v>smqdorderleadtime.component.html</v>
      </c>
      <c r="E74" s="28" t="str">
        <f>B.Frontend!J14</f>
        <v>smqdorderleadtime.component.less</v>
      </c>
      <c r="F74" s="28" t="str">
        <f>B.Frontend!K14</f>
        <v>create-or-edit-smqdorderleadtime-modal.component.html</v>
      </c>
      <c r="G74" s="28" t="str">
        <f>B.Frontend!L14</f>
        <v>create-or-edit-smqdorderleadtime-modal.component.ts</v>
      </c>
      <c r="H74" s="28" t="str">
        <f>B.Frontend!M14</f>
        <v>create-or-edit-smqdorderleadtime-modal.component.less</v>
      </c>
      <c r="I74" s="28" t="str">
        <f>B.Frontend!N14</f>
        <v>smqdorderleadtime.module.ts</v>
      </c>
      <c r="J74" s="28" t="str">
        <f>B.Frontend!O14</f>
        <v>smqdorderleadtime-routing.module.ts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InvCkdSmqdOrderLeadTimeDto, InvCkdSmqdOrderLeadTimeServiceProxy } from '@shared/service-proxies/service-proxies';
import { finalize } from 'rxjs/internal/operators/finalize';
import { CreateOrEditSmqdOrderLeadTimeModalComponent } from './create-or-edit-smqdorderleadtime-modal.component';
import { DatePipe } from '@angular/common';
import { FileDownloadService } from '@shared/utils/file-download.service';
import ceil from 'lodash-es/ceil';
import { Paginator } from 'primeng/paginator';
@Component({
    templateUrl: './smqdorderleadtime.component.html',
    styleUrls: ['./smqdorderleadtime.component.less'],
})
export class SmqdOrderLeadTimeComponent extends AppComponentBase implements OnInit {
    @ViewChild('createOrEditModalSmqdOrderLeadTime', { static: true }) createOrEditModalSmqdOrderLeadTime:| CreateOrEditSmqdOrderLeadTimeModalComponent|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InvCkdSmqdOrderLeadTimeDto = new InvCkdSmqdOrderLeadTimeDto();
    saveSelectedRow: InvCkdSmqdOrderLeadTimeDto = new InvCkdSmqdOrderLeadTimeDto();
    datas: InvCkdSmqdOrderLeadTimeDto = new InvCkdSmqdOrderLeadTimeDto();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cfc
	expCode : string = '' ; 
	sea
	air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InvCkdSmqdOrderLeadTimeServiceProxy,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this.l('Cfc'),headerTooltip: this.l('Cfc'),field: 'cfc',flex: 1},
			{headerName: this.l('Exp Code'),headerTooltip: this.l('Exp Code'),field: 'expCode',flex: 1},
			{headerName: this.l('Sea'),headerTooltip: this.l('Sea'),field: 'sea',flex: 1},
			{headerName: this.l('Air'),headerTooltip: this.l('Air'),field: 'air',flex: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this.cfc,
			this.expCode,
			this.sea,
			this.air,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this.cfc = '',
		this.expCode = '',
		this.sea = '',
		this.air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this.cfc,
			this.expCode,
			this.sea,
			this.air,
			'',
            this.paginationParams.skipCount,
            this.paginationParams.pageSize
        );
    }
    onChangeRowSelection(params: { api: { getSelectedRows: () =&gt; InvCkdSmqdOrderLeadTimeDto[] } }) {
        this.saveSelectedRow = params.api.getSelectedRows()[0] ?? new InvCkdSmqdOrderLeadTimeDto();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InvCkdSmqdOrderLeadTimeDto):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this._service.getSmqdOrderLeadTimeToExcel(
			this.supplierNo,
			this.cfc,
			this.expCode,
			this.sea,
			this.air,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Smqd Order Lead 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[(ngModel)]='expCode' name='expCode'
									class='form-control' [placeholder]="l('Exp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(click)="createOrEditModalSmqdOrderLeadTime.show()"&gt;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(click)="createOrEditModalSmqdOrderLeadTime.show(selectedRow)"&gt;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&lt;create-or-edit-smqdorderleadtime-modal
    #createOrEditModalSmqdOrderLeadTime
    (modalSave)="callBackDataGrid(dataParams)"
    (modalClose)="onChangeRowSelection(dataParams)"
&gt;
&lt;/create-or-edit-smqdorderleadtime-modal&gt;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#createOrEditModalSmqdOrderLeadTime="bs-modal"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SmqdOrderLeadTime')}}&lt;/h3&gt;
                    &lt;h3 *ngIf="!rowdata.id"&gt;{{('Create New SmqdOrderLeadTime')}}&lt;/h3&gt;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title'&gt;Exp Code&lt;/label&gt;
						&lt;input type='text' class='col-md-10 form-control input-text' name='ExpCode' [(ngModel)]='rowdata.expCode'&gt;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CreateOrEditInvCkdSmqdOrderLeadTimeDto, InvCkdSmqdOrderLeadTimeServiceProxy } from '@shared/service-proxies/service-proxies';
import { BsDatepickerDirective } from 'ngx-bootstrap/datepicker';
@Component({
    selector: 'create-or-edit-smqdorderleadtime-modal',
    templateUrl: './create-or-edit-smqdorderleadtime-modal.component.html',
    styleUrls: ['./create-or-edit-smqdorderleadtime-modal.component.less']
    })
export class CreateOrEditSmqdOrderLeadTimeModalComponent extends AppComponentBase {
    @ViewChild('createOrEditModalSmqdOrderLeadTime',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CreateOrEditInvCkdSmqdOrderLeadTimeDto = new CreateOrEditInvCkdSmqdOrderLeadTimeDto();
    active: boolean = false;
    saving: boolean = false;
    _: boolean;
    constructor(
        injector: Injector,
        private _mstwptSmqdOrderLeadTimeService: InvCkdSmqdOrderLeadTimeServiceProxy,
    ) 
    {
        super(injector);
    }
    show(rowdata?: CreateOrEditInvCkdSmqdOrderLeadTimeDto): void {
        if (!rowdata) this.rowdata = new CreateOrEditInvCkdSmqdOrderLeadTimeDto();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this._mstwptSmqdOrderLeadTimeService.createOrEdit(this.rowdata)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SmqdOrderLeadTimeRoutingModule } from './smqdorderleadtime-routing.module';
import { SmqdOrderLeadTimeComponent } from './smqdorderleadtime.component';
import { CreateOrEditSmqdOrderLeadTimeModalComponent } from './create-or-edit-smqdorderleadtime-modal.component';
@NgModule({
    declarations: [
       SmqdOrderLeadTimeComponent, 
        CreateOrEditSmqdOrderLeadTimeModalComponent
    ],
    imports: [
        AppSharedModule, SmqdOrderLeadTimeRoutingModule]
})
export class SmqdOrderLeadTimeModule {}</v>
      </c>
      <c r="J75" s="46" t="str">
        <f>B.Frontend!O10</f>
        <v>import {NgModule} from '@angular/core';
import {RouterModule, Routes} from '@angular/router';
import { SmqdOrderLeadTimeComponent } from './smqdorderleadtime.component';
const routes: Routes = [{
    path: '',
    component: SmqdOrderLeadTimeComponent,
    pathMatch: 'full'
}];
@NgModule({
    imports: [RouterModule.forChild(routes)],
    exports: [RouterModule],
})
export class SmqdOrderLeadTimeRoutingModule {}</v>
      </c>
      <c r="K75" s="46" t="str">
        <f>B.Frontend!P10</f>
        <v xml:space="preserve"> new AppMenuItem("SmqdOrderLeadTime", "Pages.Inventory.CKD.SmqdOrderLeadTime", "flaticon-book",   "/app/main/inventory/ckd/smqdorderleadtime"),</v>
      </c>
      <c r="L75" s="47" t="str">
        <f>B.Frontend!Q10</f>
        <v>{
    path: 'inventory/ckd/smqdorderleadtime',
    loadChildren: () =&gt; import('./inventory/ckd/smqdorderleadtime/smqdorderleadtime.module').then(m =&gt; m.SmqdOrderLeadTimeModule),
    data: { permission: 'Pages.Inventory.CKD.SmqdOrderLeadTime' }
},</v>
      </c>
      <c r="M75" s="45" t="str">
        <f>B.Frontend!R10</f>
        <v>ApiServiceProxies.InvCkdSmqdOrderLeadTimeServiceProxy,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5"/>
  <sheetViews>
    <sheetView workbookViewId="0">
      <pane xSplit="1" topLeftCell="B1" activePane="topRight" state="frozen"/>
      <selection pane="topRight" activeCell="B13" sqref="B1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359</v>
      </c>
      <c r="C3" s="9" t="s">
        <v>41</v>
      </c>
      <c r="D3" s="9" t="s">
        <v>42</v>
      </c>
      <c r="E3" s="9" t="s">
        <v>37</v>
      </c>
      <c r="F3" s="10" t="str">
        <f>"J"&amp;COUNTA($A:$A)</f>
        <v>J13</v>
      </c>
      <c r="G3" s="4" t="s">
        <v>54</v>
      </c>
      <c r="H3" s="9" t="str">
        <f>"I"&amp;COUNTA($A:$A)</f>
        <v>I13</v>
      </c>
      <c r="I3" s="9" t="str">
        <f>REPT(CHAR(9),2)&amp;"[Required]"&amp;"
"</f>
        <v xml:space="preserve">		[Required]
</v>
      </c>
      <c r="J3" s="10" t="str">
        <f>"L"&amp;COUNTA($A:$A)</f>
        <v>L13</v>
      </c>
      <c r="K3" s="5" t="s">
        <v>53</v>
      </c>
      <c r="L3" s="10" t="str">
        <f>"M"&amp;COUNTA($A:$A)</f>
        <v>M13</v>
      </c>
      <c r="M3" s="10" t="str">
        <f>"N"&amp;COUNTA($A:$A)</f>
        <v>N13</v>
      </c>
      <c r="N3" s="10" t="str">
        <f>"O"&amp;COUNTA($A:$A)</f>
        <v>O13</v>
      </c>
      <c r="O3" s="10" t="str">
        <f>"P"&amp;COUNTA($A:$A)</f>
        <v>P13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InvCkdSmqdOrderLeadTimeExportInput{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T13</v>
      </c>
      <c r="V3" s="10" t="str">
        <f>"V"&amp;COUNTA($A:$A)</f>
        <v>V13</v>
      </c>
      <c r="W3" s="9" t="str">
        <f>"W"&amp;COUNTA($A:$A)</f>
        <v>W13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InvCkdSmqdOrderLeadTime: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InvCkdSmqdOrderLeadTimeConsts	
	{
</v>
      </c>
      <c r="F6" s="10" t="str">
        <f>REPT(CHAR(9),1)&amp;"public class "&amp;B3&amp;"Dto"&amp;K3&amp;REPT(CHAR(9),1)&amp;"
"&amp;REPT(CHAR(9),1)&amp;C3</f>
        <v xml:space="preserve">	public class InvCkdSmqdOrderLeadTimeDto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CreateOrEditInvCkdSmqdOrderLeadTimeDto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GetInvCkdSmqdOrderLeadTimeInput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InvCkdSmqdOrderLeadTime</v>
      </c>
      <c r="C7" s="10" t="str">
        <f>REPT(CHAR(9),1)&amp;"[Table("""&amp;B7&amp;""")]"&amp;"
"</f>
        <v xml:space="preserve">	[Table("InvCkdSmqdOrderLeadTime")]
</v>
      </c>
      <c r="D7" s="10"/>
      <c r="E7" s="10"/>
      <c r="F7" s="10"/>
      <c r="G7" s="10"/>
      <c r="H7" s="10"/>
      <c r="I7" s="10"/>
      <c r="J7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[Table("InvCkdSmqdOrderLeadTime")]
	public class InvCkdSmqdOrderLeadTime: FullAuditedEntity&lt;long&gt;, IEntity&lt;long&gt;	
	{
		public const int MaxSupplierNoLength = 50;
		public const int MaxExpCodeLength = 50;
		[StringLength(MaxSupplierNoLength)]
		public virtual string SupplierNo { get; set; }
		public virtual DateTime? Cfc { get; set; }
		[StringLength(MaxExpCodeLength)]
		public virtual string ExpCode { get; set; }
		public virtual int? Sea { get; set; }
		public virtual int? Air { get; set; }
	}
}
</v>
      </c>
      <c r="K7" t="str">
        <f>SUBSTITUTE(SUBSTITUTE(("public virtual DbSet&lt;"&amp;B3&amp;"&gt; "&amp;B3&amp;"s { get; set; }"),"WorkingPattern",$Q$3),"Master",$B$4)</f>
        <v>public virtual DbSet&lt;InvCkdSmqdOrderLeadTime&gt; InvCkdSmqdOrderLeadTimes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prod.Inventory.CKD
{
	public class InvCkdSmqdOrderLeadTimeConsts	
	{
		public const int MaxSupplierNoLength = 50;
		public const int MaxExpCodeLength = 50;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prod.Inventory.CKD.Dto
{
	public class InvCkdSmqdOrderLeadTimeDto : EntityDto&lt;long?&gt;	
	{
		public virtual string SupplierNo { get; set; }
		public virtual DateTime? Cfc { get; set; }
		public virtual string ExpCode { get; set; }
		public virtual int? Sea { get; set; }
		public virtual int? Air { get; set; }
	}
	public class CreateOrEditInvCkdSmqdOrderLeadTimeDto : EntityDto&lt;long?&gt;	
	{
		[StringLength(InvCkdSmqdOrderLeadTimeConsts.MaxSupplierNoLength)]
		public virtual string SupplierNo { get; set; }
		public virtual DateTime? Cfc { get; set; }
		[StringLength(InvCkdSmqdOrderLeadTimeConsts.MaxExpCodeLength)]
		public virtual string ExpCode { get; set; }
		public virtual int? Sea { get; set; }
		public virtual int? Air { get; set; }
	}
	public class GetInvCkdSmqdOrderLeadTimeInput : PagedAndSortedResultRequestDto	
	{
		public virtual string SupplierNo { get; set; }
		public virtual string ExpCode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perInvCkdSmqdOrderLeadTime = PARENTS.CreateChildPermission(AppPermissions.Pages_Inventory_CKD_SmqdOrderLeadTime, L( "InventoryCKDSmqdOrderLeadTime"), multiTenancySides: MultiTenancySides.Tenant);
		perInvCkdSmqdOrderLeadTime.CreateChildPermission(AppPermissions.Pages_Inventory_CKD_SmqdOrderLeadTime_CreateEdit, L( "InventoryCKDSmqdOrderLeadTimeCreateEdit"), multiTenancySides: MultiTenancySides.Tenant);
		perInvCkdSmqdOrderLeadTime.CreateChildPermission(AppPermissions.Pages_Inventory_CKD_SmqdOrderLeadTime_Delete, L( "InventoryCKDSmqdOrderLeadTimeDelete"),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Pages_Inventory_CKD_SmqdOrderLeadTime = "Pages.Inventory.CKD.SmqdOrderLeadTime";
		public const string Pages_Inventory_CKD_SmqdOrderLeadTime_CreateEdit = "Pages.Inventory.CKD.SmqdOrderLeadTime.CreateEdit";
		public const string Pages_Inventory_CKD_SmqdOrderLeadTime_Delete = "Pages.Inventory.CKD.SmqdOrderLeadTime.Delete";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IInvCkdSmqdOrderLeadTimeAppService : IApplicationService
	{
		Task&lt;PagedResultDto&lt;InvCkdSmqdOrderLeadTimeDto&gt;&gt; GetAll(GetInvCkdSmqdOrderLeadTimeInput input);
		Task CreateOrEdit(CreateOrEditInvCkdSmqdOrderLeadTimeDto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[AbpAuthorize(AppPermissions.Pages_Inventory_CKD_SmqdOrderLeadTime)]
    public class InvCkdSmqdOrderLeadTimeAppService : vovinaAppServiceBase, IInvCkdSmqdOrderLeadTimeAppService
    {
        private readonly IDapperRepository&lt;InvCkdSmqdOrderLeadTime, long&gt; _dapperRepo;
        private readonly IRepository&lt;InvCkdSmqdOrderLeadTime, long&gt; _repo;
        private readonly IInvCkdSmqdOrderLeadTimeExcelExporter _calendarListExcelExporter;
        public InvCkdSmqdOrderLeadTimeAppService(IRepository&lt;InvCkdSmqdOrderLeadTime,long&gt; repo, 
                                         IDapperRepository&lt;InvCkdSmqdOrderLeadTime,long&gt; dapperRepo,
                                        IInvCkdSmqdOrderLeadTimeExcelExporter calendarListExcelExporter
            )
        {
            _repo = repo;
            _dapperRepo = dapperRepo;
            _calendarListExcelExporter = calendarListExcelExporter;
        }
        [AbpAuthorize(AppPermissions.Pages_Inventory_CKD_SmqdOrderLeadTime_CreateEdit)]
        public async Task CreateOrEdit(CreateOrEditInvCkdSmqdOrderLeadTimeDto input)
        {
            if (input.Id == null) await Create(input);
            else await Update(input);
        }
        //CREATE
        private async Task Create(CreateOrEditInvCkdSmqdOrderLeadTimeDto input)
        {          
            var mainObj = ObjectMapper.Map&lt;InvCkdSmqdOrderLeadTime&gt;(input);
            await CurrentUnitOfWork.GetDbContext&lt;vovinaDbContext&gt;().AddAsync(mainObj);
        }
        // EDIT
        private async Task Update(CreateOrEditInvCkdSmqdOrderLeadTimeDto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[AbpAuthorize(AppPermissions.Pages_Inventory_CKD_SmqdOrderLeadTime_Delete)]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Task&lt;PagedResultDto&lt;InvCkdSmqdOrderLeadTimeDto&gt;&gt; GetAll(GetInvCkdSmqdOrderLeadTimeInput input)
        {
            var filtered = _repo.GetAll()
				.WhereIf(!string.IsNullOrWhiteSpace(input.SupplierNo), e =&gt; e.SupplierNo.Contains(input.SupplierNo))
				.WhereIf(!string.IsNullOrWhiteSpace(input.ExpCode), e =&gt; e.ExpCode.Contains(input.ExpCode))
				;
            var pageAndFiltered = filtered.OrderBy(s =&gt; s.Id);
            var system = from o in pageAndFiltered
                         select new InvCkdSmqdOrderLeadTimeDto
                        {
							Id = o.Id,
							SupplierNo = o.SupplierNo,
							Cfc = o.Cfc,
							ExpCode = o.ExpCode,
							Sea = o.Sea,
							Air = o.Air,
                        };
            var totalCount = await filtered.CountAsync();
			var paged = system.PageBy(input);
            return new PagedResultDto&lt;InvCkdSmqdOrderLeadTimeDto&gt;(
                totalCount,
                 await paged.ToListAsync()
            );
        }
        public async Task&lt;FileDto&gt; GetSmqdOrderLeadTimeToExcel(InvCkdSmqdOrderLeadTimeExportInput input)
        {
            var query = from o in _repo.GetAll()
                        select new InvCkdSmqdOrderLeadTimeDto
                        {
							Id = o.Id,
							SupplierNo = o.SupplierNo,
							Cfc = o.Cfc,
							ExpCode = o.ExpCode,
							Sea = o.Sea,
							Air = o.Air,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_dapperRepo.ExecuteAsync(InvCkdSmqdOrderLeadTimeConsts.SP_MST_WPT_CALENDAR_GENERATE);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prod.Inventory.CKD.Dto
{
	public class InvCkdSmqdOrderLeadTimeExportInput{
		public virtual string SupplierNo { get; set; }
		public virtual DateTime? Cfc { get; set; }
		public virtual string ExpCode { get; set; }
		public virtual int? Sea { get; set; }
		public virtual int? Air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IInvCkdSmqdOrderLeadTimeExcelExporter : IApplicationService
	{
		FileDto ExportToFile(List&lt;InvCkdSmqdOrderLeadTimeDto&gt; invckdsmqdorderleadtime);
	}
}
</v>
      </c>
      <c r="T7" s="26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InvCkdSmqdOrderLeadTimeExcelExporter : NpoiExcelExporterBase, IInvCkdSmqdOrderLeadTimeExcelExporter
    {
        public InvCkdSmqdOrderLeadTimeExcelExporter(ITempFileCacheManager tempFileCacheManager) : base(tempFileCacheManager) { }
        public FileDto ExportToFile(List&lt;InvCkdSmqdOrderLeadTimeDto&gt; smqdorderleadtime)
        {
            return CreateExcelPackage(
				"InventoryCKDSmqdOrderLeadTime.xlsx",
				excelPackage =&gt;
				 {
					var sheet = excelPackage.CreateSheet("SmqdOrderLeadTime");
					AddHeader(
								sheet,
								("SupplierNo"),
								("Cfc"),
								("ExpCode"),
								("Sea"),
								("Air"),
							   );
					AddObjects(
						 sheet, 1, smqdorderleadtime,                                       
								_ =&gt; _.SupplierNo,
								_ =&gt; _.Cfc,
								_ =&gt; _.ExpCode,
								_ =&gt; _.Sea,
								_ =&gt; _.Air,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configuration.CreateMap&lt;InvCkdSmqdOrderLeadTimeDto, InvCkdSmqdOrderLeadTime&gt;();
  configuration.CreateMap&lt;InvCkdSmqdOrderLeadTime, InvCkdSmqdOrderLeadTimeDto&gt;();
  configuration.CreateMap&lt;CreateOrEditInvCkdSmqdOrderLeadTimeDto, InvCkdSmqdOrderLeadTime&gt;();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349</v>
      </c>
      <c r="B9" t="s">
        <v>358</v>
      </c>
      <c r="C9" t="s">
        <v>1</v>
      </c>
      <c r="D9" t="str">
        <f t="shared" ref="D9" si="0">SUBSTITUTE(PROPER(A9),"_","")</f>
        <v>SupplierNo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MaxSupplierNoLength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[StringLength(MaxSupplierNoLength)]
		public virtual string SupplierNo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[StringLength(InvCkdSmqdOrderLeadTimeConsts.MaxSupplierNoLength)]
		public virtual string SupplierNo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SupplierNo { get; set; }
</v>
      </c>
      <c r="P9" t="str">
        <f t="shared" ref="P9" si="9">REPT(CHAR(9),7)&amp;D9&amp;" = o." &amp;D9 &amp;","</f>
        <v xml:space="preserve">							SupplierNo = o.SupplierNo,</v>
      </c>
      <c r="T9" s="63" t="str">
        <f t="shared" ref="T9" si="10">REPT(CHAR(9),8)&amp;"("""&amp;D9&amp;"""),"</f>
        <v xml:space="preserve">								("SupplierNo"),</v>
      </c>
      <c r="V9" s="64" t="str">
        <f t="shared" ref="V9" si="11">REPT(CHAR(9),8)&amp;"_ =&gt; _."&amp;D9&amp;","</f>
        <v xml:space="preserve">								_ =&gt; _.SupplierNo,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.WhereIf(!string.IsNullOrWhiteSpace(input.SupplierNo), e =&gt; e.SupplierNo.Contains(input.SupplierNo))</v>
      </c>
    </row>
    <row r="10" spans="1:23" customFormat="1" ht="18.75" customHeight="1" x14ac:dyDescent="0.25">
      <c r="A10" t="s">
        <v>356</v>
      </c>
      <c r="B10" t="s">
        <v>357</v>
      </c>
      <c r="C10" t="s">
        <v>1</v>
      </c>
      <c r="D10" t="str">
        <f t="shared" ref="D10:D11" si="13">SUBSTITUTE(PROPER(A10),"_","")</f>
        <v>Cfc</v>
      </c>
      <c r="E10" t="str">
        <f t="shared" ref="E10:E11" si="14">IFERROR(LEFT(B10, FIND("(",B10)-1),B10)</f>
        <v>Date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DateTime?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DateTime? Cfc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DateTime? Cfc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Cfc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Cfc = o.Cfc,</v>
      </c>
      <c r="T10" s="63" t="str">
        <f t="shared" ref="T10:T11" si="23">REPT(CHAR(9),8)&amp;"("""&amp;D10&amp;"""),"</f>
        <v xml:space="preserve">								("Cfc"),</v>
      </c>
      <c r="V10" s="64" t="str">
        <f t="shared" ref="V10:V11" si="24">REPT(CHAR(9),8)&amp;"_ =&gt; _."&amp;D10&amp;","</f>
        <v xml:space="preserve">								_ =&gt; _.Cfc,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361</v>
      </c>
      <c r="B11" t="s">
        <v>358</v>
      </c>
      <c r="C11" t="s">
        <v>1</v>
      </c>
      <c r="D11" t="str">
        <f t="shared" si="13"/>
        <v>ExpCode</v>
      </c>
      <c r="E11" t="str">
        <f t="shared" si="14"/>
        <v>VARCHAR</v>
      </c>
      <c r="F11" s="6"/>
      <c r="G11" t="str">
        <f t="shared" si="15"/>
        <v>50</v>
      </c>
      <c r="H11" t="str">
        <f>+VLOOKUP(E11,'Data Type Mapping'!A:B,2,)</f>
        <v>string</v>
      </c>
      <c r="I11" t="str">
        <f t="shared" si="16"/>
        <v xml:space="preserve">		public const int MaxExpCodeLength = 50;
</v>
      </c>
      <c r="J11" t="str">
        <f t="shared" si="17"/>
        <v xml:space="preserve">		[StringLength(MaxExpCodeLength)]
		public virtual string ExpCode { get; set; }
</v>
      </c>
      <c r="K11" s="6"/>
      <c r="L11" t="str">
        <f t="shared" si="18"/>
        <v/>
      </c>
      <c r="M11" t="str">
        <f t="shared" si="19"/>
        <v xml:space="preserve">		public virtual string ExpCode { get; set; }
</v>
      </c>
      <c r="N11" t="str">
        <f t="shared" si="20"/>
        <v xml:space="preserve">		[StringLength(InvCkdSmqdOrderLeadTimeConsts.MaxExpCodeLength)]
		public virtual string ExpCode { get; set; }
</v>
      </c>
      <c r="O11" t="str">
        <f t="shared" si="21"/>
        <v xml:space="preserve">		public virtual string ExpCode { get; set; }
</v>
      </c>
      <c r="P11" t="str">
        <f t="shared" si="22"/>
        <v xml:space="preserve">							ExpCode = o.ExpCode,</v>
      </c>
      <c r="T11" s="63" t="str">
        <f t="shared" si="23"/>
        <v xml:space="preserve">								("ExpCode"),</v>
      </c>
      <c r="V11" s="64" t="str">
        <f t="shared" si="24"/>
        <v xml:space="preserve">								_ =&gt; _.ExpCode,</v>
      </c>
      <c r="W11" s="63" t="str">
        <f t="shared" si="25"/>
        <v xml:space="preserve">				.WhereIf(!string.IsNullOrWhiteSpace(input.ExpCode), e =&gt; e.ExpCode.Contains(input.ExpCode))</v>
      </c>
    </row>
    <row r="12" spans="1:23" customFormat="1" ht="18.75" customHeight="1" x14ac:dyDescent="0.25">
      <c r="A12" t="s">
        <v>362</v>
      </c>
      <c r="B12" t="s">
        <v>4</v>
      </c>
      <c r="C12" t="s">
        <v>1</v>
      </c>
      <c r="D12" t="str">
        <f t="shared" ref="D12:D13" si="26">SUBSTITUTE(PROPER(A12),"_","")</f>
        <v>Sea</v>
      </c>
      <c r="E12" t="str">
        <f t="shared" ref="E12:E13" si="27">IFERROR(LEFT(B12, FIND("(",B12)-1),B12)</f>
        <v>int</v>
      </c>
      <c r="F12" s="6"/>
      <c r="G12" t="str">
        <f t="shared" ref="G12:G13" si="28">IFERROR(MID(B12,FIND("(",B12) +1, FIND(")",B12) - FIND("(",B12) - 1),"")</f>
        <v/>
      </c>
      <c r="H12" t="str">
        <f>+VLOOKUP(E12,'Data Type Mapping'!A:B,2,)</f>
        <v>int?</v>
      </c>
      <c r="I12" t="str">
        <f t="shared" ref="I12:I13" si="29">IF(H12="string",REPT(CHAR(9),2)&amp;"public const int Max"&amp;D12&amp;"Length = "&amp;G12&amp;";"&amp;$E$3,"" )</f>
        <v/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Sea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int? Sea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Sea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3" si="35">REPT(CHAR(9),7)&amp;D12&amp;" = o." &amp;D12 &amp;","</f>
        <v xml:space="preserve">							Sea = o.Sea,</v>
      </c>
      <c r="T12" s="63" t="str">
        <f t="shared" ref="T12:T13" si="36">REPT(CHAR(9),8)&amp;"("""&amp;D12&amp;"""),"</f>
        <v xml:space="preserve">								("Sea"),</v>
      </c>
      <c r="V12" s="64" t="str">
        <f t="shared" ref="V12:V13" si="37">REPT(CHAR(9),8)&amp;"_ =&gt; _."&amp;D12&amp;","</f>
        <v xml:space="preserve">								_ =&gt; _.Sea,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363</v>
      </c>
      <c r="B13" t="s">
        <v>4</v>
      </c>
      <c r="C13" t="s">
        <v>1</v>
      </c>
      <c r="D13" t="str">
        <f t="shared" si="26"/>
        <v>Air</v>
      </c>
      <c r="E13" t="str">
        <f t="shared" si="27"/>
        <v>int</v>
      </c>
      <c r="F13" s="6"/>
      <c r="G13" t="str">
        <f t="shared" si="28"/>
        <v/>
      </c>
      <c r="H13" t="str">
        <f>+VLOOKUP(E13,'Data Type Mapping'!A:B,2,)</f>
        <v>int?</v>
      </c>
      <c r="I13" t="str">
        <f t="shared" si="29"/>
        <v/>
      </c>
      <c r="J13" t="str">
        <f t="shared" si="30"/>
        <v xml:space="preserve">		public virtual int? Air { get; set; }
</v>
      </c>
      <c r="K13" s="6"/>
      <c r="L13" t="str">
        <f t="shared" si="31"/>
        <v/>
      </c>
      <c r="M13" t="str">
        <f t="shared" si="32"/>
        <v xml:space="preserve">		public virtual int? Air { get; set; }
</v>
      </c>
      <c r="N13" t="str">
        <f t="shared" si="33"/>
        <v xml:space="preserve">		public virtual int? Air { get; set; }
</v>
      </c>
      <c r="O13" t="str">
        <f t="shared" si="34"/>
        <v/>
      </c>
      <c r="P13" t="str">
        <f t="shared" si="35"/>
        <v xml:space="preserve">							Air = o.Air,</v>
      </c>
      <c r="T13" s="63" t="str">
        <f t="shared" si="36"/>
        <v xml:space="preserve">								("Air"),</v>
      </c>
      <c r="V13" s="64" t="str">
        <f t="shared" si="37"/>
        <v xml:space="preserve">								_ =&gt; _.Air,</v>
      </c>
      <c r="W13" s="63" t="str">
        <f t="shared" si="38"/>
        <v/>
      </c>
    </row>
    <row r="15" spans="1:23" ht="45.75" customHeight="1" x14ac:dyDescent="0.25">
      <c r="H15" s="11"/>
      <c r="I15" s="31" t="str">
        <f ca="1">TEXTJOIN2("
", TRUE,INDIRECT( $H$1):INDIRECT( $H$3))</f>
        <v xml:space="preserve">		public const int MaxSupplierNoLength = 50;
		public const int MaxExpCodeLength = 50;
</v>
      </c>
      <c r="J15" s="30" t="str">
        <f ca="1">TEXTJOIN2("
", TRUE,INDIRECT( $F$1):INDIRECT( $F$3))</f>
        <v xml:space="preserve">		[StringLength(MaxSupplierNoLength)]
		public virtual string SupplierNo { get; set; }
		public virtual DateTime? Cfc { get; set; }
		[StringLength(MaxExpCodeLength)]
		public virtual string ExpCode { get; set; }
		public virtual int? Sea { get; set; }
		public virtual int? Air { get; set; }
</v>
      </c>
      <c r="K15" s="32" t="str">
        <f ca="1">TEXTJOIN2("
", TRUE,INDIRECT( $J$1):INDIRECT( $J$3))</f>
        <v/>
      </c>
      <c r="L15" s="12" t="s">
        <v>57</v>
      </c>
      <c r="M15" s="33" t="str">
        <f ca="1">TEXTJOIN2("
",TRUE,INDIRECT( $L$1):INDIRECT($L$3))</f>
        <v xml:space="preserve">		public virtual string SupplierNo { get; set; }
		public virtual DateTime? Cfc { get; set; }
		public virtual string ExpCode { get; set; }
		public virtual int? Sea { get; set; }
		public virtual int? Air { get; set; }
</v>
      </c>
      <c r="N15" s="30" t="str">
        <f ca="1">TEXTJOIN2("
",TRUE,INDIRECT( $M$1):INDIRECT($M$3))</f>
        <v xml:space="preserve">		[StringLength(InvCkdSmqdOrderLeadTimeConsts.MaxSupplierNoLength)]
		public virtual string SupplierNo { get; set; }
		public virtual DateTime? Cfc { get; set; }
		[StringLength(InvCkdSmqdOrderLeadTimeConsts.MaxExpCodeLength)]
		public virtual string ExpCode { get; set; }
		public virtual int? Sea { get; set; }
		public virtual int? Air { get; set; }
</v>
      </c>
      <c r="O15" s="30" t="str">
        <f ca="1">TEXTJOIN2("
",TRUE,INDIRECT( $N$1):INDIRECT($N$3))</f>
        <v xml:space="preserve">		public virtual string SupplierNo { get; set; }
		public virtual string ExpCode { get; set; }
</v>
      </c>
      <c r="P15" s="8" t="str">
        <f ca="1">TEXTJOIN2("
",TRUE,INDIRECT( $O$1):INDIRECT($O$3))</f>
        <v xml:space="preserve">							SupplierNo = o.SupplierNo,
							Cfc = o.Cfc,
							ExpCode = o.ExpCode,
							Sea = o.Sea,
							Air = o.Air,</v>
      </c>
      <c r="T15" s="8" t="str">
        <f ca="1">TEXTJOIN2("
",TRUE,INDIRECT( $T$2):INDIRECT($T$3))</f>
        <v xml:space="preserve">								("SupplierNo"),
								("Cfc"),
								("ExpCode"),
								("Sea"),
								("Air"),</v>
      </c>
      <c r="V15" s="8" t="str">
        <f ca="1">TEXTJOIN2("
",TRUE,INDIRECT( $V$2):INDIRECT($V$3))</f>
        <v xml:space="preserve">								_ =&gt; _.SupplierNo,
								_ =&gt; _.Cfc,
								_ =&gt; _.ExpCode,
								_ =&gt; _.Sea,
								_ =&gt; _.Air,</v>
      </c>
      <c r="W15" s="8" t="str">
        <f ca="1">TEXTJOIN2("
",TRUE,INDIRECT( $W$2):INDIRECT($W$3))</f>
        <v xml:space="preserve">				.WhereIf(!string.IsNullOrWhiteSpace(input.SupplierNo), e =&gt; e.SupplierNo.Contains(input.SupplierNo))
				.WhereIf(!string.IsNullOrWhiteSpace(input.ExpCode), e =&gt; e.ExpCode.Contains(input.ExpCode))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1"/>
  <sheetViews>
    <sheetView workbookViewId="0">
      <selection activeCell="B2" sqref="B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364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InvCkdSmqdOrderLeadTime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SmqdOrderLeadTime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smqdorderleadtime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InvCkdSmqdOrderLeadTimeDto, InvCkdSmqdOrderLeadTimeServiceProxy } from '@shared/service-proxies/service-proxies';
import { finalize } from 'rxjs/internal/operators/finalize';
import { CreateOrEditSmqdOrderLeadTimeModalComponent } from './create-or-edit-smqdorderleadtime-modal.component';
import { DatePipe } from '@angular/common';
import { FileDownloadService } from '@shared/utils/file-download.service';
import ceil from 'lodash-es/ceil';
import { Paginator } from 'primeng/paginator';
@Component({
    templateUrl: './smqdorderleadtime.component.html',
    styleUrls: ['./smqdorderleadtime.component.less'],
})
export class SmqdOrderLeadTimeComponent extends AppComponentBase implements OnInit {
    @ViewChild('createOrEditModalSmqdOrderLeadTime', { static: true }) createOrEditModalSmqdOrderLeadTime:| CreateOrEditSmqdOrderLeadTimeModalComponent|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InvCkdSmqdOrderLeadTimeDto = new InvCkdSmqdOrderLeadTimeDto();
    saveSelectedRow: InvCkdSmqdOrderLeadTimeDto = new InvCkdSmqdOrderLeadTimeDto();
    datas: InvCkdSmqdOrderLeadTimeDto = new InvCkdSmqdOrderLeadTimeDto();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cfc
	expCode : string = '' ; 
	sea
	air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InvCkdSmqdOrderLeadTimeServiceProxy,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this.l('Cfc'),headerTooltip: this.l('Cfc'),field: 'cfc',flex: 1},
			{headerName: this.l('Exp Code'),headerTooltip: this.l('Exp Code'),field: 'expCode',flex: 1},
			{headerName: this.l('Sea'),headerTooltip: this.l('Sea'),field: 'sea',flex: 1},
			{headerName: this.l('Air'),headerTooltip: this.l('Air'),field: 'air',flex: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this.cfc,
			this.expCode,
			this.sea,
			this.air,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this.cfc = '',
		this.expCode = '',
		this.sea = '',
		this.air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this.cfc,
			this.expCode,
			this.sea,
			this.air,
			'',
            this.paginationParams.skipCount,
            this.paginationParams.pageSize
        );
    }
    onChangeRowSelection(params: { api: { getSelectedRows: () =&gt; InvCkdSmqdOrderLeadTimeDto[] } }) {
        this.saveSelectedRow = params.api.getSelectedRows()[0] ?? new InvCkdSmqdOrderLeadTimeDto();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InvCkdSmqdOrderLeadTimeDto):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this._service.getSmqdOrderLeadTimeToExcel(
			this.supplierNo,
			this.cfc,
			this.expCode,
			this.sea,
			this.air,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Smqd Order Lead 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[(ngModel)]='expCode' name='expCode'
									class='form-control' [placeholder]="l('Exp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(click)="createOrEditModalSmqdOrderLeadTime.show()"&gt;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(click)="createOrEditModalSmqdOrderLeadTime.show(selectedRow)"&gt;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&lt;create-or-edit-smqdorderleadtime-modal
    #createOrEditModalSmqdOrderLeadTime
    (modalSave)="callBackDataGrid(dataParams)"
    (modalClose)="onChangeRowSelection(dataParams)"
&gt;
&lt;/create-or-edit-smqdorderleadtime-modal&gt;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#createOrEditModalSmqdOrderLeadTime="bs-modal"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SmqdOrderLeadTime')}}&lt;/h3&gt;
                    &lt;h3 *ngIf="!rowdata.id"&gt;{{('Create New SmqdOrderLeadTime')}}&lt;/h3&gt;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title'&gt;Exp Code&lt;/label&gt;
						&lt;input type='text' class='col-md-10 form-control input-text' name='ExpCode' [(ngModel)]='rowdata.expCode'&gt;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CreateOrEditInvCkdSmqdOrderLeadTimeDto, InvCkdSmqdOrderLeadTimeServiceProxy } from '@shared/service-proxies/service-proxies';
import { BsDatepickerDirective } from 'ngx-bootstrap/datepicker';
@Component({
    selector: 'create-or-edit-smqdorderleadtime-modal',
    templateUrl: './create-or-edit-smqdorderleadtime-modal.component.html',
    styleUrls: ['./create-or-edit-smqdorderleadtime-modal.component.less']
    })
export class CreateOrEditSmqdOrderLeadTimeModalComponent extends AppComponentBase {
    @ViewChild('createOrEditModalSmqdOrderLeadTime',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CreateOrEditInvCkdSmqdOrderLeadTimeDto = new CreateOrEditInvCkdSmqdOrderLeadTimeDto();
    active: boolean = false;
    saving: boolean = false;
    _: boolean;
    constructor(
        injector: Injector,
        private _mstwptSmqdOrderLeadTimeService: InvCkdSmqdOrderLeadTimeServiceProxy,
    ) 
    {
        super(injector);
    }
    show(rowdata?: CreateOrEditInvCkdSmqdOrderLeadTimeDto): void {
        if (!rowdata) this.rowdata = new CreateOrEditInvCkdSmqdOrderLeadTimeDto();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this._mstwptSmqdOrderLeadTimeService.createOrEdit(this.rowdata)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SmqdOrderLeadTimeRoutingModule } from './smqdorderleadtime-routing.module';
import { SmqdOrderLeadTimeComponent } from './smqdorderleadtime.component';
import { CreateOrEditSmqdOrderLeadTimeModalComponent } from './create-or-edit-smqdorderleadtime-modal.component';
@NgModule({
    declarations: [
       SmqdOrderLeadTimeComponent, 
        CreateOrEditSmqdOrderLeadTimeModalComponent
    ],
    imports: [
        AppSharedModule, SmqdOrderLeadTimeRoutingModule]
})
export class SmqdOrderLeadTimeModule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SmqdOrderLeadTimeComponent } from './smqdorderleadtime.component';
const routes: Routes = [{
    path: '',
    component: SmqdOrderLeadTimeComponent,
    pathMatch: 'full'
}];
@NgModule({
    imports: [RouterModule.forChild(routes)],
    exports: [RouterModule],
})
export class SmqdOrderLeadTimeRoutingModule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AppMenuItem("SmqdOrderLeadTime", "Pages.Inventory.CKD.SmqdOrderLeadTime", "flaticon-book",   "/app/main/inventory/ckd/smqdorderleadtime"),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'inventory/ckd/smqdorderleadtime',
    loadChildren: () =&gt; import('./inventory/ckd/smqdorderleadtime/smqdorderleadtime.module').then(m =&gt; m.SmqdOrderLeadTimeModule),
    data: { permission: 'Pages.Inventory.CKD.SmqdOrderLeadTime' }
},</v>
      </c>
      <c r="R10" s="47" t="str">
        <f>SUBSTITUTE(R9,"MstWptCalendar",$B$6)</f>
        <v>ApiServiceProxies.InvCkdSmqdOrderLeadTimeServiceProxy,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H19</v>
      </c>
      <c r="I12" s="28" t="str">
        <f>"I"&amp;COUNTA($A:$A)</f>
        <v>I19</v>
      </c>
      <c r="J12" s="28"/>
      <c r="K12" s="28" t="str">
        <f>"K"&amp;COUNTA($A:$A)</f>
        <v>K19</v>
      </c>
      <c r="L12" s="28" t="str">
        <f>"L"&amp;COUNTA($A:$A)</f>
        <v>L19</v>
      </c>
      <c r="M12" s="28"/>
      <c r="N12" s="28"/>
      <c r="O12" s="28"/>
      <c r="P12" s="28"/>
      <c r="Q12" s="28"/>
      <c r="R12" s="28"/>
      <c r="S12" s="28" t="str">
        <f>"S"&amp;COUNTA($A:$A)</f>
        <v>S19</v>
      </c>
      <c r="T12" s="28" t="str">
        <f>"T"&amp;COUNTA($A:$A)</f>
        <v>T19</v>
      </c>
      <c r="U12" s="28" t="str">
        <f>"U"&amp;COUNTA($A:$A)</f>
        <v>U19</v>
      </c>
      <c r="V12" s="28" t="str">
        <f>"V"&amp;COUNTA($A:$A)</f>
        <v>V19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No'),headerTooltip: this.l('Supplier No'),field: 'supplierNo',flex: 1},
			{headerName: this.l('Cfc'),headerTooltip: this.l('Cfc'),field: 'cfc',flex: 1},
			{headerName: this.l('Exp Code'),headerTooltip: this.l('Exp Code'),field: 'expCode',flex: 1},
			{headerName: this.l('Sea'),headerTooltip: this.l('Sea'),field: 'sea',flex: 1},
			{headerName: this.l('Air'),headerTooltip: this.l('Air'),field: 'air',flex: 1},</v>
      </c>
      <c r="I13" s="35" t="str">
        <f ca="1">TEXTJOIN2("
",TRUE,INDIRECT(I11):INDIRECT(I12))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[(ngModel)]='expCode' name='expCode'
									class='form-control' [placeholder]="l('Exp Code')"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title'&gt;Exp Code&lt;/label&gt;
						&lt;input type='text' class='col-md-10 form-control input-text' name='ExpCode' [(ngModel)]='rowdata.expCode'&gt;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supplierNo : string = '' ; 
	cfc
	expCode : string = '' ; 
	sea
	air</v>
      </c>
      <c r="T13" s="62" t="str">
        <f ca="1">TEXTJOIN2("
",TRUE,INDIRECT(T11):INDIRECT(T12))</f>
        <v xml:space="preserve">			this.supplierNo,
			this.cfc,
			this.expCode,
			this.sea,
			this.air,</v>
      </c>
      <c r="U13" s="62" t="str">
        <f ca="1">TEXTJOIN2("
",TRUE,INDIRECT(U11):INDIRECT(U12))</f>
        <v xml:space="preserve">		this.supplierNo = '',
		this.cfc = '',
		this.expCode = '',
		this.sea = '',
		this.air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smqdorderleadtime.component.ts</v>
      </c>
      <c r="I14" s="37" t="str">
        <f>B8&amp;".component.html"</f>
        <v>smqdorderleadtime.component.html</v>
      </c>
      <c r="J14" s="36" t="str">
        <f>B8&amp;".component.less"</f>
        <v>smqdorderleadtime.component.less</v>
      </c>
      <c r="K14" s="37" t="str">
        <f>"create-or-edit-"&amp;B8&amp;"-modal.component.html"</f>
        <v>create-or-edit-smqdorderleadtime-modal.component.html</v>
      </c>
      <c r="L14" s="37" t="str">
        <f>"create-or-edit-"&amp;B8&amp;"-modal.component.ts"</f>
        <v>create-or-edit-smqdorderleadtime-modal.component.ts</v>
      </c>
      <c r="M14" s="37" t="str">
        <f>"create-or-edit-"&amp;B8&amp;"-modal.component.less"</f>
        <v>create-or-edit-smqdorderleadtime-modal.component.less</v>
      </c>
      <c r="N14" s="37" t="str">
        <f>B8&amp;".module.ts"</f>
        <v>smqdorderleadtime.module.ts</v>
      </c>
      <c r="O14" s="37" t="str">
        <f>B8&amp;"-routing.module.ts"</f>
        <v>smqdorderleadtime-routing.module.ts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349</v>
      </c>
      <c r="B15" s="28" t="str">
        <f t="shared" ref="B15" si="0">SUBSTITUTE(PROPER(A15),"_","")</f>
        <v>SupplierNo</v>
      </c>
      <c r="C15" s="28" t="str">
        <f t="shared" ref="C15" si="1">SUBSTITUTE(PROPER(A15),"_"," ")</f>
        <v>Supplier No</v>
      </c>
      <c r="D15" s="28" t="str">
        <f t="shared" ref="D15" si="2">LOWER(LEFT(B15,1))&amp;RIGHT(B15,LEN(B15) - 1)</f>
        <v>supplierNo</v>
      </c>
      <c r="E15" s="28" t="str">
        <f>A.Backend!H9</f>
        <v>string</v>
      </c>
      <c r="F15" s="28" t="str">
        <f>A.Backend!G9</f>
        <v>50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No'),headerTooltip: this.l('Supplier No'),field: 'supplierNo',flex: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supplierNo : string = '' ; </v>
      </c>
      <c r="T15" s="28" t="str">
        <f>REPT(CHAR(9),3)&amp;"this."&amp;D15&amp;","</f>
        <v xml:space="preserve">			this.supplierNo,</v>
      </c>
      <c r="U15" s="28" t="str">
        <f>IF(E15="int",REPT(CHAR(9),2)&amp;"this."&amp;D15&amp;" = 0,",REPT(CHAR(9),2)&amp;"this."&amp;D15&amp;" = '',")</f>
        <v xml:space="preserve">		this.supplierNo = '',</v>
      </c>
      <c r="V15" s="28" t="str">
        <f t="shared" ref="V15:V19" si="8">IF(AND(E15="string",F15="1"),D15,"")</f>
        <v/>
      </c>
    </row>
    <row r="16" spans="1:22" ht="18" customHeight="1" x14ac:dyDescent="0.25">
      <c r="A16" t="s">
        <v>356</v>
      </c>
      <c r="B16" s="28" t="str">
        <f t="shared" ref="B16" si="9">SUBSTITUTE(PROPER(A16),"_","")</f>
        <v>Cfc</v>
      </c>
      <c r="C16" s="28" t="str">
        <f t="shared" ref="C16" si="10">SUBSTITUTE(PROPER(A16),"_"," ")</f>
        <v>Cfc</v>
      </c>
      <c r="D16" s="28" t="str">
        <f t="shared" ref="D16" si="11">LOWER(LEFT(B16,1))&amp;RIGHT(B16,LEN(B16) - 1)</f>
        <v>cfc</v>
      </c>
      <c r="E16" s="28" t="str">
        <f>A.Backend!H10</f>
        <v>DateTime?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this.l('Cfc'),headerTooltip: this.l('Cfc'),field: 'cfc',flex: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9" si="13">REPT(CHAR(9),1)&amp;D16&amp;G16</f>
        <v xml:space="preserve">	cfc</v>
      </c>
      <c r="T16" s="28" t="str">
        <f t="shared" ref="T16:T19" si="14">REPT(CHAR(9),3)&amp;"this."&amp;D16&amp;","</f>
        <v xml:space="preserve">			this.cfc,</v>
      </c>
      <c r="U16" s="28" t="str">
        <f t="shared" ref="U16:U19" si="15">IF(E16="int",REPT(CHAR(9),2)&amp;"this."&amp;D16&amp;" = 0,",REPT(CHAR(9),2)&amp;"this."&amp;D16&amp;" = '',")</f>
        <v xml:space="preserve">		this.cfc = '',</v>
      </c>
      <c r="V16" s="28" t="str">
        <f t="shared" si="8"/>
        <v/>
      </c>
    </row>
    <row r="17" spans="1:22" ht="18" customHeight="1" x14ac:dyDescent="0.25">
      <c r="A17" t="s">
        <v>361</v>
      </c>
      <c r="B17" s="28" t="str">
        <f>SUBSTITUTE(PROPER(A17),"_","")</f>
        <v>ExpCode</v>
      </c>
      <c r="C17" s="28" t="str">
        <f>SUBSTITUTE(PROPER(A17),"_"," ")</f>
        <v>Exp Code</v>
      </c>
      <c r="D17" s="28" t="str">
        <f>LOWER(LEFT(B17,1))&amp;RIGHT(B17,LEN(B17) - 1)</f>
        <v>expCode</v>
      </c>
      <c r="E17" s="28" t="str">
        <f>A.Backend!H11</f>
        <v>string</v>
      </c>
      <c r="F17" s="28" t="str">
        <f>A.Backend!G11</f>
        <v>50</v>
      </c>
      <c r="G17" s="28" t="str">
        <f t="shared" si="3"/>
        <v xml:space="preserve"> : string = '' ; </v>
      </c>
      <c r="H17" s="35" t="str">
        <f t="shared" si="4"/>
        <v xml:space="preserve">			{headerName: this.l('Exp Code'),headerTooltip: this.l('Exp Code'),field: 'expCode',flex: 1},</v>
      </c>
      <c r="I17" s="35" t="str">
        <f t="shared" si="5"/>
        <v xml:space="preserve">								&lt;div class='input-search'&gt;
									&lt;input [(ngModel)]='expCode' name='expCode'
									class='form-control' [placeholder]="l('Exp Code')"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title'&gt;Exp Code&lt;/label&gt;
						&lt;input type='text' class='col-md-10 form-control input-text' name='ExpCode' [(ngModel)]='rowdata.expCode'&gt;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expCode : string = '' ; </v>
      </c>
      <c r="T17" s="28" t="str">
        <f t="shared" si="14"/>
        <v xml:space="preserve">			this.expCode,</v>
      </c>
      <c r="U17" s="28" t="str">
        <f t="shared" si="15"/>
        <v xml:space="preserve">		this.expCode = '',</v>
      </c>
      <c r="V17" s="28" t="str">
        <f t="shared" si="8"/>
        <v/>
      </c>
    </row>
    <row r="18" spans="1:22" ht="15" customHeight="1" x14ac:dyDescent="0.25">
      <c r="A18" t="s">
        <v>362</v>
      </c>
      <c r="B18" s="28" t="str">
        <f t="shared" ref="B18:B19" si="16">SUBSTITUTE(PROPER(A18),"_","")</f>
        <v>Sea</v>
      </c>
      <c r="C18" s="28" t="str">
        <f t="shared" ref="C18:C19" si="17">SUBSTITUTE(PROPER(A18),"_"," ")</f>
        <v>Sea</v>
      </c>
      <c r="D18" s="28" t="str">
        <f t="shared" ref="D18:D19" si="18">LOWER(LEFT(B18,1))&amp;RIGHT(B18,LEN(B18) - 1)</f>
        <v>sea</v>
      </c>
      <c r="E18" s="28" t="str">
        <f>A.Backend!H12</f>
        <v>int?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this.l('Sea'),headerTooltip: this.l('Sea'),field: 'sea',flex: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sea</v>
      </c>
      <c r="T18" s="28" t="str">
        <f t="shared" si="14"/>
        <v xml:space="preserve">			this.sea,</v>
      </c>
      <c r="U18" s="28" t="str">
        <f t="shared" si="15"/>
        <v xml:space="preserve">		this.sea = '',</v>
      </c>
      <c r="V18" s="28" t="str">
        <f t="shared" si="8"/>
        <v/>
      </c>
    </row>
    <row r="19" spans="1:22" ht="18" customHeight="1" x14ac:dyDescent="0.25">
      <c r="A19" t="s">
        <v>363</v>
      </c>
      <c r="B19" s="28" t="str">
        <f t="shared" si="16"/>
        <v>Air</v>
      </c>
      <c r="C19" s="28" t="str">
        <f t="shared" si="17"/>
        <v>Air</v>
      </c>
      <c r="D19" s="28" t="str">
        <f t="shared" si="18"/>
        <v>air</v>
      </c>
      <c r="E19" s="28" t="str">
        <f>A.Backend!H13</f>
        <v>int?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this.l('Air'),headerTooltip: this.l('Air'),field: 'air',flex: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air</v>
      </c>
      <c r="T19" s="28" t="str">
        <f t="shared" si="14"/>
        <v xml:space="preserve">			this.air,</v>
      </c>
      <c r="U19" s="28" t="str">
        <f t="shared" si="15"/>
        <v xml:space="preserve">		this.air = '',</v>
      </c>
      <c r="V19" s="28" t="str">
        <f t="shared" si="8"/>
        <v/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355</v>
      </c>
    </row>
    <row r="7" spans="1:2" x14ac:dyDescent="0.25">
      <c r="A7" t="s">
        <v>24</v>
      </c>
      <c r="B7" t="s">
        <v>350</v>
      </c>
    </row>
    <row r="8" spans="1:2" x14ac:dyDescent="0.25">
      <c r="A8" t="s">
        <v>4</v>
      </c>
      <c r="B8" t="s">
        <v>350</v>
      </c>
    </row>
    <row r="9" spans="1:2" x14ac:dyDescent="0.25">
      <c r="A9" t="s">
        <v>0</v>
      </c>
      <c r="B9" t="s">
        <v>351</v>
      </c>
    </row>
    <row r="10" spans="1:2" x14ac:dyDescent="0.25">
      <c r="A10" t="s">
        <v>25</v>
      </c>
      <c r="B10" t="s">
        <v>354</v>
      </c>
    </row>
    <row r="11" spans="1:2" x14ac:dyDescent="0.25">
      <c r="A11" t="s">
        <v>26</v>
      </c>
      <c r="B11" t="s">
        <v>354</v>
      </c>
    </row>
    <row r="12" spans="1:2" x14ac:dyDescent="0.25">
      <c r="A12" t="s">
        <v>27</v>
      </c>
      <c r="B12" t="s">
        <v>354</v>
      </c>
    </row>
    <row r="13" spans="1:2" x14ac:dyDescent="0.25">
      <c r="A13" t="s">
        <v>28</v>
      </c>
      <c r="B13" t="s">
        <v>354</v>
      </c>
    </row>
    <row r="14" spans="1:2" x14ac:dyDescent="0.25">
      <c r="A14" t="s">
        <v>29</v>
      </c>
      <c r="B14" t="s">
        <v>354</v>
      </c>
    </row>
    <row r="15" spans="1:2" x14ac:dyDescent="0.25">
      <c r="A15" t="s">
        <v>30</v>
      </c>
      <c r="B15" t="s">
        <v>354</v>
      </c>
    </row>
    <row r="16" spans="1:2" x14ac:dyDescent="0.25">
      <c r="A16" t="s">
        <v>31</v>
      </c>
      <c r="B16" t="s">
        <v>352</v>
      </c>
    </row>
    <row r="17" spans="1:2" x14ac:dyDescent="0.25">
      <c r="A17" t="s">
        <v>3</v>
      </c>
      <c r="B17" t="s">
        <v>352</v>
      </c>
    </row>
    <row r="18" spans="1:2" x14ac:dyDescent="0.25">
      <c r="A18" t="s">
        <v>33</v>
      </c>
      <c r="B18" t="s">
        <v>352</v>
      </c>
    </row>
    <row r="19" spans="1:2" x14ac:dyDescent="0.25">
      <c r="A19" t="s">
        <v>2</v>
      </c>
      <c r="B19" t="s">
        <v>352</v>
      </c>
    </row>
    <row r="20" spans="1:2" x14ac:dyDescent="0.25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2023-07-24T09:41:16Z</dcterms:modified>
</cp:coreProperties>
</file>
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ckd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G13" i="1"/>
  <c r="G12" i="1"/>
  <c r="G11" i="1"/>
  <c r="G10" i="1"/>
  <c r="G9" i="1"/>
  <c r="E14" i="1"/>
  <c r="H14" i="1" s="1"/>
  <c r="E13" i="1"/>
  <c r="H13" i="1" s="1"/>
  <c r="E12" i="1"/>
  <c r="H12" i="1" s="1"/>
  <c r="E11" i="1"/>
  <c r="H11" i="1" s="1"/>
  <c r="E10" i="1"/>
  <c r="H10" i="1" s="1"/>
  <c r="E9" i="1"/>
  <c r="H9" i="1" s="1"/>
  <c r="D14" i="1"/>
  <c r="D13" i="1"/>
  <c r="D12" i="1"/>
  <c r="D11" i="1"/>
  <c r="D10" i="1"/>
  <c r="D9" i="1"/>
  <c r="B7" i="1"/>
  <c r="E16" i="5" l="1"/>
  <c r="F16" i="5"/>
  <c r="E18" i="5"/>
  <c r="F18" i="5"/>
  <c r="V18" i="5" s="1"/>
  <c r="E19" i="5"/>
  <c r="F19" i="5"/>
  <c r="E20" i="5"/>
  <c r="F20" i="5"/>
  <c r="V20" i="5" s="1"/>
  <c r="C20" i="5"/>
  <c r="B20" i="5"/>
  <c r="D20" i="5" s="1"/>
  <c r="T20" i="5" s="1"/>
  <c r="C19" i="5"/>
  <c r="B19" i="5"/>
  <c r="D19" i="5" s="1"/>
  <c r="L18" i="5"/>
  <c r="C18" i="5"/>
  <c r="B18" i="5"/>
  <c r="D18" i="5" s="1"/>
  <c r="T18" i="5" s="1"/>
  <c r="P12" i="1"/>
  <c r="X12" i="1"/>
  <c r="L12" i="1"/>
  <c r="V12" i="1"/>
  <c r="L14" i="1"/>
  <c r="X14" i="1"/>
  <c r="V14" i="1"/>
  <c r="L13" i="1"/>
  <c r="T13" i="1"/>
  <c r="H19" i="5" l="1"/>
  <c r="G18" i="5"/>
  <c r="S18" i="5" s="1"/>
  <c r="U18" i="5"/>
  <c r="H18" i="5"/>
  <c r="T19" i="5"/>
  <c r="I19" i="5"/>
  <c r="K19" i="5"/>
  <c r="U19" i="5"/>
  <c r="H20" i="5"/>
  <c r="I18" i="5"/>
  <c r="G19" i="5"/>
  <c r="S19" i="5" s="1"/>
  <c r="L19" i="5"/>
  <c r="V19" i="5"/>
  <c r="I20" i="5"/>
  <c r="K18" i="5"/>
  <c r="K20" i="5"/>
  <c r="U20" i="5"/>
  <c r="G20" i="5"/>
  <c r="S20" i="5" s="1"/>
  <c r="L20" i="5"/>
  <c r="Z12" i="1"/>
  <c r="Y12" i="1"/>
  <c r="T12" i="1"/>
  <c r="N14" i="1"/>
  <c r="Y14" i="1"/>
  <c r="O14" i="1"/>
  <c r="P14" i="1"/>
  <c r="T14" i="1"/>
  <c r="N13" i="1"/>
  <c r="M13" i="1"/>
  <c r="I13" i="1"/>
  <c r="W13" i="1"/>
  <c r="O13" i="1"/>
  <c r="J13" i="1"/>
  <c r="P13" i="1"/>
  <c r="X13" i="1"/>
  <c r="V13" i="1"/>
  <c r="J14" i="1" l="1"/>
  <c r="I12" i="1"/>
  <c r="N12" i="1"/>
  <c r="J12" i="1"/>
  <c r="O12" i="1"/>
  <c r="W12" i="1"/>
  <c r="M12" i="1"/>
  <c r="M14" i="1"/>
  <c r="I14" i="1"/>
  <c r="W14" i="1"/>
  <c r="Z14" i="1"/>
  <c r="Z13" i="1"/>
  <c r="Y13" i="1"/>
  <c r="L10" i="1"/>
  <c r="X10" i="1"/>
  <c r="V10" i="1"/>
  <c r="Y10" i="1" l="1"/>
  <c r="T10" i="1"/>
  <c r="P10" i="1"/>
  <c r="B7" i="5"/>
  <c r="B6" i="5"/>
  <c r="B2" i="5"/>
  <c r="G16" i="5" l="1"/>
  <c r="N10" i="1"/>
  <c r="W10" i="1"/>
  <c r="J10" i="1"/>
  <c r="I10" i="1"/>
  <c r="O10" i="1"/>
  <c r="M10" i="1"/>
  <c r="Z10" i="1"/>
  <c r="B8" i="5"/>
  <c r="B3" i="5"/>
  <c r="C17" i="5" l="1"/>
  <c r="B17" i="5"/>
  <c r="D17" i="5" s="1"/>
  <c r="T17" i="5" s="1"/>
  <c r="C16" i="5"/>
  <c r="B16" i="5"/>
  <c r="D16" i="5" s="1"/>
  <c r="T16" i="5" l="1"/>
  <c r="I16" i="5"/>
  <c r="U16" i="5"/>
  <c r="H16" i="5"/>
  <c r="K16" i="5"/>
  <c r="S16" i="5"/>
  <c r="B6" i="1"/>
  <c r="C15" i="5" l="1"/>
  <c r="B15" i="5"/>
  <c r="D15" i="5" s="1"/>
  <c r="T15" i="5" s="1"/>
  <c r="F15" i="5" l="1"/>
  <c r="V9" i="1"/>
  <c r="E15" i="5" l="1"/>
  <c r="U15" i="5" s="1"/>
  <c r="X9" i="1"/>
  <c r="P9" i="1"/>
  <c r="T9" i="1"/>
  <c r="J9" i="1" l="1"/>
  <c r="L15" i="5"/>
  <c r="W9" i="1"/>
  <c r="Y9" i="1"/>
  <c r="Z9" i="1"/>
  <c r="O9" i="1"/>
  <c r="K15" i="5"/>
  <c r="V15" i="5"/>
  <c r="I9" i="1"/>
  <c r="G15" i="5"/>
  <c r="S15" i="5" s="1"/>
  <c r="H15" i="5"/>
  <c r="M9" i="1"/>
  <c r="I15" i="5"/>
  <c r="N9" i="1"/>
  <c r="Q3" i="1"/>
  <c r="B4" i="5" s="1"/>
  <c r="B5" i="5" s="1"/>
  <c r="F17" i="5" l="1"/>
  <c r="T11" i="1"/>
  <c r="E17" i="5" l="1"/>
  <c r="X11" i="1"/>
  <c r="P11" i="1"/>
  <c r="V11" i="1"/>
  <c r="H17" i="5" l="1"/>
  <c r="U17" i="5"/>
  <c r="G17" i="5"/>
  <c r="S17" i="5" s="1"/>
  <c r="K17" i="5"/>
  <c r="I17" i="5"/>
  <c r="L17" i="5"/>
  <c r="V17" i="5"/>
  <c r="W11" i="1"/>
  <c r="V16" i="5"/>
  <c r="N11" i="1"/>
  <c r="L16" i="5"/>
  <c r="J11" i="1"/>
  <c r="O11" i="1"/>
  <c r="M11" i="1"/>
  <c r="I11" i="1"/>
  <c r="Z11" i="1"/>
  <c r="Y11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R3" i="1" l="1"/>
  <c r="D1" i="1"/>
  <c r="F6" i="1"/>
  <c r="T16" i="1"/>
  <c r="T13" i="5"/>
  <c r="T7" i="1" l="1"/>
  <c r="W16" i="1"/>
  <c r="G6" i="1" l="1"/>
  <c r="L13" i="5"/>
  <c r="I13" i="5"/>
  <c r="S13" i="5"/>
  <c r="H13" i="5"/>
  <c r="V13" i="5"/>
  <c r="U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L9" i="1" l="1"/>
  <c r="L11" i="1"/>
  <c r="C7" i="1"/>
  <c r="N16" i="1"/>
  <c r="J16" i="1"/>
  <c r="I16" i="1"/>
  <c r="P16" i="1"/>
  <c r="O16" i="1"/>
  <c r="Q7" i="1" l="1"/>
  <c r="M68" i="3" s="1"/>
  <c r="L7" i="1"/>
  <c r="G68" i="3" s="1"/>
  <c r="K68" i="3"/>
  <c r="J68" i="3"/>
  <c r="K16" i="1"/>
  <c r="M16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<sst xmlns="http://schemas.openxmlformats.org/spreadsheetml/2006/main" count="457" uniqueCount="367">
  <si>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</si>
  <si>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</si>
  <si>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</si>
  <si>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</si>
  <si>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</si>
  <si>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</si>
  <si>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</si>
  <si>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</si>
  <si>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</si>
  <si>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</si>
  <si>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</si>
  <si>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</si>
  <si>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</si>
  <si>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</si>
  <si>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</si>
  <si>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</si>
  <si>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</si>
  <si>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</si>
  <si>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</si>
  <si>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</si>
  <si>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</si>
  <si>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</si>
  <si>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</si>
  <si>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</si>
  <si>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</si>
  <si>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</si>
  <si>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</si>
  <si>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</si>
  <si>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</si>
  <si>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</si>
  <si>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</si>
  <si>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</si>
  <si>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</si>
  <si>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</si>
  <si>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</si>
  <si>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</si>
  <si>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</si>
  <si>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</si>
  <si>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</si>
  <si>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</si>
  <si>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</si>
  <si>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</si>
  <si>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</si>
  <si>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</si>
  <si>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</si>
  <si>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</si>
  <si>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</si>
  <si>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</si>
  <si>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</si>
  <si>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</si>
  <si>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</si>
  <si>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</si>
  <si>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</si>
  <si>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</si>
  <si>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</si>
  <si>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</si>
  <si>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</si>
  <si>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</si>
  <si>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</si>
  <si>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</si>
  <si>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</si>
  <si>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</si>
  <si>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</si>
  <si>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</si>
  <si>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</si>
  <si>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</si>
  <si>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</si>
  <si>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</si>
  <si>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</si>
  <si>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</si>
  <si>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</si>
  <si>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</si>
  <si>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</si>
  <si>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</si>
  <si>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</si>
  <si>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</si>
  <si>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</si>
  <si>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</si>
  <si>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</si>
  <si>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</si>
  <si>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</si>
  <si>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</si>
  <si>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</si>
  <si>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</si>
  <si>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</si>
  <si>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</si>
  <si>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</si>
  <si>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</si>
  <si>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</si>
  <si>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</si>
  <si>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</si>
  <si>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</si>
  <si>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</si>
  <si>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</si>
  <si>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</si>
  <si>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</si>
  <si>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</si>
  <si>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</si>
  <si>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</si>
  <si>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</si>
  <si>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</si>
  <si>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</si>
  <si>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</si>
  <si>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</si>
  <si>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</si>
  <si>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</si>
  <si>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</si>
  <si>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</si>
  <si>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</si>
  <si>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</si>
  <si>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</si>
  <si>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</si>
  <si>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</si>
  <si>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</si>
  <si>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</si>
  <si>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</si>
  <si>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</si>
  <si>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</si>
  <si>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</si>
  <si>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</si>
  <si>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</si>
  <si>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</si>
  <si>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</si>
  <si>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</si>
  <si>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</si>
  <si>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</si>
  <si>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</si>
  <si>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</si>
  <si>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</si>
  <si>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</si>
  <si>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</si>
  <si>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</si>
  <si>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</si>
  <si>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</si>
  <si>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</si>
  <si>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</si>
  <si>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</si>
  <si>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</si>
  <si>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</si>
  <si>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</si>
  <si>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</si>
  <si>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</si>
  <si>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</si>
  <si>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</si>
  <si>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</si>
  <si>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</si>
  <si>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</si>
  <si>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</si>
  <si>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</si>
  <si>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</si>
  <si>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</si>
  <si>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</si>
  <si>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</si>
  <si>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</si>
  <si>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</si>
  <si>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</si>
  <si>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</si>
  <si>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</si>
  <si>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</si>
  <si>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</si>
  <si>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</si>
  <si>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</si>
  <si>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</si>
  <si>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</si>
  <si>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</si>
  <si>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</si>
  <si>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</si>
  <si>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</si>
  <si>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</si>
  <si>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</si>
  <si>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</si>
  <si>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</si>
  <si>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</si>
  <si>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</si>
  <si>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</si>
  <si>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</si>
  <si>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</si>
  <si>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</si>
  <si>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</si>
  <si>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</si>
  <si>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</si>
  <si>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</si>
  <si>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</si>
  <si>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</si>
  <si>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</si>
  <si>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</si>
  <si>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</si>
  <si>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</si>
  <si>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</si>
  <si>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</si>
  <si>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</si>
  <si>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</si>
  <si>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</si>
  <si>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</si>
  <si>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</si>
  <si>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</si>
  <si>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</si>
  <si>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</si>
  <si>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</si>
  <si>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</si>
  <si>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</si>
  <si>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</si>
  <si>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</si>
  <si>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</si>
  <si>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</si>
  <si>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</si>
  <si>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</si>
  <si>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</si>
  <si>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</si>
  <si>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</si>
  <si>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</si>
  <si>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</si>
  <si>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</si>
  <si>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</si>
  <si>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</si>
  <si>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</si>
  <si>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</si>
  <si>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</si>
  <si>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</si>
  <si>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</si>
  <si>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</si>
  <si>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</si>
  <si>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</si>
  <si>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</si>
  <si>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</si>
  <si>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</si>
  <si>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</si>
  <si>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</si>
  <si>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</si>
  <si>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</si>
  <si>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</si>
  <si>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</si>
  <si>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</si>
  <si>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</si>
  <si>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</si>
  <si>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</si>
  <si>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</si>
  <si>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</si>
  <si>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</si>
  <si>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</si>
  <si>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</si>
  <si>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</si>
  <si>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</si>
  <si>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</si>
  <si>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</si>
  <si>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</si>
  <si>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</si>
  <si>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</si>
  <si>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</si>
  <si>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</si>
  <si>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</si>
  <si>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</si>
  <si>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</si>
  <si>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</si>
  <si>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</si>
  <si>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</si>
  <si>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</si>
  <si>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</si>
  <si>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</si>
  <si>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</si>
  <si>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</si>
  <si>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</si>
  <si>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</si>
  <si>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</si>
  <si>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</si>
  <si>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</si>
  <si>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</si>
  <si>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</si>
  <si>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</si>
  <si>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</si>
  <si>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</si>
  <si>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</si>
  <si>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</si>
  <si>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</si>
  <si>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</si>
  <si>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</si>
  <si>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</si>
  <si>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</si>
  <si>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</si>
  <si>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</si>
  <si>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</si>
  <si>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</si>
  <si>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</si>
  <si>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</si>
  <si>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</si>
  <si>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</si>
  <si>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</si>
  <si>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</si>
  <si>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</si>
  <si>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</si>
  <si>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</si>
  <si>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</si>
  <si>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</si>
  <si>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</si>
  <si>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</si>
  <si>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</si>
  <si>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</si>
  <si>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</si>
  <si>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</si>
  <si>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</si>
  <si>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</si>
  <si>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</si>
  <si>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</si>
  <si>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</si>
  <si>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</si>
  <si>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</si>
  <si>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</si>
  <si>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</si>
  <si>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</si>
  <si>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</si>
  <si>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</si>
  <si>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</si>
  <si>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</si>
  <si>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</si>
  <si>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</si>
  <si>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</si>
  <si>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</si>
  <si>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</si>
  <si>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</si>
  <si>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</si>
  <si>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</si>
  <si>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</si>
  <si>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</si>
  <si>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</si>
  <si>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</si>
  <si>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</si>
  <si>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</si>
  <si>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</si>
  <si>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</si>
  <si>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</si>
  <si>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</si>
  <si>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</si>
  <si>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</si>
  <si>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</si>
  <si>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</si>
  <si>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</si>
  <si>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</si>
  <si>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</si>
  <si>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</si>
  <si>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</si>
  <si>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</si>
  <si>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</si>
  <si>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</si>
  <si>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</si>
  <si>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</si>
  <si>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</si>
  <si>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</si>
  <si>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</si>
  <si>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</si>
  <si>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</si>
  <si>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int?</t>
  </si>
  <si>
    <t>long?</t>
  </si>
  <si>
    <t>DateTime?</t>
  </si>
  <si>
    <t>TimeSpan?</t>
  </si>
  <si>
    <t>decimal?</t>
  </si>
  <si>
    <t>byte?</t>
  </si>
  <si>
    <t>varchar(2)</t>
  </si>
  <si>
    <t>Y</t>
  </si>
  <si>
    <t>TMV Stock (General Warehouse)</t>
  </si>
  <si>
    <t>MODEL_CODE</t>
  </si>
  <si>
    <t>PROD_LINE</t>
  </si>
  <si>
    <t>GRADE</t>
  </si>
  <si>
    <t>LOT_NO</t>
  </si>
  <si>
    <t>NO_IN_LOT</t>
  </si>
  <si>
    <t>PROCESS_DATE</t>
  </si>
  <si>
    <t>InvCkdPhysicalConfirmLot</t>
  </si>
  <si>
    <t>PhysicalConfirmLot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</si>
</sst>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61" zoomScaleNormal="100" workbookViewId="0">
      <selection activeCell="C79" sqref="C7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346</v>
      </c>
      <c r="F18" s="1" t="s">
        <v>348</v>
      </c>
      <c r="G18" t="s">
        <v>347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320</v>
      </c>
      <c r="F42" s="1" t="s">
        <v>333</v>
      </c>
      <c r="G42" t="s">
        <v>333</v>
      </c>
    </row>
    <row r="43" spans="1:8" x14ac:dyDescent="0.25">
      <c r="A43" s="1"/>
      <c r="D43" t="s">
        <v>321</v>
      </c>
      <c r="F43" s="1" t="s">
        <v>327</v>
      </c>
      <c r="G43" t="s">
        <v>334</v>
      </c>
    </row>
    <row r="44" spans="1:8" x14ac:dyDescent="0.25">
      <c r="A44" s="1"/>
      <c r="D44" t="s">
        <v>323</v>
      </c>
      <c r="F44" s="1" t="s">
        <v>328</v>
      </c>
      <c r="G44" t="s">
        <v>335</v>
      </c>
    </row>
    <row r="45" spans="1:8" x14ac:dyDescent="0.25">
      <c r="A45" s="1"/>
      <c r="D45" t="s">
        <v>322</v>
      </c>
      <c r="F45" s="1" t="s">
        <v>329</v>
      </c>
      <c r="G45" t="s">
        <v>336</v>
      </c>
    </row>
    <row r="46" spans="1:8" x14ac:dyDescent="0.25">
      <c r="A46" s="1"/>
      <c r="D46" t="s">
        <v>325</v>
      </c>
      <c r="F46" s="1" t="s">
        <v>330</v>
      </c>
      <c r="G46" t="s">
        <v>337</v>
      </c>
    </row>
    <row r="47" spans="1:8" x14ac:dyDescent="0.25">
      <c r="A47" s="1"/>
      <c r="D47" t="s">
        <v>343</v>
      </c>
      <c r="F47" s="1" t="s">
        <v>344</v>
      </c>
      <c r="G47" t="s">
        <v>345</v>
      </c>
    </row>
    <row r="48" spans="1:8" x14ac:dyDescent="0.25">
      <c r="A48" s="1"/>
      <c r="D48" t="s">
        <v>326</v>
      </c>
      <c r="F48" s="1" t="s">
        <v>331</v>
      </c>
      <c r="G48" t="s">
        <v>338</v>
      </c>
    </row>
    <row r="49" spans="1:7" x14ac:dyDescent="0.25">
      <c r="A49" s="1"/>
      <c r="D49" t="s">
        <v>324</v>
      </c>
      <c r="F49" s="1" t="s">
        <v>332</v>
      </c>
      <c r="G49" t="s">
        <v>339</v>
      </c>
    </row>
    <row r="50" spans="1:7" x14ac:dyDescent="0.25">
      <c r="A50" s="1"/>
      <c r="D50" t="s">
        <v>340</v>
      </c>
      <c r="F50" s="1" t="s">
        <v>341</v>
      </c>
      <c r="G50" t="s">
        <v>342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[Table("InvCkdPhysicalConfirmLot")]
	[Index(nameof(ModelCode), Name="IX_InvCkdPhysicalConfirmLot_ModelCode")]
	[Index(nameof(ProcessDate), Name="IX_InvCkdPhysicalConfirmLot_ProcessDate")]	public class InvCkdPhysicalConfirmLot: FullAuditedEntity&lt;long&gt;, IEntity&lt;long&gt;	
	{
		public const int MaxModelCodeLength = 1;
		public const int MaxProdLineLength = 2;
		public const int MaxGradeLength = 2;
		[StringLength(MaxModelCodeLength)]
		public virtual string ModelCode { get; set; }
		[StringLength(MaxProdLineLength)]
		public virtual string ProdLine { get; set; }
		[StringLength(MaxGradeLength)]
		public virtual string Grade { get; set; }
		public virtual int? LotNo { get; set; }
		public virtual int? NoInLot { get; set; }
		public virtual DateTime? ProcessDate { get; set; }
	}
}
</v>
      </c>
      <c r="D68" s="48" t="str">
        <f>A.Backend!O7</f>
        <v xml:space="preserve">		public const string Pages_Inventory_CKD_PhysicalConfirmLot = "Pages.Inventory.CKD.PhysicalConfirmLot";
		public const string Pages_Inventory_CKD_PhysicalConfirmLot_CreateEdit = "Pages.Inventory.CKD.PhysicalConfirmLot.CreateEdit";
		public const string Pages_Inventory_CKD_PhysicalConfirmLot_Delete = "Pages.Inventory.CKD.PhysicalConfirmLot.Delete";
</v>
      </c>
      <c r="E68" s="48" t="str">
        <f>A.Backend!N7</f>
        <v xml:space="preserve">		var perInvCkdPhysicalConfirmLot = PARENTS.CreateChildPermission(AppPermissions.Pages_Inventory_CKD_PhysicalConfirmLot, L( "InventoryCKDPhysicalConfirmLot"), multiTenancySides: MultiTenancySides.Tenant);
		perInvCkdPhysicalConfirmLot.CreateChildPermission(AppPermissions.Pages_Inventory_CKD_PhysicalConfirmLot_CreateEdit, L( "InventoryCKDPhysicalConfirmLotCreateEdit"), multiTenancySides: MultiTenancySides.Tenant);
		perInvCkdPhysicalConfirmLot.CreateChildPermission(AppPermissions.Pages_Inventory_CKD_PhysicalConfirmLot_Delete, L( "InventoryCKDPhysicalConfirmLotDelete"), multiTenancySides: MultiTenancySides.Tenant);</v>
      </c>
      <c r="F68" s="48" t="str">
        <f>A.Backend!K7</f>
        <v>public virtual DbSet&lt;InvCkdPhysicalConfirmLot&gt; InvCkdPhysicalConfirmLots { get; set; }</v>
      </c>
      <c r="G68" s="48" t="str">
        <f ca="1">A.Backend!L7</f>
        <v xml:space="preserve">namespace prod.Inventory.CKD
{
	public class InvCkdPhysicalConfirmLotConsts	
	{
		public const int MaxModelCodeLength = 1;
		public const int MaxProdLineLength = 2;
		public const int MaxGradeLength = 2;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InvCkdPhysicalConfirmLotDto : EntityDto&lt;long?&gt;	
	{
		public virtual string ModelCode { get; set; }
		public virtual string ProdLine { get; set; }
		public virtual string Grade { get; set; }
		public virtual int? LotNo { get; set; }
		public virtual int? NoInLot { get; set; }
		public virtual DateTime? ProcessDate { get; set; }
	}
	public class CreateOrEditInvCkdPhysicalConfirmLotDto : EntityDto&lt;long?&gt;	
	{
		[StringLength(InvCkdPhysicalConfirmLotConsts.MaxModelCodeLength)]
		public virtual string ModelCode { get; set; }
		[StringLength(InvCkdPhysicalConfirmLotConsts.MaxProdLineLength)]
		public virtual string ProdLine { get; set; }
		[StringLength(InvCkdPhysicalConfirmLotConsts.MaxGradeLength)]
		public virtual string Grade { get; set; }
		public virtual int? LotNo { get; set; }
		public virtual int? NoInLot { get; set; }
		public virtual DateTime? ProcessDate { get; set; }
	}
	public class GetInvCkdPhysicalConfirmLotInput : PagedAndSortedResultRequestDto	
	{
		public virtual string ModelCode { get; set; }
		public virtual string ProdLine { get; set; }
		public virtual string Grade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InvCkdPhysicalConfirmLotExportInput{
		public virtual string ModelCode { get; set; }
		public virtual string ProdLine { get; set; }
		public virtual string Grade { get; set; }
		public virtual int? LotNo { get; set; }
		public virtual int? NoInLot { get; set; }
		public virtual DateTime? ProcessDate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IInvCkdPhysicalConfirmLotAppService : IApplicationService
	{
		Task&lt;PagedResultDto&lt;InvCkdPhysicalConfirmLotDto&gt;&gt; GetAll(GetInvCkdPhysicalConfirmLotInput input);
		Task CreateOrEdit(CreateOrEditInvCkdPhysicalConfirmLotDto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IInvCkdPhysicalConfirmLotExcelExporter : IApplicationService
	{
		FileDto ExportToFile(List&lt;InvCkdPhysicalConfirmLotDto&gt; invckdphysicalconfirmlot);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InvCkdPhysicalConfirmLotExcelExporter : NpoiExcelExporterBase, IInvCkdPhysicalConfirmLotExcelExporter
    {
        public InvCkdPhysicalConfirmLotExcelExporter(ITempFileCacheManager tempFileCacheManager) : base(tempFileCacheManager) { }
        public FileDto ExportToFile(List&lt;InvCkdPhysicalConfirmLotDto&gt; physicalconfirmlot)
        {
            return CreateExcelPackage(
				"InventoryCKDPhysicalConfirmLot.xlsx",
				excelPackage =&gt;
				 {
					var sheet = excelPackage.CreateSheet("PhysicalConfirmLot");
					AddHeader(
								sheet,
								("ModelCode"),
								("ProdLine"),
								("Grade"),
								("LotNo"),
								("NoInLot"),
								("ProcessDate"),
							   );
					AddObjects(
						 sheet, 1, physicalconfirmlot,                                       
								_ =&gt; _.ModelCode,
								_ =&gt; _.ProdLine,
								_ =&gt; _.Grade,
								_ =&gt; _.LotNo,
								_ =&gt; _.NoInLot,
								_ =&gt; _.ProcessDate,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[AbpAuthorize(AppPermissions.Pages_Inventory_CKD_PhysicalConfirmLot)]
    public class InvCkdPhysicalConfirmLotAppService : vovinaAppServiceBase, IInvCkdPhysicalConfirmLotAppService
    {
        private readonly IDapperRepository&lt;InvCkdPhysicalConfirmLot, long&gt; _dapperRepo;
        private readonly IRepository&lt;InvCkdPhysicalConfirmLot, long&gt; _repo;
        private readonly IInvCkdPhysicalConfirmLotExcelExporter _calendarListExcelExporter;
        public InvCkdPhysicalConfirmLotAppService(IRepository&lt;InvCkdPhysicalConfirmLot,long&gt; repo, 
                                         IDapperRepository&lt;InvCkdPhysicalConfirmLot,long&gt; dapperRepo,
                                        IInvCkdPhysicalConfirmLotExcelExporter calendarListExcelExporter
            )
        {
            _repo = repo;
            _dapperRepo = dapperRepo;
            _calendarListExcelExporter = calendarListExcelExporter;
        }
        [AbpAuthorize(AppPermissions.Pages_Inventory_CKD_PhysicalConfirmLot_CreateEdit)]
        public async Task CreateOrEdit(CreateOrEditInvCkdPhysicalConfirmLotDto input)
        {
            if (input.Id == null) await Create(input);
            else await Update(input);
        }
        //CREATE
        private async Task Create(CreateOrEditInvCkdPhysicalConfirmLotDto input)
        {          
            var mainObj = ObjectMapper.Map&lt;InvCkdPhysicalConfirmLot&gt;(input);
            await CurrentUnitOfWork.GetDbContext&lt;vovinaDbContext&gt;().AddAsync(mainObj);
        }
        // EDIT
        private async Task Update(CreateOrEditInvCkdPhysicalConfirmLotDto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[AbpAuthorize(AppPermissions.Pages_Inventory_CKD_PhysicalConfirmLot_Delete)]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Task&lt;PagedResultDto&lt;InvCkdPhysicalConfirmLotDto&gt;&gt; GetAll(GetInvCkdPhysicalConfirmLotInput input)
        {
            var filtered = _repo.GetAll()
				.WhereIf(!string.IsNullOrWhiteSpace(input.ModelCode), e =&gt; e.ModelCode.Contains(input.ModelCode))
				.WhereIf(!string.IsNullOrWhiteSpace(input.ProdLine), e =&gt; e.ProdLine.Contains(input.ProdLine))
				.WhereIf(!string.IsNullOrWhiteSpace(input.Grade), e =&gt; e.Grade.Contains(input.Grade))
				;
            var pageAndFiltered = filtered.OrderBy(s =&gt; s.Id);
            var system = from o in pageAndFiltered
                         select new InvCkdPhysicalConfirmLotDto
                        {
							Id = o.Id,
							ModelCode = o.ModelCode,
							ProdLine = o.ProdLine,
							Grade = o.Grade,
							LotNo = o.LotNo,
							NoInLot = o.NoInLot,
							ProcessDate = o.ProcessDate,
                        };
            var totalCount = await filtered.CountAsync();
			var paged = system.PageBy(input);
            return new PagedResultDto&lt;InvCkdPhysicalConfirmLotDto&gt;(
                totalCount,
                 await paged.ToListAsync()
            );
        }
        public async Task&lt;FileDto&gt; GetPhysicalConfirmLotToExcel(InvCkdPhysicalConfirmLotExportInput input)
        {
            var query = from o in _repo.GetAll()
                        select new InvCkdPhysicalConfirmLotDto
                        {
							Id = o.Id,
							ModelCode = o.ModelCode,
							ProdLine = o.ProdLine,
							Grade = o.Grade,
							LotNo = o.LotNo,
							NoInLot = o.NoInLot,
							ProcessDate = o.ProcessDate,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_dapperRepo.ExecuteAsync(InvCkdPhysicalConfirmLotConsts.SP_MST_WPT_CALENDAR_GENERATE);
       // }
    }
}</v>
      </c>
      <c r="N68" s="58" t="str">
        <f>A.Backend!U7</f>
        <v xml:space="preserve">  configuration.CreateMap&lt;InvCkdPhysicalConfirmLotDto, InvCkdPhysicalConfirmLot&gt;();
  configuration.CreateMap&lt;InvCkdPhysicalConfirmLot, InvCkdPhysicalConfirmLotDto&gt;();
  configuration.CreateMap&lt;CreateOrEditInvCkdPhysicalConfirmLotDto, InvCkdPhysicalConfirmLot&gt;();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physicalconfirmlot</v>
      </c>
      <c r="C73" s="66" t="str">
        <f>"create folder " &amp;B73</f>
        <v>create folder physicalconfirmlot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physicalconfirmlot.component.ts</v>
      </c>
      <c r="D74" s="28" t="str">
        <f>B.Frontend!I14</f>
        <v>physicalconfirmlot.component.html</v>
      </c>
      <c r="E74" s="28" t="str">
        <f>B.Frontend!J14</f>
        <v>physicalconfirmlot.component.less</v>
      </c>
      <c r="F74" s="28" t="str">
        <f>B.Frontend!K14</f>
        <v>create-or-edit-physicalconfirmlot-modal.component.html</v>
      </c>
      <c r="G74" s="28" t="str">
        <f>B.Frontend!L14</f>
        <v>create-or-edit-physicalconfirmlot-modal.component.ts</v>
      </c>
      <c r="H74" s="28" t="str">
        <f>B.Frontend!M14</f>
        <v>create-or-edit-physicalconfirmlot-modal.component.less</v>
      </c>
      <c r="I74" s="28" t="str">
        <f>B.Frontend!N14</f>
        <v>physicalconfirmlot.module.ts</v>
      </c>
      <c r="J74" s="28" t="str">
        <f>B.Frontend!O14</f>
        <v>physicalconfirmlot-routing.module.ts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InvCkdPhysicalConfirmLotDto, InvCkdPhysicalConfirmLotServiceProxy } from '@shared/service-proxies/service-proxies';
import { finalize } from 'rxjs/internal/operators/finalize';
import { CreateOrEditPhysicalConfirmLotModalComponent } from './create-or-edit-physicalconfirmlot-modal.component';
import { DatePipe } from '@angular/common';
import { FileDownloadService } from '@shared/utils/file-download.service';
import ceil from 'lodash-es/ceil';
import { Paginator } from 'primeng/paginator';
@Component({
    templateUrl: './physicalconfirmlot.component.html',
    styleUrls: ['./physicalconfirmlot.component.less'],
})
export class PhysicalConfirmLotComponent extends AppComponentBase implements OnInit {
    @ViewChild('createOrEditModalPhysicalConfirmLot', { static: true }) createOrEditModalPhysicalConfirmLot:| CreateOrEditPhysicalConfirmLotModalComponent|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InvCkdPhysicalConfirmLotDto = new InvCkdPhysicalConfirmLotDto();
    saveSelectedRow: InvCkdPhysicalConfirmLotDto = new InvCkdPhysicalConfirmLotDto();
    datas: InvCkdPhysicalConfirmLotDto = new InvCkdPhysicalConfirmLotDto();
    isLoading: boolean = false;
    dataParams: GridParams | undefined;
    rowData: any[] = [];
    gridApi!: GridApi;
    rowSelection = 'multiple';
    filter: string = '';
	pipe = new DatePipe('en-US');
	frameworkComponents: FrameworkComponent;
    	modelCode : string = '' ; 
	prodLine : string = '' ; 
	grade : string = '' ; 
	lotNo
	noInLot
	processDate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InvCkdPhysicalConfirmLotServiceProxy,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 Code'),headerTooltip: this.l('Model Code'),field:  'modelCode', cellClass: ['text-center'], width: 120, cellRenderer: 'agCellButtonComponent',
buttonDefTwo: { text: params =&gt; (params.data?.'modelCode' == 'Y') ? 'Active' : 'Inactive',iconName: 'fa fa-circle',className: params =&gt; (params.data?.'modelCode' == 'Y') ? 'btnActive' : 'btnInActive',},}
			{headerName: this.l('Prod Line'),headerTooltip: this.l('Prod Line'),field: 'prodLine',flex: 1},
			{headerName: this.l('Grade'),headerTooltip: this.l('Grade'),field: 'grade',flex: 1},
			{headerName: this.l('Lot No'),headerTooltip: this.l('Lot No'),field: 'lotNo',flex: 1},
			{headerName: this.l('No In Lot'),headerTooltip: this.l('No In Lot'),field: 'noInLot',flex: 1},
			{headerName: this.l('Process Date'),headerTooltip: this.l('Process Date'),field: 'processDate',flex: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this.modelCode,
			this.prodLine,
			this.grade,
			this.lotNo,
			this.noInLot,
			this.processDate,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this.modelCode = '',
		this.prodLine = '',
		this.grade = '',
		this.lotNo = '',
		this.noInLot = '',
		this.processDate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this.modelCode,
			this.prodLine,
			this.grade,
			this.lotNo,
			this.noInLot,
			this.processDate,
			'',
            this.paginationParams.skipCount,
            this.paginationParams.pageSize
        );
    }
    onChangeRowSelection(params: { api: { getSelectedRows: () =&gt; InvCkdPhysicalConfirmLotDto[] } }) {
        this.saveSelectedRow = params.api.getSelectedRows()[0] ?? new InvCkdPhysicalConfirmLotDto();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InvCkdPhysicalConfirmLotDto):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this._service.getPhysicalConfirmLotToExcel(
			this.modelCode,
			this.prodLine,
			this.grade,
			this.lotNo,
			this.noInLot,
			this.processDate,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TMV Stock (General Warehouse)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[(ngModel)]='modelCode' name='modelCode'
									class='form-control' [placeholder]="l('Model Code')"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(click)="createOrEditModalPhysicalConfirmLot.show()"&gt;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(click)="createOrEditModalPhysicalConfirmLot.show(selectedRow)"&gt;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&lt;create-or-edit-physicalconfirmlot-modal
    #createOrEditModalPhysicalConfirmLot
    (modalSave)="callBackDataGrid(dataParams)"
    (modalClose)="onChangeRowSelection(dataParams)"
&gt;
&lt;/create-or-edit-physicalconfirmlot-modal&gt;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#createOrEditModalPhysicalConfirmLot="bs-modal"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PhysicalConfirmLot')}}&lt;/h3&gt;
                    &lt;h3 *ngIf="!rowdata.id"&gt;{{('Create New PhysicalConfirmLot')}}&lt;/h3&gt;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 Code&lt;/label&gt;
						&lt;new-checkbox [(ngModel)]='_modelCode' name='modelCode' className='col-md-10' &gt; &lt;/new-checkbox&gt;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CreateOrEditInvCkdPhysicalConfirmLotDto, InvCkdPhysicalConfirmLotServiceProxy } from '@shared/service-proxies/service-proxies';
import { BsDatepickerDirective } from 'ngx-bootstrap/datepicker';
@Component({
    selector: 'create-or-edit-physicalconfirmlot-modal',
    templateUrl: './create-or-edit-physicalconfirmlot-modal.component.html',
    styleUrls: ['./create-or-edit-physicalconfirmlot-modal.component.less']
    })
export class CreateOrEditPhysicalConfirmLotModalComponent extends AppComponentBase {
    @ViewChild('createOrEditModalPhysicalConfirmLot',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CreateOrEditInvCkdPhysicalConfirmLotDto = new CreateOrEditInvCkdPhysicalConfirmLotDto();
    active: boolean = false;
    saving: boolean = false;
    _modelCode
: boolean;
    constructor(
        injector: Injector,
        private _mstwptPhysicalConfirmLotService: InvCkdPhysicalConfirmLotServiceProxy,
    ) 
    {
        super(injector);
    }
    show(rowdata?: CreateOrEditInvCkdPhysicalConfirmLotDto): void {
        if (!rowdata) this.rowdata = new CreateOrEditInvCkdPhysicalConfirmLotDto();
        else this.rowdata = rowdata;
        this._modelCode
 = (this.rowdata.modelCode
 == "N")? false: true;
        this.active = true;
        this.modal.show();
    } 
    changeActive(event){
        this._modelCode
 = event.target.checked;
    }
    save(): void {
    this.saving = true; 
    this.rowdata.modelCode
 = (this._modelCode
 == true) ? 'Y' : 'N'
    this._mstwptPhysicalConfirmLotService.createOrEdit(this.rowdata)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PhysicalConfirmLotRoutingModule } from './physicalconfirmlot-routing.module';
import { PhysicalConfirmLotComponent } from './physicalconfirmlot.component';
import { CreateOrEditPhysicalConfirmLotModalComponent } from './create-or-edit-physicalconfirmlot-modal.component';
@NgModule({
    declarations: [
       PhysicalConfirmLotComponent, 
        CreateOrEditPhysicalConfirmLotModalComponent
    ],
    imports: [
        AppSharedModule, PhysicalConfirmLotRoutingModule]
})
export class PhysicalConfirmLotModule {}</v>
      </c>
      <c r="J75" s="46" t="str">
        <f>B.Frontend!O10</f>
        <v>import {NgModule} from '@angular/core';
import {RouterModule, Routes} from '@angular/router';
import { PhysicalConfirmLotComponent } from './physicalconfirmlot.component';
const routes: Routes = [{
    path: '',
    component: PhysicalConfirmLotComponent,
    pathMatch: 'full'
}];
@NgModule({
    imports: [RouterModule.forChild(routes)],
    exports: [RouterModule],
})
export class PhysicalConfirmLotRoutingModule {}</v>
      </c>
      <c r="K75" s="46" t="str">
        <f>B.Frontend!P10</f>
        <v xml:space="preserve"> new AppMenuItem("PhysicalConfirmLot", "Pages.Inventory.CKD.PhysicalConfirmLot", "flaticon-book",   "/app/main/inventory/ckd/physicalconfirmlot"),</v>
      </c>
      <c r="L75" s="47" t="str">
        <f>B.Frontend!Q10</f>
        <v>{
    path: 'inventory/ckd/physicalconfirmlot',
    loadChildren: () =&gt; import('./inventory/ckd/physicalconfirmlot/physicalconfirmlot.module').then(m =&gt; m.PhysicalConfirmLotModule),
    data: { permission: 'Pages.Inventory.CKD.PhysicalConfirmLot' }
},</v>
      </c>
      <c r="M75" s="45" t="str">
        <f>B.Frontend!R10</f>
        <v>ApiServiceProxies.InvCkdPhysicalConfirmLotServiceProxy,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6"/>
  <sheetViews>
    <sheetView workbookViewId="0">
      <pane xSplit="1" topLeftCell="B1" activePane="topRight" state="frozen"/>
      <selection pane="topRight" activeCell="B17" sqref="B17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6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25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25">
      <c r="A3" s="1" t="s">
        <v>5</v>
      </c>
      <c r="B3" s="27" t="s">
        <v>365</v>
      </c>
      <c r="C3" s="9" t="s">
        <v>41</v>
      </c>
      <c r="D3" s="9" t="s">
        <v>42</v>
      </c>
      <c r="E3" s="9" t="s">
        <v>37</v>
      </c>
      <c r="F3" s="10" t="str">
        <f>"J"&amp;COUNTA($A:$A)</f>
        <v>J14</v>
      </c>
      <c r="G3" s="4" t="s">
        <v>54</v>
      </c>
      <c r="H3" s="9" t="str">
        <f>"I"&amp;COUNTA($A:$A)</f>
        <v>I14</v>
      </c>
      <c r="I3" s="9" t="str">
        <f>REPT(CHAR(9),2)&amp;"[Required]"&amp;"
"</f>
        <v xml:space="preserve">		[Required]
</v>
      </c>
      <c r="J3" s="10" t="str">
        <f>"L"&amp;COUNTA($A:$A)</f>
        <v>L14</v>
      </c>
      <c r="K3" s="5" t="s">
        <v>53</v>
      </c>
      <c r="L3" s="10" t="str">
        <f>"M"&amp;COUNTA($A:$A)</f>
        <v>M14</v>
      </c>
      <c r="M3" s="10" t="str">
        <f>"N"&amp;COUNTA($A:$A)</f>
        <v>N14</v>
      </c>
      <c r="N3" s="10" t="str">
        <f>"O"&amp;COUNTA($A:$A)</f>
        <v>O14</v>
      </c>
      <c r="O3" s="10" t="str">
        <f>"P"&amp;COUNTA($A:$A)</f>
        <v>P14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InvCkdPhysicalConfirmLotExportInput{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T14</v>
      </c>
      <c r="V3" s="10" t="str">
        <f>"V"&amp;COUNTA($A:$A)</f>
        <v>V14</v>
      </c>
      <c r="W3" s="9" t="str">
        <f>"W"&amp;COUNTA($A:$A)</f>
        <v>W14</v>
      </c>
    </row>
    <row r="4" spans="1:26" s="10" customFormat="1" ht="33" customHeight="1" x14ac:dyDescent="0.25">
      <c r="A4" s="1" t="s">
        <v>233</v>
      </c>
      <c r="B4" s="60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25">
      <c r="A5" s="1" t="s">
        <v>234</v>
      </c>
      <c r="B5" s="60" t="s">
        <v>366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InvCkdPhysicalConfirmLot: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InvCkdPhysicalConfirmLotConsts	
	{
</v>
      </c>
      <c r="F6" s="10" t="str">
        <f>REPT(CHAR(9),1)&amp;"public class "&amp;B3&amp;"Dto"&amp;K3&amp;REPT(CHAR(9),1)&amp;"
"&amp;REPT(CHAR(9),1)&amp;C3</f>
        <v xml:space="preserve">	public class InvCkdPhysicalConfirmLotDto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CreateOrEditInvCkdPhysicalConfirmLotDto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GetInvCkdPhysicalConfirmLotInput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5" customHeight="1" x14ac:dyDescent="0.25">
      <c r="A7" s="1" t="s">
        <v>13</v>
      </c>
      <c r="B7" s="9" t="str">
        <f>B3</f>
        <v>InvCkdPhysicalConfirmLot</v>
      </c>
      <c r="C7" s="10" t="str">
        <f>REPT(CHAR(9),1)&amp;"[Table("""&amp;B7&amp;""")]"&amp;"
"</f>
        <v xml:space="preserve">	[Table("InvCkdPhysicalConfirmLot")]
</v>
      </c>
      <c r="D7" s="10"/>
      <c r="E7" s="10"/>
      <c r="F7" s="10"/>
      <c r="G7" s="10"/>
      <c r="H7" s="10"/>
      <c r="I7" s="10"/>
      <c r="J7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[Table("InvCkdPhysicalConfirmLot")]
	[Index(nameof(ModelCode), Name="IX_InvCkdPhysicalConfirmLot_ModelCode")]
	[Index(nameof(ProcessDate), Name="IX_InvCkdPhysicalConfirmLot_ProcessDate")]	public class InvCkdPhysicalConfirmLot: FullAuditedEntity&lt;long&gt;, IEntity&lt;long&gt;	
	{
		public const int MaxModelCodeLength = 1;
		public const int MaxProdLineLength = 2;
		public const int MaxGradeLength = 2;
		[StringLength(MaxModelCodeLength)]
		public virtual string ModelCode { get; set; }
		[StringLength(MaxProdLineLength)]
		public virtual string ProdLine { get; set; }
		[StringLength(MaxGradeLength)]
		public virtual string Grade { get; set; }
		public virtual int? LotNo { get; set; }
		public virtual int? NoInLot { get; set; }
		public virtual DateTime? ProcessDate { get; set; }
	}
}
</v>
      </c>
      <c r="K7" t="str">
        <f>SUBSTITUTE(SUBSTITUTE(("public virtual DbSet&lt;"&amp;B3&amp;"&gt; "&amp;B3&amp;"s { get; set; }"),"WorkingPattern",$Q$3),"Master",$B$4)</f>
        <v>public virtual DbSet&lt;InvCkdPhysicalConfirmLot&gt; InvCkdPhysicalConfirmLots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prod.Inventory.CKD
{
	public class InvCkdPhysicalConfirmLotConsts	
	{
		public const int MaxModelCodeLength = 1;
		public const int MaxProdLineLength = 2;
		public const int MaxGradeLength = 2;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prod.Inventory.CKD.Dto
{
	public class InvCkdPhysicalConfirmLotDto : EntityDto&lt;long?&gt;	
	{
		public virtual string ModelCode { get; set; }
		public virtual string ProdLine { get; set; }
		public virtual string Grade { get; set; }
		public virtual int? LotNo { get; set; }
		public virtual int? NoInLot { get; set; }
		public virtual DateTime? ProcessDate { get; set; }
	}
	public class CreateOrEditInvCkdPhysicalConfirmLotDto : EntityDto&lt;long?&gt;	
	{
		[StringLength(InvCkdPhysicalConfirmLotConsts.MaxModelCodeLength)]
		public virtual string ModelCode { get; set; }
		[StringLength(InvCkdPhysicalConfirmLotConsts.MaxProdLineLength)]
		public virtual string ProdLine { get; set; }
		[StringLength(InvCkdPhysicalConfirmLotConsts.MaxGradeLength)]
		public virtual string Grade { get; set; }
		public virtual int? LotNo { get; set; }
		public virtual int? NoInLot { get; set; }
		public virtual DateTime? ProcessDate { get; set; }
	}
	public class GetInvCkdPhysicalConfirmLotInput : PagedAndSortedResultRequestDto	
	{
		public virtual string ModelCode { get; set; }
		public virtual string ProdLine { get; set; }
		public virtual string Grade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perInvCkdPhysicalConfirmLot = PARENTS.CreateChildPermission(AppPermissions.Pages_Inventory_CKD_PhysicalConfirmLot, L( "InventoryCKDPhysicalConfirmLot"), multiTenancySides: MultiTenancySides.Tenant);
		perInvCkdPhysicalConfirmLot.CreateChildPermission(AppPermissions.Pages_Inventory_CKD_PhysicalConfirmLot_CreateEdit, L( "InventoryCKDPhysicalConfirmLotCreateEdit"), multiTenancySides: MultiTenancySides.Tenant);
		perInvCkdPhysicalConfirmLot.CreateChildPermission(AppPermissions.Pages_Inventory_CKD_PhysicalConfirmLot_Delete, L( "InventoryCKDPhysicalConfirmLotDelete"),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Pages_Inventory_CKD_PhysicalConfirmLot = "Pages.Inventory.CKD.PhysicalConfirmLot";
		public const string Pages_Inventory_CKD_PhysicalConfirmLot_CreateEdit = "Pages.Inventory.CKD.PhysicalConfirmLot.CreateEdit";
		public const string Pages_Inventory_CKD_PhysicalConfirmLot_Delete = "Pages.Inventory.CKD.PhysicalConfirmLot.Delete";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IInvCkdPhysicalConfirmLotAppService : IApplicationService
	{
		Task&lt;PagedResultDto&lt;InvCkdPhysicalConfirmLotDto&gt;&gt; GetAll(GetInvCkdPhysicalConfirmLotInput input);
		Task CreateOrEdit(CreateOrEditInvCkdPhysicalConfirmLotDto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[AbpAuthorize(AppPermissions.Pages_Inventory_CKD_PhysicalConfirmLot)]
    public class InvCkdPhysicalConfirmLotAppService : vovinaAppServiceBase, IInvCkdPhysicalConfirmLotAppService
    {
        private readonly IDapperRepository&lt;InvCkdPhysicalConfirmLot, long&gt; _dapperRepo;
        private readonly IRepository&lt;InvCkdPhysicalConfirmLot, long&gt; _repo;
        private readonly IInvCkdPhysicalConfirmLotExcelExporter _calendarListExcelExporter;
        public InvCkdPhysicalConfirmLotAppService(IRepository&lt;InvCkdPhysicalConfirmLot,long&gt; repo, 
                                         IDapperRepository&lt;InvCkdPhysicalConfirmLot,long&gt; dapperRepo,
                                        IInvCkdPhysicalConfirmLotExcelExporter calendarListExcelExporter
            )
        {
            _repo = repo;
            _dapperRepo = dapperRepo;
            _calendarListExcelExporter = calendarListExcelExporter;
        }
        [AbpAuthorize(AppPermissions.Pages_Inventory_CKD_PhysicalConfirmLot_CreateEdit)]
        public async Task CreateOrEdit(CreateOrEditInvCkdPhysicalConfirmLotDto input)
        {
            if (input.Id == null) await Create(input);
            else await Update(input);
        }
        //CREATE
        private async Task Create(CreateOrEditInvCkdPhysicalConfirmLotDto input)
        {          
            var mainObj = ObjectMapper.Map&lt;InvCkdPhysicalConfirmLot&gt;(input);
            await CurrentUnitOfWork.GetDbContext&lt;vovinaDbContext&gt;().AddAsync(mainObj);
        }
        // EDIT
        private async Task Update(CreateOrEditInvCkdPhysicalConfirmLotDto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[AbpAuthorize(AppPermissions.Pages_Inventory_CKD_PhysicalConfirmLot_Delete)]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Task&lt;PagedResultDto&lt;InvCkdPhysicalConfirmLotDto&gt;&gt; GetAll(GetInvCkdPhysicalConfirmLotInput input)
        {
            var filtered = _repo.GetAll()
				.WhereIf(!string.IsNullOrWhiteSpace(input.ModelCode), e =&gt; e.ModelCode.Contains(input.ModelCode))
				.WhereIf(!string.IsNullOrWhiteSpace(input.ProdLine), e =&gt; e.ProdLine.Contains(input.ProdLine))
				.WhereIf(!string.IsNullOrWhiteSpace(input.Grade), e =&gt; e.Grade.Contains(input.Grade))
				;
            var pageAndFiltered = filtered.OrderBy(s =&gt; s.Id);
            var system = from o in pageAndFiltered
                         select new InvCkdPhysicalConfirmLotDto
                        {
							Id = o.Id,
							ModelCode = o.ModelCode,
							ProdLine = o.ProdLine,
							Grade = o.Grade,
							LotNo = o.LotNo,
							NoInLot = o.NoInLot,
							ProcessDate = o.ProcessDate,
                        };
            var totalCount = await filtered.CountAsync();
			var paged = system.PageBy(input);
            return new PagedResultDto&lt;InvCkdPhysicalConfirmLotDto&gt;(
                totalCount,
                 await paged.ToListAsync()
            );
        }
        public async Task&lt;FileDto&gt; GetPhysicalConfirmLotToExcel(InvCkdPhysicalConfirmLotExportInput input)
        {
            var query = from o in _repo.GetAll()
                        select new InvCkdPhysicalConfirmLotDto
                        {
							Id = o.Id,
							ModelCode = o.ModelCode,
							ProdLine = o.ProdLine,
							Grade = o.Grade,
							LotNo = o.LotNo,
							NoInLot = o.NoInLot,
							ProcessDate = o.ProcessDate,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_dapperRepo.ExecuteAsync(InvCkdPhysicalConfirmLotConsts.SP_MST_WPT_CALENDAR_GENERATE);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prod.Inventory.CKD.Dto
{
	public class InvCkdPhysicalConfirmLotExportInput{
		public virtual string ModelCode { get; set; }
		public virtual string ProdLine { get; set; }
		public virtual string Grade { get; set; }
		public virtual int? LotNo { get; set; }
		public virtual int? NoInLot { get; set; }
		public virtual DateTime? ProcessDate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IInvCkdPhysicalConfirmLotExcelExporter : IApplicationService
	{
		FileDto ExportToFile(List&lt;InvCkdPhysicalConfirmLotDto&gt; invckdphysicalconfirmlot);
	}
}
</v>
      </c>
      <c r="T7" s="26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InvCkdPhysicalConfirmLotExcelExporter : NpoiExcelExporterBase, IInvCkdPhysicalConfirmLotExcelExporter
    {
        public InvCkdPhysicalConfirmLotExcelExporter(ITempFileCacheManager tempFileCacheManager) : base(tempFileCacheManager) { }
        public FileDto ExportToFile(List&lt;InvCkdPhysicalConfirmLotDto&gt; physicalconfirmlot)
        {
            return CreateExcelPackage(
				"InventoryCKDPhysicalConfirmLot.xlsx",
				excelPackage =&gt;
				 {
					var sheet = excelPackage.CreateSheet("PhysicalConfirmLot");
					AddHeader(
								sheet,
								("ModelCode"),
								("ProdLine"),
								("Grade"),
								("LotNo"),
								("NoInLot"),
								("ProcessDate"),
							   );
					AddObjects(
						 sheet, 1, physicalconfirmlot,                                       
								_ =&gt; _.ModelCode,
								_ =&gt; _.ProdLine,
								_ =&gt; _.Grade,
								_ =&gt; _.LotNo,
								_ =&gt; _.NoInLot,
								_ =&gt; _.ProcessDate,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configuration.CreateMap&lt;InvCkdPhysicalConfirmLotDto, InvCkdPhysicalConfirmLot&gt;();
  configuration.CreateMap&lt;InvCkdPhysicalConfirmLot, InvCkdPhysicalConfirmLotDto&gt;();
  configuration.CreateMap&lt;CreateOrEditInvCkdPhysicalConfirmLotDto, InvCkdPhysicalConfirmLot&gt;();</v>
      </c>
      <c r="V7" s="26"/>
      <c r="W7" s="26"/>
    </row>
    <row r="8" spans="1:26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25">
      <c r="A9" t="s">
        <v>359</v>
      </c>
      <c r="B9" t="s">
        <v>319</v>
      </c>
      <c r="C9" t="s">
        <v>1</v>
      </c>
      <c r="D9" t="str">
        <f>SUBSTITUTE(PROPER(A9),"_","")</f>
        <v>ModelCode</v>
      </c>
      <c r="E9" t="str">
        <f>IFERROR(LEFT(B9, FIND("(",B9)-1),B9)</f>
        <v>varchar</v>
      </c>
      <c r="F9" s="6"/>
      <c r="G9" t="str">
        <f>IFERROR(MID(B9,FIND("(",B9) +1, FIND(")",B9) - FIND("(",B9) - 1),"")</f>
        <v>1</v>
      </c>
      <c r="H9" t="str">
        <f>+VLOOKUP(E9,'Data Type Mapping'!A:B,2,)</f>
        <v>string</v>
      </c>
      <c r="I9" t="str">
        <f t="shared" ref="I9:I10" si="0">IF(H9="string",REPT(CHAR(9),2)&amp;"public const int Max"&amp;D9&amp;"Length = "&amp;G9&amp;";"&amp;$E$3,"" )</f>
        <v xml:space="preserve">		public const int MaxModelCodeLength = 1;
</v>
      </c>
      <c r="J9" t="str">
        <f t="shared" ref="J9:J10" si="1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[StringLength(MaxModelCodeLength)]
		public virtual string ModelCode { get; set; }
</v>
      </c>
      <c r="K9" s="6" t="s">
        <v>357</v>
      </c>
      <c r="L9" t="str">
        <f t="shared" ref="L9:L10" si="2">IF(K9="","",REPT(CHAR(9),1)&amp;"[Index(nameof("&amp;IF(D9="","",""&amp;D9)&amp;")"&amp;", Name="&amp;"""IX_"&amp;$B$7&amp;"_"&amp;D9&amp;""")]")</f>
        <v xml:space="preserve">	[Index(nameof(ModelCode), Name="IX_InvCkdPhysicalConfirmLot_ModelCode")]</v>
      </c>
      <c r="M9" t="str">
        <f t="shared" ref="M9:M10" si="3">REPT(CHAR(9),2)&amp;"public virtual "&amp;IF(OR(H9="DateTime",H9="TimeSpan"),H9&amp;"?",H9)&amp;IF(C9="?","? "," ")&amp;D9&amp;" { get; set; }" &amp; "
"</f>
        <v xml:space="preserve">		public virtual string ModelCode { get; set; }
</v>
      </c>
      <c r="N9" t="str">
        <f t="shared" ref="N9:N10" si="4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[StringLength(InvCkdPhysicalConfirmLotConsts.MaxModelCodeLength)]
		public virtual string ModelCode { get; set; }
</v>
      </c>
      <c r="O9" t="str">
        <f t="shared" ref="O9:O10" si="5">IF(OR(H9="string",H9="DateTime",H9="int"),REPT(CHAR(9),2)&amp;"public virtual "&amp;IF(OR(H9="DateTime",H9="TimeSpan"),H9&amp;"?",H9)&amp;IF(C9="?","? "," ")&amp;D9&amp;" { get; set; }"&amp;$E$3,"")</f>
        <v xml:space="preserve">		public virtual string ModelCode { get; set; }
</v>
      </c>
      <c r="P9" t="str">
        <f t="shared" ref="P9:P10" si="6">REPT(CHAR(9),7)&amp;D9&amp;" = o." &amp;D9 &amp;","</f>
        <v xml:space="preserve">							ModelCode = o.ModelCode,</v>
      </c>
      <c r="T9" s="64" t="str">
        <f t="shared" ref="T9:T10" si="7">REPT(CHAR(9),8)&amp;"("""&amp;D9&amp;"""),"</f>
        <v xml:space="preserve">								("ModelCode"),</v>
      </c>
      <c r="V9" s="65" t="str">
        <f t="shared" ref="V9:V10" si="8">REPT(CHAR(9),8)&amp;"_ =&gt; _."&amp;D9&amp;","</f>
        <v xml:space="preserve">								_ =&gt; _.ModelCode,</v>
      </c>
      <c r="W9" s="64" t="str">
        <f t="shared" ref="W9:W10" si="9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.WhereIf(!string.IsNullOrWhiteSpace(input.ModelCode), e =&gt; e.ModelCode.Contains(input.ModelCode))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25">
      <c r="A10" t="s">
        <v>360</v>
      </c>
      <c r="B10" t="s">
        <v>356</v>
      </c>
      <c r="C10" t="s">
        <v>1</v>
      </c>
      <c r="D10" t="str">
        <f>SUBSTITUTE(PROPER(A10),"_","")</f>
        <v>ProdLine</v>
      </c>
      <c r="E10" t="str">
        <f>IFERROR(LEFT(B10, FIND("(",B10)-1),B10)</f>
        <v>varchar</v>
      </c>
      <c r="F10" s="6"/>
      <c r="G10" t="str">
        <f>IFERROR(MID(B10,FIND("(",B10) +1, FIND(")",B10) - FIND("(",B10) - 1),"")</f>
        <v>2</v>
      </c>
      <c r="H10" t="str">
        <f>+VLOOKUP(E10,'Data Type Mapping'!A:B,2,)</f>
        <v>string</v>
      </c>
      <c r="I10" t="str">
        <f t="shared" si="0"/>
        <v xml:space="preserve">		public const int MaxProdLineLength = 2;
</v>
      </c>
      <c r="J10" t="str">
        <f t="shared" si="1"/>
        <v xml:space="preserve">		[StringLength(MaxProdLineLength)]
		public virtual string ProdLine { get; set; }
</v>
      </c>
      <c r="K10" s="6"/>
      <c r="L10" t="str">
        <f t="shared" si="2"/>
        <v/>
      </c>
      <c r="M10" t="str">
        <f t="shared" si="3"/>
        <v xml:space="preserve">		public virtual string ProdLine { get; set; }
</v>
      </c>
      <c r="N10" t="str">
        <f t="shared" si="4"/>
        <v xml:space="preserve">		[StringLength(InvCkdPhysicalConfirmLotConsts.MaxProdLineLength)]
		public virtual string ProdLine { get; set; }
</v>
      </c>
      <c r="O10" t="str">
        <f t="shared" si="5"/>
        <v xml:space="preserve">		public virtual string ProdLine { get; set; }
</v>
      </c>
      <c r="P10" t="str">
        <f t="shared" si="6"/>
        <v xml:space="preserve">							ProdLine = o.ProdLine,</v>
      </c>
      <c r="T10" s="64" t="str">
        <f t="shared" si="7"/>
        <v xml:space="preserve">								("ProdLine"),</v>
      </c>
      <c r="V10" s="65" t="str">
        <f t="shared" si="8"/>
        <v xml:space="preserve">								_ =&gt; _.ProdLine,</v>
      </c>
      <c r="W10" s="64" t="str">
        <f t="shared" si="9"/>
        <v xml:space="preserve">				.WhereIf(!string.IsNullOrWhiteSpace(input.ProdLine), e =&gt; e.ProdLine.Contains(input.ProdLine))</v>
      </c>
      <c r="X10" t="str">
        <f t="shared" ref="X10" si="10">IF(E10="VARCHAR","Char",(IF(E10="DATE","Date","Number")))</f>
        <v>Char</v>
      </c>
      <c r="Y10" t="str">
        <f t="shared" ref="Y10" si="11">IF(X10="Char","Left",IF(X10="Date","Center","Right"))</f>
        <v>Left</v>
      </c>
      <c r="Z10" t="str">
        <f t="shared" ref="Z10" si="12">IF(X10="Char","",IF(X10="Date","DD/MM/YYYY",IF(H10="decimal?","#,###.####","#,###")))</f>
        <v/>
      </c>
    </row>
    <row r="11" spans="1:26" customFormat="1" ht="18.75" customHeight="1" x14ac:dyDescent="0.25">
      <c r="A11" t="s">
        <v>361</v>
      </c>
      <c r="B11" t="s">
        <v>356</v>
      </c>
      <c r="C11" t="s">
        <v>1</v>
      </c>
      <c r="D11" t="str">
        <f>SUBSTITUTE(PROPER(A11),"_","")</f>
        <v>Grade</v>
      </c>
      <c r="E11" t="str">
        <f>IFERROR(LEFT(B11, FIND("(",B11)-1),B11)</f>
        <v>varchar</v>
      </c>
      <c r="F11" s="6"/>
      <c r="G11" t="str">
        <f>IFERROR(MID(B11,FIND("(",B11) +1, FIND(")",B11) - FIND("(",B11) - 1),"")</f>
        <v>2</v>
      </c>
      <c r="H11" t="str">
        <f>+VLOOKUP(E11,'Data Type Mapping'!A:B,2,)</f>
        <v>string</v>
      </c>
      <c r="I11" t="str">
        <f t="shared" ref="I11:I13" si="13">IF(H11="string",REPT(CHAR(9),2)&amp;"public const int Max"&amp;D11&amp;"Length = "&amp;G11&amp;";"&amp;$E$3,"" )</f>
        <v xml:space="preserve">		public const int MaxGradeLength = 2;
</v>
      </c>
      <c r="J11" t="str">
        <f t="shared" ref="J11:J13" si="14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[StringLength(MaxGradeLength)]
		public virtual string Grade { get; set; }
</v>
      </c>
      <c r="K11" s="6"/>
      <c r="L11" t="str">
        <f t="shared" ref="L11:L13" si="15">IF(K11="","",REPT(CHAR(9),1)&amp;"[Index(nameof("&amp;IF(D11="","",""&amp;D11)&amp;")"&amp;", Name="&amp;"""IX_"&amp;$B$7&amp;"_"&amp;D11&amp;""")]")</f>
        <v/>
      </c>
      <c r="M11" t="str">
        <f t="shared" ref="M11:M13" si="16">REPT(CHAR(9),2)&amp;"public virtual "&amp;IF(OR(H11="DateTime",H11="TimeSpan"),H11&amp;"?",H11)&amp;IF(C11="?","? "," ")&amp;D11&amp;" { get; set; }" &amp; "
"</f>
        <v xml:space="preserve">		public virtual string Grade { get; set; }
</v>
      </c>
      <c r="N11" t="str">
        <f t="shared" ref="N11:N13" si="17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[StringLength(InvCkdPhysicalConfirmLotConsts.MaxGradeLength)]
		public virtual string Grade { get; set; }
</v>
      </c>
      <c r="O11" t="str">
        <f t="shared" ref="O11:O13" si="18">IF(OR(H11="string",H11="DateTime",H11="int"),REPT(CHAR(9),2)&amp;"public virtual "&amp;IF(OR(H11="DateTime",H11="TimeSpan"),H11&amp;"?",H11)&amp;IF(C11="?","? "," ")&amp;D11&amp;" { get; set; }"&amp;$E$3,"")</f>
        <v xml:space="preserve">		public virtual string Grade { get; set; }
</v>
      </c>
      <c r="P11" t="str">
        <f t="shared" ref="P11:P13" si="19">REPT(CHAR(9),7)&amp;D11&amp;" = o." &amp;D11 &amp;","</f>
        <v xml:space="preserve">							Grade = o.Grade,</v>
      </c>
      <c r="T11" s="64" t="str">
        <f t="shared" ref="T11:T13" si="20">REPT(CHAR(9),8)&amp;"("""&amp;D11&amp;"""),"</f>
        <v xml:space="preserve">								("Grade"),</v>
      </c>
      <c r="V11" s="65" t="str">
        <f t="shared" ref="V11:V13" si="21">REPT(CHAR(9),8)&amp;"_ =&gt; _."&amp;D11&amp;","</f>
        <v xml:space="preserve">								_ =&gt; _.Grade,</v>
      </c>
      <c r="W11" s="64" t="str">
        <f t="shared" ref="W11:W13" si="22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.WhereIf(!string.IsNullOrWhiteSpace(input.Grade), e =&gt; e.Grade.Contains(input.Grade))</v>
      </c>
      <c r="X11" t="str">
        <f t="shared" ref="X11:X12" si="23">IF(E11="VARCHAR","Char",(IF(E11="DATE","Date","Number")))</f>
        <v>Char</v>
      </c>
      <c r="Y11" t="str">
        <f t="shared" ref="Y11:Y12" si="24">IF(X11="Char","Left",IF(X11="Date","Center","Right"))</f>
        <v>Left</v>
      </c>
      <c r="Z11" t="str">
        <f t="shared" ref="Z11:Z12" si="25">IF(X11="Char","",IF(X11="Date","DD/MM/YYYY",IF(H11="decimal?","#,###.####","#,###")))</f>
        <v/>
      </c>
    </row>
    <row r="12" spans="1:26" customFormat="1" ht="18.75" customHeight="1" x14ac:dyDescent="0.25">
      <c r="A12" t="s">
        <v>362</v>
      </c>
      <c r="B12" t="s">
        <v>4</v>
      </c>
      <c r="C12" t="s">
        <v>1</v>
      </c>
      <c r="D12" t="str">
        <f>SUBSTITUTE(PROPER(A12),"_","")</f>
        <v>LotNo</v>
      </c>
      <c r="E12" t="str">
        <f>IFERROR(LEFT(B12, FIND("(",B12)-1),B12)</f>
        <v>int</v>
      </c>
      <c r="F12" s="6"/>
      <c r="G12" t="str">
        <f>IFERROR(MID(B12,FIND("(",B12) +1, FIND(")",B12) - FIND("(",B12) - 1),"")</f>
        <v/>
      </c>
      <c r="H12" t="str">
        <f>+VLOOKUP(E12,'Data Type Mapping'!A:B,2,)</f>
        <v>int?</v>
      </c>
      <c r="I12" t="str">
        <f t="shared" si="13"/>
        <v/>
      </c>
      <c r="J12" t="str">
        <f t="shared" si="14"/>
        <v xml:space="preserve">		public virtual int? LotNo { get; set; }
</v>
      </c>
      <c r="K12" s="6"/>
      <c r="L12" t="str">
        <f t="shared" si="15"/>
        <v/>
      </c>
      <c r="M12" t="str">
        <f t="shared" si="16"/>
        <v xml:space="preserve">		public virtual int? LotNo { get; set; }
</v>
      </c>
      <c r="N12" t="str">
        <f t="shared" si="17"/>
        <v xml:space="preserve">		public virtual int? LotNo { get; set; }
</v>
      </c>
      <c r="O12" t="str">
        <f t="shared" si="18"/>
        <v/>
      </c>
      <c r="P12" t="str">
        <f t="shared" si="19"/>
        <v xml:space="preserve">							LotNo = o.LotNo,</v>
      </c>
      <c r="T12" s="64" t="str">
        <f t="shared" si="20"/>
        <v xml:space="preserve">								("LotNo"),</v>
      </c>
      <c r="V12" s="65" t="str">
        <f t="shared" si="21"/>
        <v xml:space="preserve">								_ =&gt; _.LotNo,</v>
      </c>
      <c r="W12" s="64" t="str">
        <f t="shared" si="22"/>
        <v/>
      </c>
      <c r="X12" t="str">
        <f t="shared" si="23"/>
        <v>Number</v>
      </c>
      <c r="Y12" t="str">
        <f t="shared" si="24"/>
        <v>Right</v>
      </c>
      <c r="Z12" t="str">
        <f t="shared" si="25"/>
        <v>#,###</v>
      </c>
    </row>
    <row r="13" spans="1:26" customFormat="1" ht="18.75" customHeight="1" x14ac:dyDescent="0.25">
      <c r="A13" t="s">
        <v>363</v>
      </c>
      <c r="B13" t="s">
        <v>4</v>
      </c>
      <c r="C13" t="s">
        <v>1</v>
      </c>
      <c r="D13" t="str">
        <f>SUBSTITUTE(PROPER(A13),"_","")</f>
        <v>NoInLot</v>
      </c>
      <c r="E13" t="str">
        <f>IFERROR(LEFT(B13, FIND("(",B13)-1),B13)</f>
        <v>int</v>
      </c>
      <c r="F13" s="6"/>
      <c r="G13" t="str">
        <f>IFERROR(MID(B13,FIND("(",B13) +1, FIND(")",B13) - FIND("(",B13) - 1),"")</f>
        <v/>
      </c>
      <c r="H13" t="str">
        <f>+VLOOKUP(E13,'Data Type Mapping'!A:B,2,)</f>
        <v>int?</v>
      </c>
      <c r="I13" t="str">
        <f t="shared" si="13"/>
        <v/>
      </c>
      <c r="J13" t="str">
        <f t="shared" si="14"/>
        <v xml:space="preserve">		public virtual int? NoInLot { get; set; }
</v>
      </c>
      <c r="K13" s="6"/>
      <c r="L13" t="str">
        <f t="shared" si="15"/>
        <v/>
      </c>
      <c r="M13" t="str">
        <f t="shared" si="16"/>
        <v xml:space="preserve">		public virtual int? NoInLot { get; set; }
</v>
      </c>
      <c r="N13" t="str">
        <f t="shared" si="17"/>
        <v xml:space="preserve">		public virtual int? NoInLot { get; set; }
</v>
      </c>
      <c r="O13" t="str">
        <f t="shared" si="18"/>
        <v/>
      </c>
      <c r="P13" t="str">
        <f t="shared" si="19"/>
        <v xml:space="preserve">							NoInLot = o.NoInLot,</v>
      </c>
      <c r="T13" s="64" t="str">
        <f t="shared" si="20"/>
        <v xml:space="preserve">								("NoInLot"),</v>
      </c>
      <c r="V13" s="65" t="str">
        <f t="shared" si="21"/>
        <v xml:space="preserve">								_ =&gt; _.NoInLot,</v>
      </c>
      <c r="W13" s="64" t="str">
        <f t="shared" si="22"/>
        <v/>
      </c>
      <c r="X13" t="str">
        <f t="shared" ref="X13" si="26">IF(E13="VARCHAR","Char",(IF(E13="DATE","Date","Number")))</f>
        <v>Number</v>
      </c>
      <c r="Y13" t="str">
        <f t="shared" ref="Y13" si="27">IF(X13="Char","Left",IF(X13="Date","Center","Right"))</f>
        <v>Right</v>
      </c>
      <c r="Z13" t="str">
        <f t="shared" ref="Z13" si="28">IF(X13="Char","",IF(X13="Date","DD/MM/YYYY",IF(H13="decimal?","#,###.####","#,###")))</f>
        <v>#,###</v>
      </c>
    </row>
    <row r="14" spans="1:26" customFormat="1" ht="18.75" customHeight="1" x14ac:dyDescent="0.25">
      <c r="A14" t="s">
        <v>364</v>
      </c>
      <c r="B14" t="s">
        <v>2</v>
      </c>
      <c r="C14" t="s">
        <v>1</v>
      </c>
      <c r="D14" t="str">
        <f>SUBSTITUTE(PROPER(A14),"_","")</f>
        <v>ProcessDate</v>
      </c>
      <c r="E14" t="str">
        <f>IFERROR(LEFT(B14, FIND("(",B14)-1),B14)</f>
        <v>date</v>
      </c>
      <c r="F14" s="6"/>
      <c r="G14" t="str">
        <f>IFERROR(MID(B14,FIND("(",B14) +1, FIND(")",B14) - FIND("(",B14) - 1),"")</f>
        <v/>
      </c>
      <c r="H14" t="str">
        <f>+VLOOKUP(E14,'Data Type Mapping'!A:B,2,)</f>
        <v>DateTime?</v>
      </c>
      <c r="I14" t="str">
        <f>IF(H14="string",REPT(CHAR(9),2)&amp;"public const int Max"&amp;D14&amp;"Length = "&amp;G14&amp;";"&amp;$E$3,"" )</f>
        <v/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DateTime? ProcessDate { get; set; }
</v>
      </c>
      <c r="K14" s="6" t="s">
        <v>357</v>
      </c>
      <c r="L14" t="str">
        <f>IF(K14="","",REPT(CHAR(9),1)&amp;"[Index(nameof("&amp;IF(D14="","",""&amp;D14)&amp;")"&amp;", Name="&amp;"""IX_"&amp;$B$7&amp;"_"&amp;D14&amp;""")]")</f>
        <v xml:space="preserve">	[Index(nameof(ProcessDate), Name="IX_InvCkdPhysicalConfirmLot_ProcessDate")]</v>
      </c>
      <c r="M14" t="str">
        <f>REPT(CHAR(9),2)&amp;"public virtual "&amp;IF(OR(H14="DateTime",H14="TimeSpan"),H14&amp;"?",H14)&amp;IF(C14="?","? "," ")&amp;D14&amp;" { get; set; }" &amp; "
"</f>
        <v xml:space="preserve">		public virtual DateTime? ProcessDate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DateTime? ProcessDate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/>
      </c>
      <c r="P14" t="str">
        <f>REPT(CHAR(9),7)&amp;D14&amp;" = o." &amp;D14 &amp;","</f>
        <v xml:space="preserve">							ProcessDate = o.ProcessDate,</v>
      </c>
      <c r="T14" s="64" t="str">
        <f>REPT(CHAR(9),8)&amp;"("""&amp;D14&amp;"""),"</f>
        <v xml:space="preserve">								("ProcessDate"),</v>
      </c>
      <c r="V14" s="65" t="str">
        <f>REPT(CHAR(9),8)&amp;"_ =&gt; _."&amp;D14&amp;","</f>
        <v xml:space="preserve">								_ =&gt; _.ProcessDate,</v>
      </c>
      <c r="W14" s="64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  <c r="X14" t="str">
        <f>IF(E14="VARCHAR","Char",(IF(E14="DATE","Date","Number")))</f>
        <v>Date</v>
      </c>
      <c r="Y14" t="str">
        <f>IF(X14="Char","Left",IF(X14="Date","Center","Right"))</f>
        <v>Center</v>
      </c>
      <c r="Z14" t="str">
        <f>IF(X14="Char","",IF(X14="Date","DD/MM/YYYY",IF(H14="decimal?","#,###.####","#,###")))</f>
        <v>DD/MM/YYYY</v>
      </c>
    </row>
    <row r="16" spans="1:26" ht="45.75" customHeight="1" x14ac:dyDescent="0.25">
      <c r="H16" s="11"/>
      <c r="I16" s="31" t="str">
        <f ca="1">TEXTJOIN2("
", TRUE,INDIRECT( $H$1):INDIRECT( $H$3))</f>
        <v xml:space="preserve">		public const int MaxModelCodeLength = 1;
		public const int MaxProdLineLength = 2;
		public const int MaxGradeLength = 2;
</v>
      </c>
      <c r="J16" s="30" t="str">
        <f ca="1">TEXTJOIN2("
", TRUE,INDIRECT( $F$1):INDIRECT( $F$3))</f>
        <v xml:space="preserve">		[StringLength(MaxModelCodeLength)]
		public virtual string ModelCode { get; set; }
		[StringLength(MaxProdLineLength)]
		public virtual string ProdLine { get; set; }
		[StringLength(MaxGradeLength)]
		public virtual string Grade { get; set; }
		public virtual int? LotNo { get; set; }
		public virtual int? NoInLot { get; set; }
		public virtual DateTime? ProcessDate { get; set; }
</v>
      </c>
      <c r="K16" s="32" t="str">
        <f ca="1">TEXTJOIN2("
", TRUE,INDIRECT( $J$1):INDIRECT( $J$3))</f>
        <v xml:space="preserve">	[Index(nameof(ModelCode), Name="IX_InvCkdPhysicalConfirmLot_ModelCode")]
	[Index(nameof(ProcessDate), Name="IX_InvCkdPhysicalConfirmLot_ProcessDate")]</v>
      </c>
      <c r="L16" s="12" t="s">
        <v>57</v>
      </c>
      <c r="M16" s="33" t="str">
        <f ca="1">TEXTJOIN2("
",TRUE,INDIRECT( $L$1):INDIRECT($L$3))</f>
        <v xml:space="preserve">		public virtual string ModelCode { get; set; }
		public virtual string ProdLine { get; set; }
		public virtual string Grade { get; set; }
		public virtual int? LotNo { get; set; }
		public virtual int? NoInLot { get; set; }
		public virtual DateTime? ProcessDate { get; set; }
</v>
      </c>
      <c r="N16" s="30" t="str">
        <f ca="1">TEXTJOIN2("
",TRUE,INDIRECT( $M$1):INDIRECT($M$3))</f>
        <v xml:space="preserve">		[StringLength(InvCkdPhysicalConfirmLotConsts.MaxModelCodeLength)]
		public virtual string ModelCode { get; set; }
		[StringLength(InvCkdPhysicalConfirmLotConsts.MaxProdLineLength)]
		public virtual string ProdLine { get; set; }
		[StringLength(InvCkdPhysicalConfirmLotConsts.MaxGradeLength)]
		public virtual string Grade { get; set; }
		public virtual int? LotNo { get; set; }
		public virtual int? NoInLot { get; set; }
		public virtual DateTime? ProcessDate { get; set; }
</v>
      </c>
      <c r="O16" s="30" t="str">
        <f ca="1">TEXTJOIN2("
",TRUE,INDIRECT( $N$1):INDIRECT($N$3))</f>
        <v xml:space="preserve">		public virtual string ModelCode { get; set; }
		public virtual string ProdLine { get; set; }
		public virtual string Grade { get; set; }
</v>
      </c>
      <c r="P16" s="8" t="str">
        <f ca="1">TEXTJOIN2("
",TRUE,INDIRECT( $O$1):INDIRECT($O$3))</f>
        <v xml:space="preserve">							ModelCode = o.ModelCode,
							ProdLine = o.ProdLine,
							Grade = o.Grade,
							LotNo = o.LotNo,
							NoInLot = o.NoInLot,
							ProcessDate = o.ProcessDate,</v>
      </c>
      <c r="T16" s="8" t="str">
        <f ca="1">TEXTJOIN2("
",TRUE,INDIRECT( $T$2):INDIRECT($T$3))</f>
        <v xml:space="preserve">								("ModelCode"),
								("ProdLine"),
								("Grade"),
								("LotNo"),
								("NoInLot"),
								("ProcessDate"),</v>
      </c>
      <c r="V16" s="8" t="str">
        <f ca="1">TEXTJOIN2("
",TRUE,INDIRECT( $V$2):INDIRECT($V$3))</f>
        <v xml:space="preserve">								_ =&gt; _.ModelCode,
								_ =&gt; _.ProdLine,
								_ =&gt; _.Grade,
								_ =&gt; _.LotNo,
								_ =&gt; _.NoInLot,
								_ =&gt; _.ProcessDate,</v>
      </c>
      <c r="W16" s="8" t="str">
        <f ca="1">TEXTJOIN2("
",TRUE,INDIRECT( $W$2):INDIRECT($W$3))</f>
        <v xml:space="preserve">				.WhereIf(!string.IsNullOrWhiteSpace(input.ModelCode), e =&gt; e.ModelCode.Contains(input.ModelCode))
				.WhereIf(!string.IsNullOrWhiteSpace(input.ProdLine), e =&gt; e.ProdLine.Contains(input.ProdLine))
				.WhereIf(!string.IsNullOrWhiteSpace(input.Grade), e =&gt; e.Grade.Contains(input.Grade))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2"/>
  <sheetViews>
    <sheetView workbookViewId="0">
      <selection activeCell="C27" sqref="C2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38" t="s">
        <v>208</v>
      </c>
      <c r="B1" s="39" t="s">
        <v>358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InvCkdPhysicalConfirmLot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PhysicalConfirmLot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physicalconfirmlot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InvCkdPhysicalConfirmLotDto, InvCkdPhysicalConfirmLotServiceProxy } from '@shared/service-proxies/service-proxies';
import { finalize } from 'rxjs/internal/operators/finalize';
import { CreateOrEditPhysicalConfirmLotModalComponent } from './create-or-edit-physicalconfirmlot-modal.component';
import { DatePipe } from '@angular/common';
import { FileDownloadService } from '@shared/utils/file-download.service';
import ceil from 'lodash-es/ceil';
import { Paginator } from 'primeng/paginator';
@Component({
    templateUrl: './physicalconfirmlot.component.html',
    styleUrls: ['./physicalconfirmlot.component.less'],
})
export class PhysicalConfirmLotComponent extends AppComponentBase implements OnInit {
    @ViewChild('createOrEditModalPhysicalConfirmLot', { static: true }) createOrEditModalPhysicalConfirmLot:| CreateOrEditPhysicalConfirmLotModalComponent|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InvCkdPhysicalConfirmLotDto = new InvCkdPhysicalConfirmLotDto();
    saveSelectedRow: InvCkdPhysicalConfirmLotDto = new InvCkdPhysicalConfirmLotDto();
    datas: InvCkdPhysicalConfirmLotDto = new InvCkdPhysicalConfirmLotDto();
    isLoading: boolean = false;
    dataParams: GridParams | undefined;
    rowData: any[] = [];
    gridApi!: GridApi;
    rowSelection = 'multiple';
    filter: string = '';
	pipe = new DatePipe('en-US');
	frameworkComponents: FrameworkComponent;
    	modelCode : string = '' ; 
	prodLine : string = '' ; 
	grade : string = '' ; 
	lotNo
	noInLot
	processDate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InvCkdPhysicalConfirmLotServiceProxy,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 Code'),headerTooltip: this.l('Model Code'),field:  'modelCode', cellClass: ['text-center'], width: 120, cellRenderer: 'agCellButtonComponent',
buttonDefTwo: { text: params =&gt; (params.data?.'modelCode' == 'Y') ? 'Active' : 'Inactive',iconName: 'fa fa-circle',className: params =&gt; (params.data?.'modelCode' == 'Y') ? 'btnActive' : 'btnInActive',},}
			{headerName: this.l('Prod Line'),headerTooltip: this.l('Prod Line'),field: 'prodLine',flex: 1},
			{headerName: this.l('Grade'),headerTooltip: this.l('Grade'),field: 'grade',flex: 1},
			{headerName: this.l('Lot No'),headerTooltip: this.l('Lot No'),field: 'lotNo',flex: 1},
			{headerName: this.l('No In Lot'),headerTooltip: this.l('No In Lot'),field: 'noInLot',flex: 1},
			{headerName: this.l('Process Date'),headerTooltip: this.l('Process Date'),field: 'processDate',flex: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this.modelCode,
			this.prodLine,
			this.grade,
			this.lotNo,
			this.noInLot,
			this.processDate,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this.modelCode = '',
		this.prodLine = '',
		this.grade = '',
		this.lotNo = '',
		this.noInLot = '',
		this.processDate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this.modelCode,
			this.prodLine,
			this.grade,
			this.lotNo,
			this.noInLot,
			this.processDate,
			'',
            this.paginationParams.skipCount,
            this.paginationParams.pageSize
        );
    }
    onChangeRowSelection(params: { api: { getSelectedRows: () =&gt; InvCkdPhysicalConfirmLotDto[] } }) {
        this.saveSelectedRow = params.api.getSelectedRows()[0] ?? new InvCkdPhysicalConfirmLotDto();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InvCkdPhysicalConfirmLotDto):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this._service.getPhysicalConfirmLotToExcel(
			this.modelCode,
			this.prodLine,
			this.grade,
			this.lotNo,
			this.noInLot,
			this.processDate,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TMV Stock (General Warehouse)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[(ngModel)]='modelCode' name='modelCode'
									class='form-control' [placeholder]="l('Model Code')"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(click)="createOrEditModalPhysicalConfirmLot.show()"&gt;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(click)="createOrEditModalPhysicalConfirmLot.show(selectedRow)"&gt;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&lt;create-or-edit-physicalconfirmlot-modal
    #createOrEditModalPhysicalConfirmLot
    (modalSave)="callBackDataGrid(dataParams)"
    (modalClose)="onChangeRowSelection(dataParams)"
&gt;
&lt;/create-or-edit-physicalconfirmlot-modal&gt;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#createOrEditModalPhysicalConfirmLot="bs-modal"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PhysicalConfirmLot')}}&lt;/h3&gt;
                    &lt;h3 *ngIf="!rowdata.id"&gt;{{('Create New PhysicalConfirmLot')}}&lt;/h3&gt;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 Code&lt;/label&gt;
						&lt;new-checkbox [(ngModel)]='_modelCode' name='modelCode' className='col-md-10' &gt; &lt;/new-checkbox&gt;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CreateOrEditInvCkdPhysicalConfirmLotDto, InvCkdPhysicalConfirmLotServiceProxy } from '@shared/service-proxies/service-proxies';
import { BsDatepickerDirective } from 'ngx-bootstrap/datepicker';
@Component({
    selector: 'create-or-edit-physicalconfirmlot-modal',
    templateUrl: './create-or-edit-physicalconfirmlot-modal.component.html',
    styleUrls: ['./create-or-edit-physicalconfirmlot-modal.component.less']
    })
export class CreateOrEditPhysicalConfirmLotModalComponent extends AppComponentBase {
    @ViewChild('createOrEditModalPhysicalConfirmLot',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CreateOrEditInvCkdPhysicalConfirmLotDto = new CreateOrEditInvCkdPhysicalConfirmLotDto();
    active: boolean = false;
    saving: boolean = false;
    _modelCode
: boolean;
    constructor(
        injector: Injector,
        private _mstwptPhysicalConfirmLotService: InvCkdPhysicalConfirmLotServiceProxy,
    ) 
    {
        super(injector);
    }
    show(rowdata?: CreateOrEditInvCkdPhysicalConfirmLotDto): void {
        if (!rowdata) this.rowdata = new CreateOrEditInvCkdPhysicalConfirmLotDto();
        else this.rowdata = rowdata;
        this._modelCode
 = (this.rowdata.modelCode
 == "N")? false: true;
        this.active = true;
        this.modal.show();
    } 
    changeActive(event){
        this._modelCode
 = event.target.checked;
    }
    save(): void {
    this.saving = true; 
    this.rowdata.modelCode
 = (this._modelCode
 == true) ? 'Y' : 'N'
    this._mstwptPhysicalConfirmLotService.createOrEdit(this.rowdata)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PhysicalConfirmLotRoutingModule } from './physicalconfirmlot-routing.module';
import { PhysicalConfirmLotComponent } from './physicalconfirmlot.component';
import { CreateOrEditPhysicalConfirmLotModalComponent } from './create-or-edit-physicalconfirmlot-modal.component';
@NgModule({
    declarations: [
       PhysicalConfirmLotComponent, 
        CreateOrEditPhysicalConfirmLotModalComponent
    ],
    imports: [
        AppSharedModule, PhysicalConfirmLotRoutingModule]
})
export class PhysicalConfirmLotModule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PhysicalConfirmLotComponent } from './physicalconfirmlot.component';
const routes: Routes = [{
    path: '',
    component: PhysicalConfirmLotComponent,
    pathMatch: 'full'
}];
@NgModule({
    imports: [RouterModule.forChild(routes)],
    exports: [RouterModule],
})
export class PhysicalConfirmLotRoutingModule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AppMenuItem("PhysicalConfirmLot", "Pages.Inventory.CKD.PhysicalConfirmLot", "flaticon-book",   "/app/main/inventory/ckd/physicalconfirmlot"),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'inventory/ckd/physicalconfirmlot',
    loadChildren: () =&gt; import('./inventory/ckd/physicalconfirmlot/physicalconfirmlot.module').then(m =&gt; m.PhysicalConfirmLotModule),
    data: { permission: 'Pages.Inventory.CKD.PhysicalConfirmLot' }
},</v>
      </c>
      <c r="R10" s="47" t="str">
        <f>SUBSTITUTE(R9,"MstWptCalendar",$B$6)</f>
        <v>ApiServiceProxies.InvCkdPhysicalConfirmLotServiceProxy,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H20</v>
      </c>
      <c r="I12" s="28" t="str">
        <f>"I"&amp;COUNTA($A:$A)</f>
        <v>I20</v>
      </c>
      <c r="J12" s="28"/>
      <c r="K12" s="28" t="str">
        <f>"K"&amp;COUNTA($A:$A)</f>
        <v>K20</v>
      </c>
      <c r="L12" s="28" t="str">
        <f>"L"&amp;COUNTA($A:$A)</f>
        <v>L20</v>
      </c>
      <c r="M12" s="28"/>
      <c r="N12" s="28"/>
      <c r="O12" s="28"/>
      <c r="P12" s="28"/>
      <c r="Q12" s="28"/>
      <c r="R12" s="28"/>
      <c r="S12" s="28" t="str">
        <f>"S"&amp;COUNTA($A:$A)</f>
        <v>S20</v>
      </c>
      <c r="T12" s="28" t="str">
        <f>"T"&amp;COUNTA($A:$A)</f>
        <v>T20</v>
      </c>
      <c r="U12" s="28" t="str">
        <f>"U"&amp;COUNTA($A:$A)</f>
        <v>U20</v>
      </c>
      <c r="V12" s="28" t="str">
        <f>"V"&amp;COUNTA($A:$A)</f>
        <v>V20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this.l('Model Code'),headerTooltip: this.l('Model Code'),field:  'modelCode', cellClass: ['text-center'], width: 120, cellRenderer: 'agCellButtonComponent',
buttonDefTwo: { text: params =&gt; (params.data?.'modelCode' == 'Y') ? 'Active' : 'Inactive',iconName: 'fa fa-circle',className: params =&gt; (params.data?.'modelCode' == 'Y') ? 'btnActive' : 'btnInActive',},}
			{headerName: this.l('Prod Line'),headerTooltip: this.l('Prod Line'),field: 'prodLine',flex: 1},
			{headerName: this.l('Grade'),headerTooltip: this.l('Grade'),field: 'grade',flex: 1},
			{headerName: this.l('Lot No'),headerTooltip: this.l('Lot No'),field: 'lotNo',flex: 1},
			{headerName: this.l('No In Lot'),headerTooltip: this.l('No In Lot'),field: 'noInLot',flex: 1},
			{headerName: this.l('Process Date'),headerTooltip: this.l('Process Date'),field: 'processDate',flex: 1},</v>
      </c>
      <c r="I13" s="35" t="str">
        <f ca="1">TEXTJOIN2("
",TRUE,INDIRECT(I11):INDIRECT(I12))</f>
        <v xml:space="preserve">								&lt;div class='input-search'&gt;
									&lt;input [(ngModel)]='modelCode' name='modelCode'
									class='form-control' [placeholder]="l('Model Code')"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title'&gt;Model Code&lt;/label&gt;
						&lt;new-checkbox [(ngModel)]='_modelCode' name='modelCode' className='col-md-10' &gt; &lt;/new-checkbox&gt;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modelCode : string = '' ; 
	prodLine : string = '' ; 
	grade : string = '' ; 
	lotNo
	noInLot
	processDate</v>
      </c>
      <c r="T13" s="63" t="str">
        <f ca="1">TEXTJOIN2("
",TRUE,INDIRECT(T11):INDIRECT(T12))</f>
        <v xml:space="preserve">			this.modelCode,
			this.prodLine,
			this.grade,
			this.lotNo,
			this.noInLot,
			this.processDate,</v>
      </c>
      <c r="U13" s="63" t="str">
        <f ca="1">TEXTJOIN2("
",TRUE,INDIRECT(U11):INDIRECT(U12))</f>
        <v xml:space="preserve">		this.modelCode = '',
		this.prodLine = '',
		this.grade = '',
		this.lotNo = '',
		this.noInLot = '',
		this.processDate = '',</v>
      </c>
      <c r="V13" s="28" t="str">
        <f ca="1">TEXTJOIN2("
",TRUE,INDIRECT(V11):INDIRECT(V12))</f>
        <v xml:space="preserve">modelCode
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physicalconfirmlot.component.ts</v>
      </c>
      <c r="I14" s="37" t="str">
        <f>B8&amp;".component.html"</f>
        <v>physicalconfirmlot.component.html</v>
      </c>
      <c r="J14" s="36" t="str">
        <f>B8&amp;".component.less"</f>
        <v>physicalconfirmlot.component.less</v>
      </c>
      <c r="K14" s="37" t="str">
        <f>"create-or-edit-"&amp;B8&amp;"-modal.component.html"</f>
        <v>create-or-edit-physicalconfirmlot-modal.component.html</v>
      </c>
      <c r="L14" s="37" t="str">
        <f>"create-or-edit-"&amp;B8&amp;"-modal.component.ts"</f>
        <v>create-or-edit-physicalconfirmlot-modal.component.ts</v>
      </c>
      <c r="M14" s="37" t="str">
        <f>"create-or-edit-"&amp;B8&amp;"-modal.component.less"</f>
        <v>create-or-edit-physicalconfirmlot-modal.component.less</v>
      </c>
      <c r="N14" s="37" t="str">
        <f>B8&amp;".module.ts"</f>
        <v>physicalconfirmlot.module.ts</v>
      </c>
      <c r="O14" s="37" t="str">
        <f>B8&amp;"-routing.module.ts"</f>
        <v>physicalconfirmlot-routing.module.ts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359</v>
      </c>
      <c r="B15" s="28" t="str">
        <f t="shared" ref="B15" si="0">SUBSTITUTE(PROPER(A15),"_","")</f>
        <v>ModelCode</v>
      </c>
      <c r="C15" s="28" t="str">
        <f t="shared" ref="C15" si="1">SUBSTITUTE(PROPER(A15),"_"," ")</f>
        <v>Model Code</v>
      </c>
      <c r="D15" s="28" t="str">
        <f t="shared" ref="D15:D17" si="2">LOWER(LEFT(B15,1))&amp;RIGHT(B15,LEN(B15) - 1)</f>
        <v>modelCode</v>
      </c>
      <c r="E15" s="28" t="str">
        <f>A.Backend!H9</f>
        <v>string</v>
      </c>
      <c r="F15" s="28" t="str">
        <f>A.Backend!G9</f>
        <v>1</v>
      </c>
      <c r="G15" s="28" t="str">
        <f t="shared" ref="G15:G17" si="3">IF(E15="string"," : string = '' ; ",IF(OR(E15="DateTime",E15="TimeSpan")," : any ;",IF(E15="int"," : number = 0 ;","")))</f>
        <v xml:space="preserve"> : string = '' ; </v>
      </c>
      <c r="H15" s="35" t="str">
        <f t="shared" ref="H15:H1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this.l('Model Code'),headerTooltip: this.l('Model Code'),field:  'modelCode', cellClass: ['text-center'], width: 120, cellRenderer: 'agCellButtonComponent',
buttonDefTwo: { text: params =&gt; (params.data?.'modelCode' == 'Y') ? 'Active' : 'Inactive',iconName: 'fa fa-circle',className: params =&gt; (params.data?.'modelCode' == 'Y') ? 'btnActive' : 'btnInActive',},}</v>
      </c>
      <c r="I15" s="35" t="str">
        <f t="shared" ref="I15:I1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[(ngModel)]='modelCode' name='modelCode'
									class='form-control' [placeholder]="l('Model Code')"
									type='text' (keyup.enter)='searchDatas()'&gt;
								&lt;/div&gt;</v>
      </c>
      <c r="J15" s="28"/>
      <c r="K15" s="35" t="str">
        <f t="shared" ref="K15:K17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title'&gt;Model Code&lt;/label&gt;
						&lt;new-checkbox [(ngModel)]='_modelCode' name='modelCode' className='col-md-10' &gt; &lt;/new-checkbox&gt;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modelCode : string = '' ; </v>
      </c>
      <c r="T15" s="28" t="str">
        <f>REPT(CHAR(9),3)&amp;"this."&amp;D15&amp;","</f>
        <v xml:space="preserve">			this.modelCode,</v>
      </c>
      <c r="U15" s="28" t="str">
        <f>IF(E15="int",REPT(CHAR(9),2)&amp;"this."&amp;D15&amp;" = 0,",REPT(CHAR(9),2)&amp;"this."&amp;D15&amp;" = '',")</f>
        <v xml:space="preserve">		this.modelCode = '',</v>
      </c>
      <c r="V15" s="28" t="str">
        <f t="shared" ref="V15" si="8">IF(AND(E15="string",F15="1"),D15,"")</f>
        <v>modelCode</v>
      </c>
    </row>
    <row r="16" spans="1:22" ht="18" customHeight="1" x14ac:dyDescent="0.25">
      <c r="A16" t="s">
        <v>360</v>
      </c>
      <c r="B16" s="28" t="str">
        <f t="shared" ref="B16" si="9">SUBSTITUTE(PROPER(A16),"_","")</f>
        <v>ProdLine</v>
      </c>
      <c r="C16" s="28" t="str">
        <f t="shared" ref="C16" si="10">SUBSTITUTE(PROPER(A16),"_"," ")</f>
        <v>Prod Line</v>
      </c>
      <c r="D16" s="28" t="str">
        <f t="shared" si="2"/>
        <v>prodLine</v>
      </c>
      <c r="E16" s="28" t="str">
        <f>A.Backend!H10</f>
        <v>string</v>
      </c>
      <c r="F16" s="28" t="str">
        <f>A.Backend!G10</f>
        <v>2</v>
      </c>
      <c r="G16" s="28" t="str">
        <f t="shared" si="3"/>
        <v xml:space="preserve"> : string = '' ; </v>
      </c>
      <c r="H16" s="35" t="str">
        <f t="shared" si="4"/>
        <v xml:space="preserve">			{headerName: this.l('Prod Line'),headerTooltip: this.l('Prod Line'),field: 'prodLine',flex: 1},</v>
      </c>
      <c r="I16" s="35" t="str">
        <f t="shared" si="5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7" si="12">REPT(CHAR(9),1)&amp;D16&amp;G16</f>
        <v xml:space="preserve">	prodLine : string = '' ; </v>
      </c>
      <c r="T16" s="28" t="str">
        <f t="shared" ref="T16:T17" si="13">REPT(CHAR(9),3)&amp;"this."&amp;D16&amp;","</f>
        <v xml:space="preserve">			this.prodLine,</v>
      </c>
      <c r="U16" s="28" t="str">
        <f t="shared" ref="U16:U17" si="14">IF(E16="int",REPT(CHAR(9),2)&amp;"this."&amp;D16&amp;" = 0,",REPT(CHAR(9),2)&amp;"this."&amp;D16&amp;" = '',")</f>
        <v xml:space="preserve">		this.prodLine = '',</v>
      </c>
      <c r="V16" s="28" t="str">
        <f t="shared" ref="V16" si="15">IF(AND(E16="string",F16="1"),D16,"")</f>
        <v/>
      </c>
    </row>
    <row r="17" spans="1:22" ht="18" customHeight="1" x14ac:dyDescent="0.25">
      <c r="A17" t="s">
        <v>361</v>
      </c>
      <c r="B17" s="28" t="str">
        <f>SUBSTITUTE(PROPER(A17),"_","")</f>
        <v>Grade</v>
      </c>
      <c r="C17" s="28" t="str">
        <f>SUBSTITUTE(PROPER(A17),"_"," ")</f>
        <v>Grade</v>
      </c>
      <c r="D17" s="28" t="str">
        <f t="shared" si="2"/>
        <v>grade</v>
      </c>
      <c r="E17" s="28" t="str">
        <f>A.Backend!H11</f>
        <v>string</v>
      </c>
      <c r="F17" s="28" t="str">
        <f>A.Backend!G11</f>
        <v>2</v>
      </c>
      <c r="G17" s="28" t="str">
        <f t="shared" si="3"/>
        <v xml:space="preserve"> : string = '' ; </v>
      </c>
      <c r="H17" s="35" t="str">
        <f t="shared" si="4"/>
        <v xml:space="preserve">			{headerName: this.l('Grade'),headerTooltip: this.l('Grade'),field: 'grade',flex: 1},</v>
      </c>
      <c r="I17" s="35" t="str">
        <f t="shared" si="5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grade : string = '' ; </v>
      </c>
      <c r="T17" s="28" t="str">
        <f t="shared" si="13"/>
        <v xml:space="preserve">			this.grade,</v>
      </c>
      <c r="U17" s="28" t="str">
        <f t="shared" si="14"/>
        <v xml:space="preserve">		this.grade = '',</v>
      </c>
      <c r="V17" s="28" t="str">
        <f>IF(AND(E17="string",F17="1"),D17,"")</f>
        <v/>
      </c>
    </row>
    <row r="18" spans="1:22" ht="15" customHeight="1" x14ac:dyDescent="0.25">
      <c r="A18" t="s">
        <v>362</v>
      </c>
      <c r="B18" s="28" t="str">
        <f t="shared" ref="B18:B20" si="16">SUBSTITUTE(PROPER(A18),"_","")</f>
        <v>LotNo</v>
      </c>
      <c r="C18" s="28" t="str">
        <f t="shared" ref="C18:C20" si="17">SUBSTITUTE(PROPER(A18),"_"," ")</f>
        <v>Lot No</v>
      </c>
      <c r="D18" s="28" t="str">
        <f t="shared" ref="D18:D20" si="18">LOWER(LEFT(B18,1))&amp;RIGHT(B18,LEN(B18) - 1)</f>
        <v>lotNo</v>
      </c>
      <c r="E18" s="28" t="str">
        <f>A.Backend!H12</f>
        <v>int?</v>
      </c>
      <c r="F18" s="28" t="str">
        <f>A.Backend!G12</f>
        <v/>
      </c>
      <c r="G18" s="28" t="str">
        <f t="shared" ref="G18:G20" si="19">IF(E18="string"," : string = '' ; ",IF(OR(E18="DateTime",E18="TimeSpan")," : any ;",IF(E18="int"," : number = 0 ;","")))</f>
        <v/>
      </c>
      <c r="H18" s="35" t="str">
        <f t="shared" ref="H18:H20" si="20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this.l('Lot No'),headerTooltip: this.l('Lot No'),field: 'lotNo',flex: 1},</v>
      </c>
      <c r="I18" s="35" t="str">
        <f t="shared" ref="I18:I20" si="21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/>
      </c>
      <c r="J18" s="28"/>
      <c r="K18" s="35" t="str">
        <f t="shared" ref="K18:K20" si="22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/>
      </c>
      <c r="L18" s="56" t="str">
        <f t="shared" ref="L18:L20" si="2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:S20" si="24">REPT(CHAR(9),1)&amp;D18&amp;G18</f>
        <v xml:space="preserve">	lotNo</v>
      </c>
      <c r="T18" s="28" t="str">
        <f t="shared" ref="T18:T20" si="25">REPT(CHAR(9),3)&amp;"this."&amp;D18&amp;","</f>
        <v xml:space="preserve">			this.lotNo,</v>
      </c>
      <c r="U18" s="28" t="str">
        <f t="shared" ref="U18:U20" si="26">IF(E18="int",REPT(CHAR(9),2)&amp;"this."&amp;D18&amp;" = 0,",REPT(CHAR(9),2)&amp;"this."&amp;D18&amp;" = '',")</f>
        <v xml:space="preserve">		this.lotNo = '',</v>
      </c>
      <c r="V18" s="28" t="str">
        <f t="shared" ref="V18:V20" si="27">IF(AND(E18="string",F18="1"),D18,"")</f>
        <v/>
      </c>
    </row>
    <row r="19" spans="1:22" ht="18" customHeight="1" x14ac:dyDescent="0.25">
      <c r="A19" t="s">
        <v>363</v>
      </c>
      <c r="B19" s="28" t="str">
        <f t="shared" si="16"/>
        <v>NoInLot</v>
      </c>
      <c r="C19" s="28" t="str">
        <f t="shared" si="17"/>
        <v>No In Lot</v>
      </c>
      <c r="D19" s="28" t="str">
        <f t="shared" si="18"/>
        <v>noInLot</v>
      </c>
      <c r="E19" s="28" t="str">
        <f>A.Backend!H13</f>
        <v>int?</v>
      </c>
      <c r="F19" s="28" t="str">
        <f>A.Backend!G13</f>
        <v/>
      </c>
      <c r="G19" s="28" t="str">
        <f t="shared" si="19"/>
        <v/>
      </c>
      <c r="H19" s="35" t="str">
        <f t="shared" si="20"/>
        <v xml:space="preserve">			{headerName: this.l('No In Lot'),headerTooltip: this.l('No In Lot'),field: 'noInLot',flex: 1},</v>
      </c>
      <c r="I19" s="35" t="str">
        <f t="shared" si="21"/>
        <v/>
      </c>
      <c r="J19" s="28"/>
      <c r="K19" s="35" t="str">
        <f t="shared" si="22"/>
        <v/>
      </c>
      <c r="L19" s="56" t="str">
        <f t="shared" si="23"/>
        <v/>
      </c>
      <c r="M19" s="28"/>
      <c r="N19" s="28"/>
      <c r="O19" s="28"/>
      <c r="P19" s="28"/>
      <c r="Q19" s="28"/>
      <c r="R19" s="28"/>
      <c r="S19" s="28" t="str">
        <f t="shared" si="24"/>
        <v xml:space="preserve">	noInLot</v>
      </c>
      <c r="T19" s="28" t="str">
        <f t="shared" si="25"/>
        <v xml:space="preserve">			this.noInLot,</v>
      </c>
      <c r="U19" s="28" t="str">
        <f t="shared" si="26"/>
        <v xml:space="preserve">		this.noInLot = '',</v>
      </c>
      <c r="V19" s="28" t="str">
        <f t="shared" si="27"/>
        <v/>
      </c>
    </row>
    <row r="20" spans="1:22" ht="15" customHeight="1" x14ac:dyDescent="0.25">
      <c r="A20" t="s">
        <v>364</v>
      </c>
      <c r="B20" s="28" t="str">
        <f t="shared" si="16"/>
        <v>ProcessDate</v>
      </c>
      <c r="C20" s="28" t="str">
        <f t="shared" si="17"/>
        <v>Process Date</v>
      </c>
      <c r="D20" s="28" t="str">
        <f t="shared" si="18"/>
        <v>processDate</v>
      </c>
      <c r="E20" s="28" t="str">
        <f>A.Backend!H14</f>
        <v>DateTime?</v>
      </c>
      <c r="F20" s="28" t="str">
        <f>A.Backend!G14</f>
        <v/>
      </c>
      <c r="G20" s="28" t="str">
        <f t="shared" si="19"/>
        <v/>
      </c>
      <c r="H20" s="35" t="str">
        <f t="shared" si="20"/>
        <v xml:space="preserve">			{headerName: this.l('Process Date'),headerTooltip: this.l('Process Date'),field: 'processDate',flex: 1},</v>
      </c>
      <c r="I20" s="35" t="str">
        <f t="shared" si="21"/>
        <v/>
      </c>
      <c r="J20" s="28"/>
      <c r="K20" s="35" t="str">
        <f t="shared" si="22"/>
        <v/>
      </c>
      <c r="L20" s="56" t="str">
        <f t="shared" si="23"/>
        <v/>
      </c>
      <c r="M20" s="28"/>
      <c r="N20" s="28"/>
      <c r="O20" s="28"/>
      <c r="P20" s="28"/>
      <c r="Q20" s="28"/>
      <c r="R20" s="28"/>
      <c r="S20" s="28" t="str">
        <f t="shared" si="24"/>
        <v xml:space="preserve">	processDate</v>
      </c>
      <c r="T20" s="28" t="str">
        <f t="shared" si="25"/>
        <v xml:space="preserve">			this.processDate,</v>
      </c>
      <c r="U20" s="28" t="str">
        <f t="shared" si="26"/>
        <v xml:space="preserve">		this.processDate = '',</v>
      </c>
      <c r="V20" s="28" t="str">
        <f t="shared" si="27"/>
        <v/>
      </c>
    </row>
    <row r="2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355</v>
      </c>
    </row>
    <row r="7" spans="1:2" x14ac:dyDescent="0.25">
      <c r="A7" t="s">
        <v>24</v>
      </c>
      <c r="B7" t="s">
        <v>350</v>
      </c>
    </row>
    <row r="8" spans="1:2" x14ac:dyDescent="0.25">
      <c r="A8" t="s">
        <v>4</v>
      </c>
      <c r="B8" t="s">
        <v>350</v>
      </c>
    </row>
    <row r="9" spans="1:2" x14ac:dyDescent="0.25">
      <c r="A9" t="s">
        <v>0</v>
      </c>
      <c r="B9" t="s">
        <v>351</v>
      </c>
    </row>
    <row r="10" spans="1:2" x14ac:dyDescent="0.25">
      <c r="A10" t="s">
        <v>25</v>
      </c>
      <c r="B10" t="s">
        <v>354</v>
      </c>
    </row>
    <row r="11" spans="1:2" x14ac:dyDescent="0.25">
      <c r="A11" t="s">
        <v>26</v>
      </c>
      <c r="B11" t="s">
        <v>354</v>
      </c>
    </row>
    <row r="12" spans="1:2" x14ac:dyDescent="0.25">
      <c r="A12" t="s">
        <v>27</v>
      </c>
      <c r="B12" t="s">
        <v>354</v>
      </c>
    </row>
    <row r="13" spans="1:2" x14ac:dyDescent="0.25">
      <c r="A13" t="s">
        <v>28</v>
      </c>
      <c r="B13" t="s">
        <v>354</v>
      </c>
    </row>
    <row r="14" spans="1:2" x14ac:dyDescent="0.25">
      <c r="A14" t="s">
        <v>29</v>
      </c>
      <c r="B14" t="s">
        <v>354</v>
      </c>
    </row>
    <row r="15" spans="1:2" x14ac:dyDescent="0.25">
      <c r="A15" t="s">
        <v>30</v>
      </c>
      <c r="B15" t="s">
        <v>354</v>
      </c>
    </row>
    <row r="16" spans="1:2" x14ac:dyDescent="0.25">
      <c r="A16" t="s">
        <v>31</v>
      </c>
      <c r="B16" t="s">
        <v>352</v>
      </c>
    </row>
    <row r="17" spans="1:2" x14ac:dyDescent="0.25">
      <c r="A17" t="s">
        <v>3</v>
      </c>
      <c r="B17" t="s">
        <v>352</v>
      </c>
    </row>
    <row r="18" spans="1:2" x14ac:dyDescent="0.25">
      <c r="A18" t="s">
        <v>33</v>
      </c>
      <c r="B18" t="s">
        <v>352</v>
      </c>
    </row>
    <row r="19" spans="1:2" x14ac:dyDescent="0.25">
      <c r="A19" t="s">
        <v>2</v>
      </c>
      <c r="B19" t="s">
        <v>352</v>
      </c>
    </row>
    <row r="20" spans="1:2" x14ac:dyDescent="0.25">
      <c r="A20" t="s">
        <v>263</v>
      </c>
      <c r="B20" t="s">
        <v>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2023-06-26T07:05:54Z</dcterms:modified>
</cp:coreProperties>
</file>
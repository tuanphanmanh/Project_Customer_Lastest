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" i="5" l="1"/>
  <c r="E42" i="5"/>
  <c r="K42" i="5" s="1"/>
  <c r="C42" i="5"/>
  <c r="B42" i="5"/>
  <c r="D42" i="5" s="1"/>
  <c r="L37" i="1"/>
  <c r="G37" i="1"/>
  <c r="E37" i="1"/>
  <c r="H37" i="1" s="1"/>
  <c r="D37" i="1"/>
  <c r="V37" i="1" s="1"/>
  <c r="T42" i="5" l="1"/>
  <c r="L42" i="5"/>
  <c r="U42" i="5"/>
  <c r="G42" i="5"/>
  <c r="S42" i="5" s="1"/>
  <c r="V42" i="5"/>
  <c r="H42" i="5"/>
  <c r="I42" i="5"/>
  <c r="I37" i="1"/>
  <c r="O37" i="1"/>
  <c r="N37" i="1"/>
  <c r="M37" i="1"/>
  <c r="W37" i="1"/>
  <c r="J37" i="1"/>
  <c r="P37" i="1"/>
  <c r="T37" i="1"/>
  <c r="C30" i="5"/>
  <c r="B30" i="5"/>
  <c r="D30" i="5" s="1"/>
  <c r="T3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L38" i="1"/>
  <c r="G38" i="1"/>
  <c r="F44" i="5" s="1"/>
  <c r="E38" i="1"/>
  <c r="H38" i="1" s="1"/>
  <c r="W38" i="1" s="1"/>
  <c r="D38" i="1"/>
  <c r="L36" i="1"/>
  <c r="G36" i="1"/>
  <c r="F43" i="5" s="1"/>
  <c r="E36" i="1"/>
  <c r="H36" i="1" s="1"/>
  <c r="E43" i="5" s="1"/>
  <c r="D36" i="1"/>
  <c r="V36" i="1" s="1"/>
  <c r="L35" i="1"/>
  <c r="G35" i="1"/>
  <c r="F41" i="5" s="1"/>
  <c r="E35" i="1"/>
  <c r="H35" i="1" s="1"/>
  <c r="O35" i="1" s="1"/>
  <c r="D35" i="1"/>
  <c r="P35" i="1" s="1"/>
  <c r="L34" i="1"/>
  <c r="G34" i="1"/>
  <c r="F40" i="5" s="1"/>
  <c r="E34" i="1"/>
  <c r="H34" i="1" s="1"/>
  <c r="E40" i="5" s="1"/>
  <c r="D34" i="1"/>
  <c r="T34" i="1" s="1"/>
  <c r="L33" i="1"/>
  <c r="G33" i="1"/>
  <c r="F39" i="5" s="1"/>
  <c r="E33" i="1"/>
  <c r="H33" i="1" s="1"/>
  <c r="E39" i="5" s="1"/>
  <c r="D33" i="1"/>
  <c r="L32" i="1"/>
  <c r="G32" i="1"/>
  <c r="F38" i="5" s="1"/>
  <c r="E32" i="1"/>
  <c r="H32" i="1" s="1"/>
  <c r="E38" i="5" s="1"/>
  <c r="D32" i="1"/>
  <c r="V32" i="1" s="1"/>
  <c r="L31" i="1"/>
  <c r="G31" i="1"/>
  <c r="F37" i="5" s="1"/>
  <c r="E31" i="1"/>
  <c r="H31" i="1" s="1"/>
  <c r="E37" i="5" s="1"/>
  <c r="D31" i="1"/>
  <c r="P31" i="1" s="1"/>
  <c r="L30" i="1"/>
  <c r="G30" i="1"/>
  <c r="F36" i="5" s="1"/>
  <c r="E30" i="1"/>
  <c r="H30" i="1" s="1"/>
  <c r="E36" i="5" s="1"/>
  <c r="D30" i="1"/>
  <c r="T30" i="1" s="1"/>
  <c r="L29" i="1"/>
  <c r="G29" i="1"/>
  <c r="F35" i="5" s="1"/>
  <c r="E29" i="1"/>
  <c r="H29" i="1" s="1"/>
  <c r="W29" i="1" s="1"/>
  <c r="D29" i="1"/>
  <c r="L28" i="1"/>
  <c r="G28" i="1"/>
  <c r="F34" i="5" s="1"/>
  <c r="E28" i="1"/>
  <c r="H28" i="1" s="1"/>
  <c r="E34" i="5" s="1"/>
  <c r="D28" i="1"/>
  <c r="V28" i="1" s="1"/>
  <c r="L27" i="1"/>
  <c r="G27" i="1"/>
  <c r="F33" i="5" s="1"/>
  <c r="E27" i="1"/>
  <c r="H27" i="1" s="1"/>
  <c r="E33" i="5" s="1"/>
  <c r="D27" i="1"/>
  <c r="P27" i="1" s="1"/>
  <c r="L26" i="1"/>
  <c r="G26" i="1"/>
  <c r="F32" i="5" s="1"/>
  <c r="E26" i="1"/>
  <c r="H26" i="1" s="1"/>
  <c r="E32" i="5" s="1"/>
  <c r="D26" i="1"/>
  <c r="T26" i="1" s="1"/>
  <c r="L25" i="1"/>
  <c r="G25" i="1"/>
  <c r="F31" i="5" s="1"/>
  <c r="E25" i="1"/>
  <c r="H25" i="1" s="1"/>
  <c r="W25" i="1" s="1"/>
  <c r="D25" i="1"/>
  <c r="L24" i="1"/>
  <c r="G24" i="1"/>
  <c r="F30" i="5" s="1"/>
  <c r="E24" i="1"/>
  <c r="H24" i="1" s="1"/>
  <c r="E30" i="5" s="1"/>
  <c r="D24" i="1"/>
  <c r="V24" i="1" s="1"/>
  <c r="E44" i="5" l="1"/>
  <c r="G44" i="5" s="1"/>
  <c r="V32" i="5"/>
  <c r="G32" i="5"/>
  <c r="K38" i="5"/>
  <c r="G38" i="5"/>
  <c r="I38" i="5"/>
  <c r="V38" i="5"/>
  <c r="G43" i="5"/>
  <c r="V43" i="5"/>
  <c r="K30" i="5"/>
  <c r="L30" i="5"/>
  <c r="I30" i="5"/>
  <c r="H30" i="5"/>
  <c r="G30" i="5"/>
  <c r="S30" i="5" s="1"/>
  <c r="V30" i="5"/>
  <c r="U30" i="5"/>
  <c r="G34" i="5"/>
  <c r="V34" i="5"/>
  <c r="K34" i="5"/>
  <c r="I34" i="5"/>
  <c r="V40" i="5"/>
  <c r="I40" i="5"/>
  <c r="K40" i="5"/>
  <c r="G40" i="5"/>
  <c r="G33" i="5"/>
  <c r="V33" i="5"/>
  <c r="K33" i="5"/>
  <c r="I33" i="5"/>
  <c r="K37" i="5"/>
  <c r="I37" i="5"/>
  <c r="G37" i="5"/>
  <c r="V37" i="5"/>
  <c r="K39" i="5"/>
  <c r="I39" i="5"/>
  <c r="G39" i="5"/>
  <c r="V39" i="5"/>
  <c r="V36" i="5"/>
  <c r="G36" i="5"/>
  <c r="E35" i="5"/>
  <c r="E41" i="5"/>
  <c r="E31" i="5"/>
  <c r="M33" i="1"/>
  <c r="T27" i="1"/>
  <c r="P26" i="1"/>
  <c r="V31" i="1"/>
  <c r="V26" i="1"/>
  <c r="O27" i="1"/>
  <c r="I27" i="1"/>
  <c r="O31" i="1"/>
  <c r="I31" i="1"/>
  <c r="I35" i="1"/>
  <c r="M38" i="1"/>
  <c r="M29" i="1"/>
  <c r="P34" i="1"/>
  <c r="T35" i="1"/>
  <c r="M25" i="1"/>
  <c r="P30" i="1"/>
  <c r="T31" i="1"/>
  <c r="V34" i="1"/>
  <c r="V35" i="1"/>
  <c r="V30" i="1"/>
  <c r="W33" i="1"/>
  <c r="V27" i="1"/>
  <c r="O30" i="1"/>
  <c r="N30" i="1"/>
  <c r="M30" i="1"/>
  <c r="W30" i="1"/>
  <c r="J30" i="1"/>
  <c r="I30" i="1"/>
  <c r="W28" i="1"/>
  <c r="J28" i="1"/>
  <c r="I28" i="1"/>
  <c r="O28" i="1"/>
  <c r="N28" i="1"/>
  <c r="M28" i="1"/>
  <c r="O26" i="1"/>
  <c r="N26" i="1"/>
  <c r="M26" i="1"/>
  <c r="W26" i="1"/>
  <c r="J26" i="1"/>
  <c r="I26" i="1"/>
  <c r="W36" i="1"/>
  <c r="J36" i="1"/>
  <c r="I36" i="1"/>
  <c r="O36" i="1"/>
  <c r="N36" i="1"/>
  <c r="M36" i="1"/>
  <c r="O34" i="1"/>
  <c r="N34" i="1"/>
  <c r="M34" i="1"/>
  <c r="W34" i="1"/>
  <c r="J34" i="1"/>
  <c r="I34" i="1"/>
  <c r="W24" i="1"/>
  <c r="J24" i="1"/>
  <c r="I24" i="1"/>
  <c r="O24" i="1"/>
  <c r="N24" i="1"/>
  <c r="M24" i="1"/>
  <c r="W32" i="1"/>
  <c r="J32" i="1"/>
  <c r="I32" i="1"/>
  <c r="O32" i="1"/>
  <c r="N32" i="1"/>
  <c r="M32" i="1"/>
  <c r="N33" i="1"/>
  <c r="N38" i="1"/>
  <c r="O25" i="1"/>
  <c r="J27" i="1"/>
  <c r="W27" i="1"/>
  <c r="O29" i="1"/>
  <c r="J31" i="1"/>
  <c r="W31" i="1"/>
  <c r="O33" i="1"/>
  <c r="J35" i="1"/>
  <c r="W35" i="1"/>
  <c r="O38" i="1"/>
  <c r="P25" i="1"/>
  <c r="P29" i="1"/>
  <c r="P33" i="1"/>
  <c r="P38" i="1"/>
  <c r="T25" i="1"/>
  <c r="M27" i="1"/>
  <c r="T29" i="1"/>
  <c r="M31" i="1"/>
  <c r="T33" i="1"/>
  <c r="M35" i="1"/>
  <c r="T38" i="1"/>
  <c r="P24" i="1"/>
  <c r="I25" i="1"/>
  <c r="V25" i="1"/>
  <c r="N27" i="1"/>
  <c r="P28" i="1"/>
  <c r="I29" i="1"/>
  <c r="V29" i="1"/>
  <c r="N31" i="1"/>
  <c r="P32" i="1"/>
  <c r="I33" i="1"/>
  <c r="V33" i="1"/>
  <c r="N35" i="1"/>
  <c r="P36" i="1"/>
  <c r="I38" i="1"/>
  <c r="V38" i="1"/>
  <c r="T24" i="1"/>
  <c r="J25" i="1"/>
  <c r="T28" i="1"/>
  <c r="J29" i="1"/>
  <c r="T32" i="1"/>
  <c r="J33" i="1"/>
  <c r="T36" i="1"/>
  <c r="J38" i="1"/>
  <c r="N25" i="1"/>
  <c r="N29" i="1"/>
  <c r="B7" i="5"/>
  <c r="B6" i="5"/>
  <c r="B2" i="5"/>
  <c r="G41" i="5" l="1"/>
  <c r="V41" i="5"/>
  <c r="K41" i="5"/>
  <c r="I41" i="5"/>
  <c r="K31" i="5"/>
  <c r="I31" i="5"/>
  <c r="G31" i="5"/>
  <c r="V31" i="5"/>
  <c r="G35" i="5"/>
  <c r="V35" i="5"/>
  <c r="B8" i="5"/>
  <c r="B3" i="5"/>
  <c r="C44" i="5"/>
  <c r="B44" i="5"/>
  <c r="D44" i="5" s="1"/>
  <c r="S44" i="5" s="1"/>
  <c r="C43" i="5"/>
  <c r="B43" i="5"/>
  <c r="D43" i="5" s="1"/>
  <c r="C41" i="5"/>
  <c r="B41" i="5"/>
  <c r="D41" i="5" s="1"/>
  <c r="T41" i="5" s="1"/>
  <c r="C40" i="5"/>
  <c r="H40" i="5" s="1"/>
  <c r="B40" i="5"/>
  <c r="D40" i="5" s="1"/>
  <c r="S40" i="5" s="1"/>
  <c r="C39" i="5"/>
  <c r="B39" i="5"/>
  <c r="D39" i="5" s="1"/>
  <c r="C38" i="5"/>
  <c r="B38" i="5"/>
  <c r="D38" i="5" s="1"/>
  <c r="C37" i="5"/>
  <c r="B37" i="5"/>
  <c r="D37" i="5" s="1"/>
  <c r="S37" i="5" s="1"/>
  <c r="C36" i="5"/>
  <c r="B36" i="5"/>
  <c r="D36" i="5" s="1"/>
  <c r="C35" i="5"/>
  <c r="K35" i="5" s="1"/>
  <c r="B35" i="5"/>
  <c r="D35" i="5" s="1"/>
  <c r="T35" i="5" s="1"/>
  <c r="C34" i="5"/>
  <c r="B34" i="5"/>
  <c r="D34" i="5" s="1"/>
  <c r="C33" i="5"/>
  <c r="B33" i="5"/>
  <c r="D33" i="5" s="1"/>
  <c r="S33" i="5" s="1"/>
  <c r="L44" i="5"/>
  <c r="L23" i="1"/>
  <c r="G23" i="1"/>
  <c r="F29" i="5" s="1"/>
  <c r="E23" i="1"/>
  <c r="H23" i="1" s="1"/>
  <c r="E29" i="5" s="1"/>
  <c r="D23" i="1"/>
  <c r="V23" i="1" s="1"/>
  <c r="G22" i="1"/>
  <c r="F28" i="5" s="1"/>
  <c r="E22" i="1"/>
  <c r="H22" i="1" s="1"/>
  <c r="E28" i="5" s="1"/>
  <c r="D22" i="1"/>
  <c r="T22" i="1" s="1"/>
  <c r="L21" i="1"/>
  <c r="G21" i="1"/>
  <c r="F27" i="5" s="1"/>
  <c r="E21" i="1"/>
  <c r="H21" i="1" s="1"/>
  <c r="E27" i="5" s="1"/>
  <c r="D21" i="1"/>
  <c r="V21" i="1" s="1"/>
  <c r="L20" i="1"/>
  <c r="G20" i="1"/>
  <c r="F26" i="5" s="1"/>
  <c r="E20" i="1"/>
  <c r="H20" i="1" s="1"/>
  <c r="D20" i="1"/>
  <c r="T20" i="1" s="1"/>
  <c r="L19" i="1"/>
  <c r="G19" i="1"/>
  <c r="F25" i="5" s="1"/>
  <c r="E19" i="1"/>
  <c r="H19" i="1" s="1"/>
  <c r="E25" i="5" s="1"/>
  <c r="D19" i="1"/>
  <c r="V19" i="1" s="1"/>
  <c r="G18" i="1"/>
  <c r="F24" i="5" s="1"/>
  <c r="E18" i="1"/>
  <c r="H18" i="1" s="1"/>
  <c r="E24" i="5" s="1"/>
  <c r="D18" i="1"/>
  <c r="T18" i="1" s="1"/>
  <c r="L17" i="1"/>
  <c r="G17" i="1"/>
  <c r="F23" i="5" s="1"/>
  <c r="E17" i="1"/>
  <c r="H17" i="1" s="1"/>
  <c r="E23" i="5" s="1"/>
  <c r="D17" i="1"/>
  <c r="V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H41" i="5" l="1"/>
  <c r="H35" i="5"/>
  <c r="I35" i="5"/>
  <c r="H33" i="5"/>
  <c r="H37" i="5"/>
  <c r="K36" i="5"/>
  <c r="H36" i="5"/>
  <c r="T38" i="5"/>
  <c r="U38" i="5"/>
  <c r="T43" i="5"/>
  <c r="I43" i="5"/>
  <c r="U43" i="5"/>
  <c r="U41" i="5"/>
  <c r="S43" i="5"/>
  <c r="H34" i="5"/>
  <c r="H38" i="5"/>
  <c r="H43" i="5"/>
  <c r="K43" i="5"/>
  <c r="T33" i="5"/>
  <c r="U33" i="5"/>
  <c r="T34" i="5"/>
  <c r="U34" i="5"/>
  <c r="T44" i="5"/>
  <c r="V44" i="5"/>
  <c r="U44" i="5"/>
  <c r="U35" i="5"/>
  <c r="S41" i="5"/>
  <c r="H39" i="5"/>
  <c r="K44" i="5"/>
  <c r="H44" i="5"/>
  <c r="S34" i="5"/>
  <c r="S38" i="5"/>
  <c r="T37" i="5"/>
  <c r="U37" i="5"/>
  <c r="T39" i="5"/>
  <c r="U39" i="5"/>
  <c r="S39" i="5"/>
  <c r="T36" i="5"/>
  <c r="I36" i="5"/>
  <c r="U36" i="5"/>
  <c r="T40" i="5"/>
  <c r="U40" i="5"/>
  <c r="S35" i="5"/>
  <c r="S36" i="5"/>
  <c r="I44" i="5"/>
  <c r="L24" i="5"/>
  <c r="V24" i="5"/>
  <c r="U24" i="5"/>
  <c r="I24" i="5"/>
  <c r="K24" i="5"/>
  <c r="H24" i="5"/>
  <c r="G24" i="5"/>
  <c r="S24" i="5" s="1"/>
  <c r="G22" i="5"/>
  <c r="S22" i="5" s="1"/>
  <c r="L22" i="5"/>
  <c r="K22" i="5"/>
  <c r="H22" i="5"/>
  <c r="I22" i="5"/>
  <c r="V22" i="5"/>
  <c r="U22" i="5"/>
  <c r="K20" i="5"/>
  <c r="I20" i="5"/>
  <c r="H20" i="5"/>
  <c r="U20" i="5"/>
  <c r="G20" i="5"/>
  <c r="S20" i="5" s="1"/>
  <c r="L20" i="5"/>
  <c r="V20" i="5"/>
  <c r="I20" i="1"/>
  <c r="E26" i="5"/>
  <c r="K28" i="5"/>
  <c r="I28" i="5"/>
  <c r="H28" i="5"/>
  <c r="U28" i="5"/>
  <c r="G28" i="5"/>
  <c r="S28" i="5" s="1"/>
  <c r="V28" i="5"/>
  <c r="L28" i="5"/>
  <c r="K29" i="5"/>
  <c r="I29" i="5"/>
  <c r="V29" i="5"/>
  <c r="L29" i="5"/>
  <c r="H29" i="5"/>
  <c r="G29" i="5"/>
  <c r="S29" i="5" s="1"/>
  <c r="U29" i="5"/>
  <c r="G25" i="5"/>
  <c r="S25" i="5" s="1"/>
  <c r="V25" i="5"/>
  <c r="K25" i="5"/>
  <c r="U25" i="5"/>
  <c r="I25" i="5"/>
  <c r="L25" i="5"/>
  <c r="H25" i="5"/>
  <c r="I27" i="5"/>
  <c r="H27" i="5"/>
  <c r="G27" i="5"/>
  <c r="S27" i="5" s="1"/>
  <c r="V27" i="5"/>
  <c r="U27" i="5"/>
  <c r="K27" i="5"/>
  <c r="L27" i="5"/>
  <c r="L21" i="5"/>
  <c r="K21" i="5"/>
  <c r="V21" i="5"/>
  <c r="I21" i="5"/>
  <c r="H21" i="5"/>
  <c r="G21" i="5"/>
  <c r="S21" i="5" s="1"/>
  <c r="U21" i="5"/>
  <c r="U23" i="5"/>
  <c r="H23" i="5"/>
  <c r="K23" i="5"/>
  <c r="I23" i="5"/>
  <c r="G23" i="5"/>
  <c r="S23" i="5" s="1"/>
  <c r="V23" i="5"/>
  <c r="L23" i="5"/>
  <c r="L35" i="5"/>
  <c r="L37" i="5"/>
  <c r="L41" i="5"/>
  <c r="L33" i="5"/>
  <c r="L38" i="5"/>
  <c r="L40" i="5"/>
  <c r="L43" i="5"/>
  <c r="L34" i="5"/>
  <c r="L36" i="5"/>
  <c r="M18" i="1"/>
  <c r="I18" i="1"/>
  <c r="M22" i="1"/>
  <c r="I22" i="1"/>
  <c r="P15" i="1"/>
  <c r="P21" i="1"/>
  <c r="P23" i="1"/>
  <c r="W15" i="1"/>
  <c r="P19" i="1"/>
  <c r="M20" i="1"/>
  <c r="W19" i="1"/>
  <c r="O19" i="1"/>
  <c r="J19" i="1"/>
  <c r="N19" i="1"/>
  <c r="I19" i="1"/>
  <c r="M19" i="1"/>
  <c r="W23" i="1"/>
  <c r="O23" i="1"/>
  <c r="J23" i="1"/>
  <c r="N23" i="1"/>
  <c r="I23" i="1"/>
  <c r="M23" i="1"/>
  <c r="W21" i="1"/>
  <c r="O21" i="1"/>
  <c r="J21" i="1"/>
  <c r="N21" i="1"/>
  <c r="I21" i="1"/>
  <c r="M21" i="1"/>
  <c r="N18" i="1"/>
  <c r="V18" i="1"/>
  <c r="N20" i="1"/>
  <c r="V20" i="1"/>
  <c r="N22" i="1"/>
  <c r="V22" i="1"/>
  <c r="J18" i="1"/>
  <c r="O18" i="1"/>
  <c r="W18" i="1"/>
  <c r="T19" i="1"/>
  <c r="J20" i="1"/>
  <c r="O20" i="1"/>
  <c r="W20" i="1"/>
  <c r="T21" i="1"/>
  <c r="J22" i="1"/>
  <c r="O22" i="1"/>
  <c r="W22" i="1"/>
  <c r="T23" i="1"/>
  <c r="P18" i="1"/>
  <c r="P20" i="1"/>
  <c r="P22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31" i="5"/>
  <c r="H31" i="5" s="1"/>
  <c r="B31" i="5"/>
  <c r="D31" i="5" s="1"/>
  <c r="C17" i="5"/>
  <c r="B17" i="5"/>
  <c r="D17" i="5" s="1"/>
  <c r="T17" i="5" s="1"/>
  <c r="C16" i="5"/>
  <c r="B16" i="5"/>
  <c r="D16" i="5" s="1"/>
  <c r="T16" i="5" s="1"/>
  <c r="T31" i="5" l="1"/>
  <c r="U31" i="5"/>
  <c r="S31" i="5"/>
  <c r="L26" i="5"/>
  <c r="H26" i="5"/>
  <c r="G26" i="5"/>
  <c r="S26" i="5" s="1"/>
  <c r="V26" i="5"/>
  <c r="U26" i="5"/>
  <c r="K26" i="5"/>
  <c r="I26" i="5"/>
  <c r="L39" i="5"/>
  <c r="B6" i="1"/>
  <c r="G13" i="1"/>
  <c r="F19" i="5" s="1"/>
  <c r="E13" i="1"/>
  <c r="H13" i="1" s="1"/>
  <c r="E19" i="5" s="1"/>
  <c r="D13" i="1"/>
  <c r="V13" i="1" s="1"/>
  <c r="I19" i="5" l="1"/>
  <c r="H19" i="5"/>
  <c r="G19" i="5"/>
  <c r="S19" i="5" s="1"/>
  <c r="V19" i="5"/>
  <c r="U19" i="5"/>
  <c r="K19" i="5"/>
  <c r="L19" i="5"/>
  <c r="W13" i="1"/>
  <c r="N13" i="1"/>
  <c r="I13" i="1"/>
  <c r="M13" i="1"/>
  <c r="O13" i="1"/>
  <c r="J13" i="1"/>
  <c r="L13" i="1"/>
  <c r="P13" i="1"/>
  <c r="T13" i="1"/>
  <c r="C32" i="5"/>
  <c r="B32" i="5"/>
  <c r="D32" i="5" s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T32" i="5" l="1"/>
  <c r="U32" i="5"/>
  <c r="I32" i="5"/>
  <c r="S32" i="5"/>
  <c r="K32" i="5"/>
  <c r="H32" i="5"/>
  <c r="H18" i="5"/>
  <c r="G18" i="5"/>
  <c r="S18" i="5" s="1"/>
  <c r="V18" i="5"/>
  <c r="U18" i="5"/>
  <c r="K18" i="5"/>
  <c r="I18" i="5"/>
  <c r="L18" i="5"/>
  <c r="G17" i="5"/>
  <c r="S17" i="5" s="1"/>
  <c r="V17" i="5"/>
  <c r="U17" i="5"/>
  <c r="K17" i="5"/>
  <c r="I17" i="5"/>
  <c r="H17" i="5"/>
  <c r="L31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I16" i="5"/>
  <c r="K16" i="5"/>
  <c r="H16" i="5"/>
  <c r="G16" i="5"/>
  <c r="S16" i="5" s="1"/>
  <c r="L16" i="5"/>
  <c r="L32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40" i="1"/>
  <c r="K12" i="5" l="1"/>
  <c r="H12" i="5"/>
  <c r="V12" i="5"/>
  <c r="T12" i="5"/>
  <c r="U12" i="5"/>
  <c r="I12" i="5"/>
  <c r="L12" i="5"/>
  <c r="S12" i="5"/>
  <c r="R3" i="1" l="1"/>
  <c r="D1" i="1"/>
  <c r="F6" i="1"/>
  <c r="T40" i="1"/>
  <c r="T13" i="5"/>
  <c r="T7" i="1" l="1"/>
  <c r="W40" i="1"/>
  <c r="G6" i="1" l="1"/>
  <c r="H13" i="5"/>
  <c r="K13" i="5"/>
  <c r="L13" i="5"/>
  <c r="I13" i="5"/>
  <c r="S13" i="5"/>
  <c r="U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22" i="1"/>
  <c r="L14" i="1"/>
  <c r="L9" i="1"/>
  <c r="L10" i="1"/>
  <c r="C7" i="1"/>
  <c r="P40" i="1"/>
  <c r="I40" i="1"/>
  <c r="J40" i="1"/>
  <c r="O40" i="1"/>
  <c r="N40" i="1"/>
  <c r="Q7" i="1" l="1"/>
  <c r="M68" i="3" s="1"/>
  <c r="L7" i="1"/>
  <c r="G68" i="3" s="1"/>
  <c r="K68" i="3"/>
  <c r="J68" i="3"/>
  <c r="M40" i="1"/>
  <c r="K40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<sst xmlns="http://schemas.openxmlformats.org/spreadsheetml/2006/main" count="623" uniqueCount="461">
  <si>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</si>
  <si>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</si>
  <si>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</si>
  <si>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</si>
  <si>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</si>
  <si>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</si>
  <si>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</si>
  <si>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</si>
  <si>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</si>
  <si>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</si>
  <si>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</si>
  <si>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</si>
  <si>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</si>
  <si>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</si>
  <si>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</si>
  <si>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</si>
  <si>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</si>
  <si>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</si>
  <si>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</si>
  <si>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</si>
  <si>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</si>
  <si>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</si>
  <si>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</si>
  <si>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</si>
  <si>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</si>
  <si>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</si>
  <si>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</si>
  <si>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</si>
  <si>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</si>
  <si>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</si>
  <si>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</si>
  <si>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</si>
  <si>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</si>
  <si>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</si>
  <si>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</si>
  <si>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</si>
  <si>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</si>
  <si>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</si>
  <si>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</si>
  <si>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</si>
  <si>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</si>
  <si>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</si>
  <si>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</si>
  <si>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</si>
  <si>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</si>
  <si>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</si>
  <si>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</si>
  <si>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</si>
  <si>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</si>
  <si>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</si>
  <si>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</si>
  <si>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</si>
  <si>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</si>
  <si>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</si>
  <si>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</si>
  <si>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</si>
  <si>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</si>
  <si>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</si>
  <si>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</si>
  <si>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</si>
  <si>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</si>
  <si>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</si>
  <si>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</si>
  <si>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</si>
  <si>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</si>
  <si>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</si>
  <si>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</si>
  <si>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</si>
  <si>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</si>
  <si>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</si>
  <si>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</si>
  <si>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</si>
  <si>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</si>
  <si>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</si>
  <si>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</si>
  <si>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</si>
  <si>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</si>
  <si>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</si>
  <si>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</si>
  <si>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</si>
  <si>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</si>
  <si>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</si>
  <si>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</si>
  <si>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</si>
  <si>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</si>
  <si>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</si>
  <si>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</si>
  <si>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</si>
  <si>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</si>
  <si>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</si>
  <si>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</si>
  <si>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</si>
  <si>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</si>
  <si>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</si>
  <si>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</si>
  <si>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</si>
  <si>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</si>
  <si>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</si>
  <si>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</si>
  <si>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</si>
  <si>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</si>
  <si>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</si>
  <si>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</si>
  <si>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</si>
  <si>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</si>
  <si>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</si>
  <si>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</si>
  <si>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</si>
  <si>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</si>
  <si>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</si>
  <si>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</si>
  <si>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</si>
  <si>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</si>
  <si>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</si>
  <si>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</si>
  <si>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</si>
  <si>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</si>
  <si>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</si>
  <si>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</si>
  <si>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</si>
  <si>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</si>
  <si>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</si>
  <si>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</si>
  <si>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</si>
  <si>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</si>
  <si>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</si>
  <si>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</si>
  <si>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</si>
  <si>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</si>
  <si>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</si>
  <si>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</si>
  <si>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</si>
  <si>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</si>
  <si>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</si>
  <si>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</si>
  <si>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</si>
  <si>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</si>
  <si>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</si>
  <si>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</si>
  <si>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</si>
  <si>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</si>
  <si>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</si>
  <si>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</si>
  <si>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</si>
  <si>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</si>
  <si>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</si>
  <si>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</si>
  <si>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</si>
  <si>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</si>
  <si>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</si>
  <si>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</si>
  <si>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</si>
  <si>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</si>
  <si>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</si>
  <si>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</si>
  <si>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</si>
  <si>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</si>
  <si>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</si>
  <si>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</si>
  <si>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</si>
  <si>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</si>
  <si>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</si>
  <si>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</si>
  <si>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</si>
  <si>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</si>
  <si>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</si>
  <si>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</si>
  <si>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</si>
  <si>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</si>
  <si>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</si>
  <si>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</si>
  <si>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</si>
  <si>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</si>
  <si>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</si>
  <si>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</si>
  <si>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</si>
  <si>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</si>
  <si>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</si>
  <si>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</si>
  <si>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</si>
  <si>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</si>
  <si>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</si>
  <si>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</si>
  <si>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</si>
  <si>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</si>
  <si>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</si>
  <si>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</si>
  <si>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</si>
  <si>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</si>
  <si>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</si>
  <si>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</si>
  <si>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</si>
  <si>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</si>
  <si>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</si>
  <si>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</si>
  <si>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</si>
  <si>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</si>
  <si>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</si>
  <si>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</si>
  <si>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</si>
  <si>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</si>
  <si>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</si>
  <si>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</si>
  <si>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</si>
  <si>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</si>
  <si>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</si>
  <si>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</si>
  <si>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</si>
  <si>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</si>
  <si>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</si>
  <si>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</si>
  <si>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</si>
  <si>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</si>
  <si>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</si>
  <si>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</si>
  <si>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</si>
  <si>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</si>
  <si>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</si>
  <si>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</si>
  <si>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</si>
  <si>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</si>
  <si>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</si>
  <si>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</si>
  <si>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</si>
  <si>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</si>
  <si>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</si>
  <si>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</si>
  <si>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</si>
  <si>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</si>
  <si>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</si>
  <si>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</si>
  <si>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</si>
  <si>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</si>
  <si>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</si>
  <si>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</si>
  <si>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</si>
  <si>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</si>
  <si>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</si>
  <si>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</si>
  <si>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</si>
  <si>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</si>
  <si>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</si>
  <si>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</si>
  <si>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</si>
  <si>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</si>
  <si>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</si>
  <si>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</si>
  <si>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</si>
  <si>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</si>
  <si>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</si>
  <si>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</si>
  <si>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</si>
  <si>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</si>
  <si>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</si>
  <si>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</si>
  <si>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</si>
  <si>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</si>
  <si>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</si>
  <si>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</si>
  <si>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</si>
  <si>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</si>
  <si>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</si>
  <si>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</si>
  <si>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</si>
  <si>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</si>
  <si>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</si>
  <si>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</si>
  <si>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</si>
  <si>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</si>
  <si>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</si>
  <si>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</si>
  <si>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</si>
  <si>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</si>
  <si>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</si>
  <si>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</si>
  <si>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</si>
  <si>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</si>
  <si>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</si>
  <si>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</si>
  <si>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</si>
  <si>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</si>
  <si>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</si>
  <si>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</si>
  <si>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</si>
  <si>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</si>
  <si>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</si>
  <si>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</si>
  <si>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</si>
  <si>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</si>
  <si>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</si>
  <si>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</si>
  <si>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</si>
  <si>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</si>
  <si>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</si>
  <si>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</si>
  <si>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</si>
  <si>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</si>
  <si>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</si>
  <si>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</si>
  <si>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</si>
  <si>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</si>
  <si>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</si>
  <si>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</si>
  <si>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</si>
  <si>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</si>
  <si>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</si>
  <si>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</si>
  <si>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</si>
  <si>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</si>
  <si>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</si>
  <si>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</si>
  <si>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</si>
  <si>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</si>
  <si>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</si>
  <si>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</si>
  <si>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</si>
  <si>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</si>
  <si>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</si>
  <si>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</si>
  <si>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</si>
  <si>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</si>
  <si>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</si>
  <si>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</si>
  <si>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</si>
  <si>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</si>
  <si>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</si>
  <si>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</si>
  <si>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</si>
  <si>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</si>
  <si>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</si>
  <si>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</si>
  <si>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</si>
  <si>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</si>
  <si>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</si>
  <si>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</si>
  <si>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</si>
  <si>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</si>
  <si>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</si>
  <si>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</si>
  <si>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</si>
  <si>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</si>
  <si>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</si>
  <si>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</si>
  <si>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</si>
  <si>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</si>
  <si>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</si>
  <si>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</si>
  <si>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</si>
  <si>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</si>
  <si>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</si>
  <si>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STATUS</t>
  </si>
  <si>
    <t>int?</t>
  </si>
  <si>
    <t>long?</t>
  </si>
  <si>
    <t>DateTime?</t>
  </si>
  <si>
    <t>TimeSpan?</t>
  </si>
  <si>
    <t>decimal?</t>
  </si>
  <si>
    <t>byte?</t>
  </si>
  <si>
    <t>VARCHAR(12)</t>
  </si>
  <si>
    <t>VARCHAR(10)</t>
  </si>
  <si>
    <t>VARCHAR(4)</t>
  </si>
  <si>
    <t>VARCHAR(30)</t>
  </si>
  <si>
    <t>DECIMAL(14,5)</t>
  </si>
  <si>
    <t>DECIMAL(18,5)</t>
  </si>
  <si>
    <t>DATE</t>
  </si>
  <si>
    <t>VARCHAR(2)</t>
  </si>
  <si>
    <t>VARCHAR(20)</t>
  </si>
  <si>
    <t>DECLARE_TYPE</t>
  </si>
  <si>
    <t>VARCHAR(1)</t>
  </si>
  <si>
    <t>CUSTOMS_DECLARE_NO</t>
  </si>
  <si>
    <t>BILLOFLADING_NO</t>
  </si>
  <si>
    <t>TOTALCIF_CEPT</t>
  </si>
  <si>
    <t>TOTALCIF_NONCEPT</t>
  </si>
  <si>
    <t>TOTALTAX_CEPT</t>
  </si>
  <si>
    <t>TOTALTAX_NONCEPT</t>
  </si>
  <si>
    <t>TOTALVAT_CEPT</t>
  </si>
  <si>
    <t>TOTALVAT_NONCEPT</t>
  </si>
  <si>
    <t>EXCHANGE_RATE</t>
  </si>
  <si>
    <t>DECLARE_DATE</t>
  </si>
  <si>
    <t>ACTUAL_TAX</t>
  </si>
  <si>
    <t>ACTUAL_VAT</t>
  </si>
  <si>
    <t>CUSTOMS_PORT</t>
  </si>
  <si>
    <t>TAX_NOTE</t>
  </si>
  <si>
    <t>VARCHAR(500)</t>
  </si>
  <si>
    <t>INPUT_DATE</t>
  </si>
  <si>
    <t>ACTUAL_PAYMENT_DATE</t>
  </si>
  <si>
    <t>ORDERTYPE_CODE</t>
  </si>
  <si>
    <t>COMPLETE_TAX</t>
  </si>
  <si>
    <t>DECIMAL(18,0)</t>
  </si>
  <si>
    <t>COMPLETE_VAT</t>
  </si>
  <si>
    <t>FORWARDER</t>
  </si>
  <si>
    <t>BUSINESS_TYPE</t>
  </si>
  <si>
    <t>NO_PER_GROUP</t>
  </si>
  <si>
    <t>NUM_OF_GROUP</t>
  </si>
  <si>
    <t>ISVNACCS</t>
  </si>
  <si>
    <t>STATUS_CO</t>
  </si>
  <si>
    <t>IS_FROM_ECUS</t>
  </si>
  <si>
    <t>InvCkdCustomsDeclare</t>
  </si>
  <si>
    <t>CustomsDeclare</t>
  </si>
  <si>
    <t>Customs Declare</t>
  </si>
  <si>
    <t>CREATED_DATE</t>
  </si>
  <si>
    <t>DateTime2</t>
  </si>
  <si>
    <t>Search</t>
  </si>
  <si>
    <t>Field</t>
  </si>
  <si>
    <t>Type</t>
  </si>
  <si>
    <t>Text Box</t>
  </si>
  <si>
    <t>Date Picker</t>
  </si>
  <si>
    <t>Part No</t>
  </si>
  <si>
    <t>Part Name</t>
  </si>
  <si>
    <t>STT</t>
  </si>
  <si>
    <t>Customer Declare No</t>
  </si>
  <si>
    <t>Customer Declare Date</t>
  </si>
  <si>
    <t>Bill No</t>
  </si>
  <si>
    <t>Invoice No</t>
  </si>
  <si>
    <t>Customer Declare List</t>
  </si>
  <si>
    <t>INV_CKD_CUSTOMS_DECLARE_SEARCH</t>
  </si>
  <si>
    <t>Customs Declare No</t>
  </si>
  <si>
    <t>DeclareDate</t>
  </si>
  <si>
    <t>Bill Of Lading No</t>
  </si>
  <si>
    <t>Bill Date</t>
  </si>
  <si>
    <t>TAX (VND)</t>
  </si>
  <si>
    <t>VAT (VND)</t>
  </si>
  <si>
    <t>From Ecus</t>
  </si>
  <si>
    <t>Status</t>
  </si>
  <si>
    <t>Customs Port</t>
  </si>
  <si>
    <t>Business Type</t>
  </si>
  <si>
    <t>Input Date</t>
  </si>
  <si>
    <t>Exchange Rate</t>
  </si>
  <si>
    <t>Forwarder</t>
  </si>
  <si>
    <t>Import Actual Tax</t>
  </si>
  <si>
    <t>Import Actual Vat</t>
  </si>
  <si>
    <t>Sum</t>
  </si>
  <si>
    <t>Cus. Refund TAX</t>
  </si>
  <si>
    <t>Cus. Refund VAT</t>
  </si>
  <si>
    <t>Tax Note</t>
  </si>
  <si>
    <t>TAX</t>
  </si>
  <si>
    <t>VAT</t>
  </si>
  <si>
    <t>IsFromEcus</t>
  </si>
  <si>
    <t>Description</t>
  </si>
  <si>
    <t>ActualTax</t>
  </si>
  <si>
    <t>ActualVat</t>
  </si>
  <si>
    <t>CompleteTax</t>
  </si>
  <si>
    <t>CompleteVAT</t>
  </si>
  <si>
    <t>Pre-Customer List</t>
  </si>
  <si>
    <t>INV_CKD_PRE_CUSTOMS_SEARCH_BY_BILL_NO</t>
  </si>
  <si>
    <t>Pre Customs No</t>
  </si>
  <si>
    <t>PreNo/Group</t>
  </si>
  <si>
    <t>Invoice List</t>
  </si>
  <si>
    <t>Tax (USD)</t>
  </si>
  <si>
    <t>VAT (USD)</t>
  </si>
  <si>
    <t>PreNoGroup</t>
  </si>
  <si>
    <t>INV_CKD_INVOICE_DETAILS_GETBYPRECUSID</t>
  </si>
  <si>
    <t>Fix Lot</t>
  </si>
  <si>
    <t>Supplier No</t>
  </si>
  <si>
    <t>Usage Quantity</t>
  </si>
  <si>
    <t>Quantity</t>
  </si>
  <si>
    <t>Fob</t>
  </si>
  <si>
    <t>Freight</t>
  </si>
  <si>
    <t>Insurance</t>
  </si>
  <si>
    <t>Cept Type</t>
  </si>
  <si>
    <t>Tax Rate</t>
  </si>
  <si>
    <t>VAT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</si>
</sst>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91"/>
  <sheetViews>
    <sheetView tabSelected="1" topLeftCell="A73" zoomScaleNormal="100" workbookViewId="0">
      <selection activeCell="D82" sqref="D82"/>
    </sheetView>
  </sheetViews>
  <sheetFormatPr defaultColWidth="8.77734375" defaultRowHeight="14.4" x14ac:dyDescent="0.3"/>
  <cols>
    <col min="1" max="1" width="3.44140625" customWidth="1"/>
    <col min="2" max="2" width="18.44140625" customWidth="1"/>
    <col min="3" max="5" width="26.21875" customWidth="1"/>
    <col min="6" max="6" width="29.44140625" customWidth="1"/>
    <col min="7" max="10" width="26.21875" customWidth="1"/>
    <col min="11" max="11" width="26.44140625" customWidth="1"/>
    <col min="12" max="12" width="27.7773437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346</v>
      </c>
      <c r="F18" s="1" t="s">
        <v>348</v>
      </c>
      <c r="G18" t="s">
        <v>347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320</v>
      </c>
      <c r="F42" s="1" t="s">
        <v>333</v>
      </c>
      <c r="G42" t="s">
        <v>333</v>
      </c>
    </row>
    <row r="43" spans="1:8" x14ac:dyDescent="0.3">
      <c r="A43" s="1"/>
      <c r="D43" t="s">
        <v>321</v>
      </c>
      <c r="F43" s="1" t="s">
        <v>327</v>
      </c>
      <c r="G43" t="s">
        <v>334</v>
      </c>
    </row>
    <row r="44" spans="1:8" x14ac:dyDescent="0.3">
      <c r="A44" s="1"/>
      <c r="D44" t="s">
        <v>323</v>
      </c>
      <c r="F44" s="1" t="s">
        <v>328</v>
      </c>
      <c r="G44" t="s">
        <v>335</v>
      </c>
    </row>
    <row r="45" spans="1:8" x14ac:dyDescent="0.3">
      <c r="A45" s="1"/>
      <c r="D45" t="s">
        <v>322</v>
      </c>
      <c r="F45" s="1" t="s">
        <v>329</v>
      </c>
      <c r="G45" t="s">
        <v>336</v>
      </c>
    </row>
    <row r="46" spans="1:8" x14ac:dyDescent="0.3">
      <c r="A46" s="1"/>
      <c r="D46" t="s">
        <v>325</v>
      </c>
      <c r="F46" s="1" t="s">
        <v>330</v>
      </c>
      <c r="G46" t="s">
        <v>337</v>
      </c>
    </row>
    <row r="47" spans="1:8" x14ac:dyDescent="0.3">
      <c r="A47" s="1"/>
      <c r="D47" t="s">
        <v>343</v>
      </c>
      <c r="F47" s="1" t="s">
        <v>344</v>
      </c>
      <c r="G47" t="s">
        <v>345</v>
      </c>
    </row>
    <row r="48" spans="1:8" x14ac:dyDescent="0.3">
      <c r="A48" s="1"/>
      <c r="D48" t="s">
        <v>326</v>
      </c>
      <c r="F48" s="1" t="s">
        <v>331</v>
      </c>
      <c r="G48" t="s">
        <v>338</v>
      </c>
    </row>
    <row r="49" spans="1:7" x14ac:dyDescent="0.3">
      <c r="A49" s="1"/>
      <c r="D49" t="s">
        <v>324</v>
      </c>
      <c r="F49" s="1" t="s">
        <v>332</v>
      </c>
      <c r="G49" t="s">
        <v>339</v>
      </c>
    </row>
    <row r="50" spans="1:7" x14ac:dyDescent="0.3">
      <c r="A50" s="1"/>
      <c r="D50" t="s">
        <v>340</v>
      </c>
      <c r="F50" s="1" t="s">
        <v>341</v>
      </c>
      <c r="G50" t="s">
        <v>342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e">
        <f ca="1">A.Backend!J7</f>
        <v>#NAME?</v>
      </c>
      <c r="D68" s="48" t="str">
        <f>A.Backend!O7</f>
        <v xml:space="preserve">		public const string Pages_Inventory_CKD_CustomsDeclare = "Pages.Inventory.CKD.CustomsDeclare";
		public const string Pages_Inventory_CKD_CustomsDeclare_CreateEdit = "Pages.Inventory.CKD.CustomsDeclare.CreateEdit";
		public const string Pages_Inventory_CKD_CustomsDeclare_Delete = "Pages.Inventory.CKD.CustomsDeclare.Delete";
</v>
      </c>
      <c r="E68" s="48" t="str">
        <f>A.Backend!N7</f>
        <v xml:space="preserve">		var perInvCkdCustomsDeclare = PARENTS.CreateChildPermission(AppPermissions.Pages_Inventory_CKD_CustomsDeclare, L( "InventoryCKDCustomsDeclare"), multiTenancySides: MultiTenancySides.Tenant);
		perInvCkdCustomsDeclare.CreateChildPermission(AppPermissions.Pages_Inventory_CKD_CustomsDeclare_CreateEdit, L( "InventoryCKDCustomsDeclareCreateEdit"), multiTenancySides: MultiTenancySides.Tenant);
		perInvCkdCustomsDeclare.CreateChildPermission(AppPermissions.Pages_Inventory_CKD_CustomsDeclare_Delete, L( "InventoryCKDCustomsDeclareDelete"), multiTenancySides: MultiTenancySides.Tenant);</v>
      </c>
      <c r="F68" s="48" t="str">
        <f>A.Backend!K7</f>
        <v>public virtual DbSet&lt;InvCkdCustomsDeclare&gt; InvCkdCustomsDeclares { get; set; }</v>
      </c>
      <c r="G68" s="48" t="e">
        <f ca="1">A.Backend!L7</f>
        <v>#NAME?</v>
      </c>
      <c r="H68" s="48" t="e">
        <f ca="1">A.Backend!M7</f>
        <v>#NAME?</v>
      </c>
      <c r="I68" s="48" t="e">
        <f ca="1">A.Backend!R7</f>
        <v>#NAME?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IInvCkdCustomsDeclareAppService : IApplicationService
	{
		Task&lt;PagedResultDto&lt;InvCkdCustomsDeclareDto&gt;&gt; GetAll(GetInvCkdCustomsDeclareInput input);
		Task CreateOrEdit(CreateOrEditInvCkdCustomsDeclareDto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IInvCkdCustomsDeclareExcelExporter : IApplicationService
	{
		FileDto ExportToFile(List&lt;InvCkdCustomsDeclareDto&gt; invckdcustomsdeclare);
	}
}
</v>
      </c>
      <c r="L68" s="48" t="e">
        <f ca="1">A.Backend!T7</f>
        <v>#NAME?</v>
      </c>
      <c r="M68" s="55" t="e">
        <f ca="1">A.Backend!Q7</f>
        <v>#NAME?</v>
      </c>
      <c r="N68" s="58" t="str">
        <f>A.Backend!U7</f>
        <v xml:space="preserve">  configuration.CreateMap&lt;InvCkdCustomsDeclareDto, InvCkdCustomsDeclare&gt;();
  configuration.CreateMap&lt;InvCkdCustomsDeclare, InvCkdCustomsDeclareDto&gt;();
  configuration.CreateMap&lt;CreateOrEditInvCkdCustomsDeclareDto, InvCkdCustomsDeclare&gt;();</v>
      </c>
    </row>
    <row r="69" spans="2:14" s="15" customFormat="1" ht="21.75" customHeight="1" x14ac:dyDescent="0.3">
      <c r="C69" s="60"/>
      <c r="H69" s="61"/>
      <c r="I69" s="61"/>
      <c r="M69" s="61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customsdeclare</v>
      </c>
      <c r="C73" s="66" t="str">
        <f>"create folder " &amp;B73</f>
        <v>create folder customsdeclare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customsdeclare.component.ts</v>
      </c>
      <c r="D74" s="28" t="str">
        <f>B.Frontend!I14</f>
        <v>customsdeclare.component.html</v>
      </c>
      <c r="E74" s="28" t="str">
        <f>B.Frontend!J14</f>
        <v>customsdeclare.component.less</v>
      </c>
      <c r="F74" s="28" t="str">
        <f>B.Frontend!K14</f>
        <v>create-or-edit-customsdeclare-modal.component.html</v>
      </c>
      <c r="G74" s="28" t="str">
        <f>B.Frontend!L14</f>
        <v>create-or-edit-customsdeclare-modal.component.ts</v>
      </c>
      <c r="H74" s="28" t="str">
        <f>B.Frontend!M14</f>
        <v>create-or-edit-customsdeclare-modal.component.less</v>
      </c>
      <c r="I74" s="28" t="str">
        <f>B.Frontend!N14</f>
        <v>customsdeclare.module.ts</v>
      </c>
      <c r="J74" s="28" t="str">
        <f>B.Frontend!O14</f>
        <v>customsdeclare-routing.module.ts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e">
        <f ca="1">B.Frontend!H10</f>
        <v>#NAME?</v>
      </c>
      <c r="D75" s="46" t="e">
        <f ca="1">B.Frontend!I10</f>
        <v>#NAME?</v>
      </c>
      <c r="E75" s="46" t="str">
        <f>B.Frontend!J10</f>
        <v>.input-search{
    width: 250px;
    border-radius: 10px;
    margin-left: 10px;
}
.btn-search{
    width: 50px;
    margin-left: 10px;
}</v>
      </c>
      <c r="F75" s="46" t="e">
        <f ca="1">B.Frontend!K10</f>
        <v>#NAME?</v>
      </c>
      <c r="G75" s="46" t="e">
        <f ca="1">B.Frontend!L10</f>
        <v>#NAME?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CustomsDeclareRoutingModule } from './customsdeclare-routing.module';
import { CustomsDeclareComponent } from './customsdeclare.component';
import { CreateOrEditCustomsDeclareModalComponent } from './create-or-edit-customsdeclare-modal.component';
@NgModule({
    declarations: [
       CustomsDeclareComponent, 
        CreateOrEditCustomsDeclareModalComponent
    ],
    imports: [
        AppSharedModule, CustomsDeclareRoutingModule]
})
export class CustomsDeclareModule {}</v>
      </c>
      <c r="J75" s="46" t="str">
        <f>B.Frontend!O10</f>
        <v>import {NgModule} from '@angular/core';
import {RouterModule, Routes} from '@angular/router';
import { CustomsDeclareComponent } from './customsdeclare.component';
const routes: Routes = [{
    path: '',
    component: CustomsDeclareComponent,
    pathMatch: 'full'
}];
@NgModule({
    imports: [RouterModule.forChild(routes)],
    exports: [RouterModule],
})
export class CustomsDeclareRoutingModule {}</v>
      </c>
      <c r="K75" s="46" t="str">
        <f>B.Frontend!P10</f>
        <v xml:space="preserve"> new AppMenuItem("CustomsDeclare", "Pages.Inventory.CKD.CustomsDeclare", "flaticon-book",   "/app/main/inventory/ckd/customsdeclare"),</v>
      </c>
      <c r="L75" s="47" t="str">
        <f>B.Frontend!Q10</f>
        <v>{
    path: 'inventory/ckd/customsdeclare',
    loadChildren: () =&gt; import('./inventory/ckd/customsdeclare/customsdeclare.module').then(m =&gt; m.CustomsDeclareModule),
    data: { permission: 'Pages.Inventory.CKD.CustomsDeclare' }
},</v>
      </c>
      <c r="M75" s="45" t="str">
        <f>B.Frontend!R10</f>
        <v>ApiServiceProxies.InvCkdCustomsDeclareServiceProxy,</v>
      </c>
    </row>
    <row r="77" spans="2:14" x14ac:dyDescent="0.3">
      <c r="B77" s="1" t="s">
        <v>72</v>
      </c>
    </row>
    <row r="78" spans="2:14" x14ac:dyDescent="0.3">
      <c r="B78" s="1" t="s">
        <v>401</v>
      </c>
      <c r="C78" s="1" t="s">
        <v>402</v>
      </c>
      <c r="D78" s="1" t="s">
        <v>403</v>
      </c>
      <c r="E78" s="1"/>
      <c r="F78" s="1"/>
    </row>
    <row r="79" spans="2:14" x14ac:dyDescent="0.3">
      <c r="C79" t="s">
        <v>409</v>
      </c>
      <c r="D79" t="s">
        <v>404</v>
      </c>
    </row>
    <row r="80" spans="2:14" x14ac:dyDescent="0.3">
      <c r="C80" t="s">
        <v>410</v>
      </c>
      <c r="D80" t="s">
        <v>405</v>
      </c>
      <c r="E80" s="1"/>
    </row>
    <row r="81" spans="2:22" x14ac:dyDescent="0.3">
      <c r="C81" t="s">
        <v>411</v>
      </c>
      <c r="D81" t="s">
        <v>404</v>
      </c>
      <c r="E81" s="1"/>
    </row>
    <row r="82" spans="2:22" x14ac:dyDescent="0.3">
      <c r="C82" t="s">
        <v>412</v>
      </c>
      <c r="D82" t="s">
        <v>404</v>
      </c>
    </row>
    <row r="83" spans="2:22" x14ac:dyDescent="0.3">
      <c r="B83" s="1" t="s">
        <v>413</v>
      </c>
      <c r="E83" s="1" t="s">
        <v>414</v>
      </c>
    </row>
    <row r="84" spans="2:22" x14ac:dyDescent="0.3">
      <c r="C84" s="1" t="s">
        <v>408</v>
      </c>
      <c r="D84" s="1" t="s">
        <v>415</v>
      </c>
      <c r="E84" s="1" t="s">
        <v>416</v>
      </c>
      <c r="F84" s="1" t="s">
        <v>417</v>
      </c>
      <c r="G84" s="1" t="s">
        <v>418</v>
      </c>
      <c r="H84" s="1" t="s">
        <v>419</v>
      </c>
      <c r="I84" s="1" t="s">
        <v>420</v>
      </c>
      <c r="J84" s="1" t="s">
        <v>421</v>
      </c>
      <c r="K84" s="1" t="s">
        <v>422</v>
      </c>
      <c r="L84" s="1" t="s">
        <v>423</v>
      </c>
      <c r="M84" s="1" t="s">
        <v>424</v>
      </c>
      <c r="N84" s="1" t="s">
        <v>425</v>
      </c>
      <c r="O84" s="1" t="s">
        <v>426</v>
      </c>
      <c r="P84" s="1" t="s">
        <v>427</v>
      </c>
      <c r="Q84" s="1" t="s">
        <v>428</v>
      </c>
      <c r="R84" s="1" t="s">
        <v>429</v>
      </c>
      <c r="S84" s="1" t="s">
        <v>430</v>
      </c>
      <c r="T84" s="1" t="s">
        <v>431</v>
      </c>
      <c r="U84" s="1" t="s">
        <v>432</v>
      </c>
      <c r="V84" s="1" t="s">
        <v>433</v>
      </c>
    </row>
    <row r="85" spans="2:22" x14ac:dyDescent="0.3">
      <c r="H85" t="s">
        <v>434</v>
      </c>
      <c r="I85" t="s">
        <v>435</v>
      </c>
      <c r="J85" t="s">
        <v>436</v>
      </c>
      <c r="K85" t="s">
        <v>437</v>
      </c>
      <c r="Q85" t="s">
        <v>438</v>
      </c>
      <c r="R85" t="s">
        <v>439</v>
      </c>
      <c r="S85" t="s">
        <v>430</v>
      </c>
      <c r="T85" t="s">
        <v>440</v>
      </c>
      <c r="U85" t="s">
        <v>441</v>
      </c>
    </row>
    <row r="86" spans="2:22" x14ac:dyDescent="0.3">
      <c r="B86" s="1" t="s">
        <v>442</v>
      </c>
      <c r="E86" s="1" t="s">
        <v>443</v>
      </c>
    </row>
    <row r="87" spans="2:22" x14ac:dyDescent="0.3">
      <c r="C87" s="1" t="s">
        <v>408</v>
      </c>
      <c r="D87" s="1" t="s">
        <v>444</v>
      </c>
      <c r="E87" s="1" t="s">
        <v>445</v>
      </c>
      <c r="F87" s="1" t="s">
        <v>446</v>
      </c>
      <c r="G87" s="1" t="s">
        <v>417</v>
      </c>
      <c r="H87" s="1" t="s">
        <v>447</v>
      </c>
      <c r="I87" s="1" t="s">
        <v>448</v>
      </c>
      <c r="J87" s="1" t="s">
        <v>422</v>
      </c>
      <c r="K87" s="1"/>
      <c r="L87" s="1"/>
      <c r="M87" s="1"/>
    </row>
    <row r="88" spans="2:22" x14ac:dyDescent="0.3">
      <c r="E88" t="s">
        <v>449</v>
      </c>
      <c r="J88" t="s">
        <v>437</v>
      </c>
    </row>
    <row r="89" spans="2:22" x14ac:dyDescent="0.3">
      <c r="B89" s="1" t="s">
        <v>446</v>
      </c>
      <c r="E89" s="1" t="s">
        <v>450</v>
      </c>
    </row>
    <row r="90" spans="2:22" x14ac:dyDescent="0.3">
      <c r="C90" s="1" t="s">
        <v>408</v>
      </c>
      <c r="D90" s="1" t="s">
        <v>412</v>
      </c>
      <c r="E90" s="1" t="s">
        <v>451</v>
      </c>
      <c r="F90" s="1" t="s">
        <v>452</v>
      </c>
      <c r="G90" s="1" t="s">
        <v>406</v>
      </c>
      <c r="H90" s="1" t="s">
        <v>407</v>
      </c>
      <c r="I90" s="1" t="s">
        <v>453</v>
      </c>
      <c r="J90" s="1" t="s">
        <v>455</v>
      </c>
      <c r="K90" s="1" t="s">
        <v>456</v>
      </c>
      <c r="L90" s="1" t="s">
        <v>457</v>
      </c>
      <c r="M90" s="1" t="s">
        <v>458</v>
      </c>
      <c r="N90" s="1" t="s">
        <v>434</v>
      </c>
      <c r="O90" s="1" t="s">
        <v>435</v>
      </c>
      <c r="P90" s="1" t="s">
        <v>459</v>
      </c>
      <c r="Q90" s="1" t="s">
        <v>460</v>
      </c>
    </row>
    <row r="91" spans="2:22" x14ac:dyDescent="0.3">
      <c r="I91" t="s">
        <v>454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0"/>
  <sheetViews>
    <sheetView topLeftCell="A22" workbookViewId="0">
      <pane xSplit="1" topLeftCell="B1" activePane="topRight" state="frozen"/>
      <selection pane="topRight" activeCell="A33" sqref="A33"/>
    </sheetView>
  </sheetViews>
  <sheetFormatPr defaultColWidth="9.21875" defaultRowHeight="14.4" x14ac:dyDescent="0.3"/>
  <cols>
    <col min="1" max="1" width="20.777343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77734375" style="7" customWidth="1"/>
    <col min="7" max="7" width="17.21875" style="7" bestFit="1" customWidth="1"/>
    <col min="8" max="8" width="15" style="7" customWidth="1"/>
    <col min="9" max="9" width="16" style="7" customWidth="1"/>
    <col min="10" max="10" width="15.77734375" style="7" customWidth="1"/>
    <col min="11" max="11" width="16" style="7" customWidth="1"/>
    <col min="12" max="12" width="16.77734375" style="7" customWidth="1"/>
    <col min="13" max="13" width="17.44140625" style="7" customWidth="1"/>
    <col min="14" max="14" width="16.21875" style="7" customWidth="1"/>
    <col min="15" max="15" width="14.77734375" style="7" customWidth="1"/>
    <col min="16" max="16" width="16" style="7" customWidth="1"/>
    <col min="17" max="17" width="15.7773437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21875" style="7" customWidth="1"/>
    <col min="23" max="23" width="27.77734375" style="8" customWidth="1"/>
    <col min="24" max="16384" width="9.21875" style="7"/>
  </cols>
  <sheetData>
    <row r="1" spans="1:23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">
      <c r="A3" s="1" t="s">
        <v>5</v>
      </c>
      <c r="B3" s="27" t="s">
        <v>396</v>
      </c>
      <c r="C3" s="9" t="s">
        <v>41</v>
      </c>
      <c r="D3" s="9" t="s">
        <v>42</v>
      </c>
      <c r="E3" s="9" t="s">
        <v>37</v>
      </c>
      <c r="F3" s="10" t="str">
        <f>"J"&amp;COUNTA($A:$A)</f>
        <v>J38</v>
      </c>
      <c r="G3" s="4" t="s">
        <v>54</v>
      </c>
      <c r="H3" s="9" t="str">
        <f>"I"&amp;COUNTA($A:$A)</f>
        <v>I38</v>
      </c>
      <c r="I3" s="9" t="str">
        <f>REPT(CHAR(9),2)&amp;"[Required]"&amp;"
"</f>
        <v xml:space="preserve">		[Required]
</v>
      </c>
      <c r="J3" s="10" t="str">
        <f>"L"&amp;COUNTA($A:$A)</f>
        <v>L38</v>
      </c>
      <c r="K3" s="5" t="s">
        <v>53</v>
      </c>
      <c r="L3" s="10" t="str">
        <f>"M"&amp;COUNTA($A:$A)</f>
        <v>M38</v>
      </c>
      <c r="M3" s="10" t="str">
        <f>"N"&amp;COUNTA($A:$A)</f>
        <v>N38</v>
      </c>
      <c r="N3" s="10" t="str">
        <f>"O"&amp;COUNTA($A:$A)</f>
        <v>O38</v>
      </c>
      <c r="O3" s="10" t="str">
        <f>"P"&amp;COUNTA($A:$A)</f>
        <v>P38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InvCkdCustomsDeclareExportInput{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T38</v>
      </c>
      <c r="V3" s="10" t="str">
        <f>"V"&amp;COUNTA($A:$A)</f>
        <v>V38</v>
      </c>
      <c r="W3" s="9" t="str">
        <f>"W"&amp;COUNTA($A:$A)</f>
        <v>W38</v>
      </c>
    </row>
    <row r="4" spans="1:23" s="10" customFormat="1" ht="33" customHeight="1" x14ac:dyDescent="0.3">
      <c r="A4" s="1" t="s">
        <v>233</v>
      </c>
      <c r="B4" s="65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">
      <c r="A5" s="1" t="s">
        <v>234</v>
      </c>
      <c r="B5" s="65" t="s">
        <v>397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05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InvCkdCustomsDeclare: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InvCkdCustomsDeclareConsts	
	{
</v>
      </c>
      <c r="F6" s="10" t="str">
        <f>REPT(CHAR(9),1)&amp;"public class "&amp;B3&amp;"Dto"&amp;K3&amp;REPT(CHAR(9),1)&amp;"
"&amp;REPT(CHAR(9),1)&amp;C3</f>
        <v xml:space="preserve">	public class InvCkdCustomsDeclareDto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CreateOrEditInvCkdCustomsDeclareDto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GetInvCkdCustomsDeclareInput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05" customHeight="1" x14ac:dyDescent="0.3">
      <c r="A7" s="1" t="s">
        <v>13</v>
      </c>
      <c r="B7" s="9" t="str">
        <f>B3</f>
        <v>InvCkdCustomsDeclare</v>
      </c>
      <c r="C7" s="10" t="str">
        <f>REPT(CHAR(9),1)&amp;"[Table("""&amp;B7&amp;""")]"&amp;"
"</f>
        <v xml:space="preserve">	[Table("InvCkdCustomsDeclare")]
</v>
      </c>
      <c r="D7" s="10"/>
      <c r="E7" s="10"/>
      <c r="F7" s="10"/>
      <c r="G7" s="10"/>
      <c r="H7" s="10"/>
      <c r="I7" s="10"/>
      <c r="J7" t="e">
        <f ca="1">SUBSTITUTE(SUBSTITUTE((B1&amp;C6&amp;C7&amp;K40&amp;D6&amp;I40&amp;E3&amp;J40&amp;""&amp;REPT(CHAR(9),1)&amp;D3&amp;D3),"WorkingPattern",$Q$3),"Master",$B$4)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DbSet&lt;InvCkdCustomsDeclare&gt; InvCkdCustomsDeclares { get; set; }</v>
      </c>
      <c r="L7" t="e">
        <f ca="1">SUBSTITUTE(SUBSTITUTE((C6&amp;E6&amp;I40&amp;"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"&amp;B6&amp;".Dto"&amp;E3&amp;C3&amp;F6&amp;M40&amp;E3&amp;REPT(CHAR(9),1)&amp;D3&amp;G6&amp;N40&amp;REPT(CHAR(9),1)&amp;D3&amp;H6&amp;O40&amp;"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perInvCkdCustomsDeclare = PARENTS.CreateChildPermission(AppPermissions.Pages_Inventory_CKD_CustomsDeclare, L( "InventoryCKDCustomsDeclare"), multiTenancySides: MultiTenancySides.Tenant);
		perInvCkdCustomsDeclare.CreateChildPermission(AppPermissions.Pages_Inventory_CKD_CustomsDeclare_CreateEdit, L( "InventoryCKDCustomsDeclareCreateEdit"), multiTenancySides: MultiTenancySides.Tenant);
		perInvCkdCustomsDeclare.CreateChildPermission(AppPermissions.Pages_Inventory_CKD_CustomsDeclare_Delete, L( "InventoryCKDCustomsDeclareDelete"),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Pages_Inventory_CKD_CustomsDeclare = "Pages.Inventory.CKD.CustomsDeclare";
		public const string Pages_Inventory_CKD_CustomsDeclare_CreateEdit = "Pages.Inventory.CKD.CustomsDeclare.CreateEdit";
		public const string Pages_Inventory_CKD_CustomsDeclare_Delete = "Pages.Inventory.CKD.CustomsDeclare.Delete";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IInvCkdCustomsDeclareAppService : IApplicationService
	{
		Task&lt;PagedResultDto&lt;InvCkdCustomsDeclareDto&gt;&gt; GetAll(GetInvCkdCustomsDeclareInput input);
		Task CreateOrEdit(CreateOrEditInvCkdCustomsDeclareDto input);
		Task Delete(EntityDto input);
	}
}
</v>
      </c>
      <c r="Q7" t="e">
        <f ca="1">SUBSTITUTE(SUBSTITUTE(SUBSTITUTE(SUBSTITUTE(SUBSTITUTE(SUBSTITUTE(E1,"MstWptCalendar",$B$3),"&lt;PROPERTIES&gt;",P40),"Calendar",$B$5),"WorkingPattern",$Q$3),"Master",$B$4),"&lt;PARAMS_SEARCH&gt;",$W$40)</f>
        <v>#NAME?</v>
      </c>
      <c r="R7" t="e">
        <f ca="1">SUBSTITUTE(SUBSTITUTE((C1&amp;"namespace "&amp;B6&amp;".Dto"&amp;E3&amp;C3&amp;R3&amp;M40&amp;E3&amp;REPT(CHAR(9),1)&amp;D3&amp;D3),"WorkingPattern",$Q$3),"Master",$B$4)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IInvCkdCustomsDeclareExcelExporter : IApplicationService
	{
		FileDto ExportToFile(List&lt;InvCkdCustomsDeclareDto&gt; invckdcustomsdeclare);
	}
}
</v>
      </c>
      <c r="T7" s="26" t="e">
        <f ca="1">SUBSTITUTE(SUBSTITUTE(SUBSTITUTE(SUBSTITUTE(SUBSTITUTE(SUBSTITUTE(SUBSTITUTE(T1,"MstWptCalendar",$B$3),"&lt;PROPERTIES1&gt;",V40),"&lt;PROPERTIES&gt;",T40),"Calendar",$B$5),"calendar",LOWER(B5)),"WorkingPattern",$Q$3),"Master",$B$4)</f>
        <v>#NAME?</v>
      </c>
      <c r="U7" s="26" t="str">
        <f>SUBSTITUTE(SUBSTITUTE(U1,"MstWptCalendar",$B$3),"Master",$B$4)</f>
        <v xml:space="preserve">  configuration.CreateMap&lt;InvCkdCustomsDeclareDto, InvCkdCustomsDeclare&gt;();
  configuration.CreateMap&lt;InvCkdCustomsDeclare, InvCkdCustomsDeclareDto&gt;();
  configuration.CreateMap&lt;CreateOrEditInvCkdCustomsDeclareDto, InvCkdCustomsDeclare&gt;();</v>
      </c>
      <c r="V7" s="26"/>
      <c r="W7" s="26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">
      <c r="A9" t="s">
        <v>368</v>
      </c>
      <c r="B9" t="s">
        <v>360</v>
      </c>
      <c r="C9" t="s">
        <v>1</v>
      </c>
      <c r="D9" t="str">
        <f t="shared" ref="D9" si="0">SUBSTITUTE(PROPER(A9),"_","")</f>
        <v>CustomsDeclareNo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30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MaxCustomsDeclareNoLength = 30;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[StringLength(MaxCustomsDeclareNoLength)]
		public virtual string CustomsDeclareNo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CustomsDeclareNo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[StringLength(InvCkdCustomsDeclareConsts.MaxCustomsDeclareNoLength)]
		public virtual string CustomsDeclareNo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CustomsDeclareNo { get; set; }
</v>
      </c>
      <c r="P9" t="str">
        <f t="shared" ref="P9" si="9">REPT(CHAR(9),7)&amp;D9&amp;" = o." &amp;D9 &amp;","</f>
        <v xml:space="preserve">							CustomsDeclareNo = o.CustomsDeclareNo,</v>
      </c>
      <c r="T9" s="63" t="str">
        <f t="shared" ref="T9" si="10">REPT(CHAR(9),8)&amp;"("""&amp;D9&amp;"""),"</f>
        <v xml:space="preserve">								("CustomsDeclareNo"),</v>
      </c>
      <c r="V9" s="64" t="str">
        <f t="shared" ref="V9" si="11">REPT(CHAR(9),8)&amp;"_ =&gt; _."&amp;D9&amp;","</f>
        <v xml:space="preserve">								_ =&gt; _.CustomsDeclareNo,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.WhereIf(!string.IsNullOrWhiteSpace(input.CustomsDeclareNo), e =&gt; e.CustomsDeclareNo.Contains(input.CustomsDeclareNo))</v>
      </c>
    </row>
    <row r="10" spans="1:23" customFormat="1" ht="18.75" customHeight="1" x14ac:dyDescent="0.3">
      <c r="A10" t="s">
        <v>369</v>
      </c>
      <c r="B10" t="s">
        <v>365</v>
      </c>
      <c r="C10" t="s">
        <v>1</v>
      </c>
      <c r="D10" t="str">
        <f t="shared" ref="D10:D11" si="13">SUBSTITUTE(PROPER(A10),"_","")</f>
        <v>BillofladingNo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20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MaxBillofladingNoLength = 20;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[StringLength(MaxBillofladingNoLength)]
		public virtual string BillofladingNo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BillofladingNo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[StringLength(InvCkdCustomsDeclareConsts.MaxBillofladingNoLength)]
		public virtual string BillofladingNo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BillofladingNo { get; set; }
</v>
      </c>
      <c r="P10" t="str">
        <f t="shared" ref="P10:P11" si="22">REPT(CHAR(9),7)&amp;D10&amp;" = o." &amp;D10 &amp;","</f>
        <v xml:space="preserve">							BillofladingNo = o.BillofladingNo,</v>
      </c>
      <c r="T10" s="63" t="str">
        <f t="shared" ref="T10:T11" si="23">REPT(CHAR(9),8)&amp;"("""&amp;D10&amp;"""),"</f>
        <v xml:space="preserve">								("BillofladingNo"),</v>
      </c>
      <c r="V10" s="64" t="str">
        <f t="shared" ref="V10:V11" si="24">REPT(CHAR(9),8)&amp;"_ =&gt; _."&amp;D10&amp;","</f>
        <v xml:space="preserve">								_ =&gt; _.BillofladingNo,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.WhereIf(!string.IsNullOrWhiteSpace(input.BillofladingNo), e =&gt; e.BillofladingNo.Contains(input.BillofladingNo))</v>
      </c>
    </row>
    <row r="11" spans="1:23" customFormat="1" ht="18.75" customHeight="1" x14ac:dyDescent="0.3">
      <c r="A11" t="s">
        <v>370</v>
      </c>
      <c r="B11" t="s">
        <v>362</v>
      </c>
      <c r="C11" t="s">
        <v>1</v>
      </c>
      <c r="D11" t="str">
        <f t="shared" si="13"/>
        <v>TotalcifCept</v>
      </c>
      <c r="E11" t="str">
        <f t="shared" si="14"/>
        <v>DECIMAL</v>
      </c>
      <c r="F11" s="6"/>
      <c r="G11" t="str">
        <f t="shared" si="15"/>
        <v>18,5</v>
      </c>
      <c r="H11" t="str">
        <f>+VLOOKUP(E11,'Data Type Mapping'!A:B,2,)</f>
        <v>decimal?</v>
      </c>
      <c r="I11" t="str">
        <f t="shared" si="16"/>
        <v/>
      </c>
      <c r="J11" t="str">
        <f t="shared" si="17"/>
        <v xml:space="preserve">		public virtual decimal? TotalcifCept { get; set; }
</v>
      </c>
      <c r="K11" s="6"/>
      <c r="L11" t="str">
        <f t="shared" si="18"/>
        <v/>
      </c>
      <c r="M11" t="str">
        <f t="shared" si="19"/>
        <v xml:space="preserve">		public virtual decimal? TotalcifCept { get; set; }
</v>
      </c>
      <c r="N11" t="str">
        <f t="shared" si="20"/>
        <v xml:space="preserve">		public virtual decimal? TotalcifCept { get; set; }
</v>
      </c>
      <c r="O11" t="str">
        <f t="shared" si="21"/>
        <v/>
      </c>
      <c r="P11" t="str">
        <f t="shared" si="22"/>
        <v xml:space="preserve">							TotalcifCept = o.TotalcifCept,</v>
      </c>
      <c r="T11" s="63" t="str">
        <f t="shared" si="23"/>
        <v xml:space="preserve">								("TotalcifCept"),</v>
      </c>
      <c r="V11" s="64" t="str">
        <f t="shared" si="24"/>
        <v xml:space="preserve">								_ =&gt; _.TotalcifCept,</v>
      </c>
      <c r="W11" s="63" t="str">
        <f t="shared" si="25"/>
        <v/>
      </c>
    </row>
    <row r="12" spans="1:23" customFormat="1" ht="18.75" customHeight="1" x14ac:dyDescent="0.3">
      <c r="A12" t="s">
        <v>371</v>
      </c>
      <c r="B12" t="s">
        <v>362</v>
      </c>
      <c r="C12" t="s">
        <v>1</v>
      </c>
      <c r="D12" t="str">
        <f t="shared" ref="D12:D15" si="26">SUBSTITUTE(PROPER(A12),"_","")</f>
        <v>TotalcifNoncept</v>
      </c>
      <c r="E12" t="str">
        <f t="shared" ref="E12:E15" si="27">IFERROR(LEFT(B12, FIND("(",B12)-1),B12)</f>
        <v>DECIMAL</v>
      </c>
      <c r="F12" s="6"/>
      <c r="G12" t="str">
        <f t="shared" ref="G12:G15" si="28">IFERROR(MID(B12,FIND("(",B12) +1, FIND(")",B12) - FIND("(",B12) - 1),"")</f>
        <v>18,5</v>
      </c>
      <c r="H12" t="str">
        <f>+VLOOKUP(E12,'Data Type Mapping'!A:B,2,)</f>
        <v>decimal?</v>
      </c>
      <c r="I12" t="str">
        <f t="shared" ref="I12:I15" si="29">IF(H12="string",REPT(CHAR(9),2)&amp;"public const int Max"&amp;D12&amp;"Length = "&amp;G12&amp;";"&amp;$E$3,"" )</f>
        <v/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decimal? TotalcifNoncept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decimal? TotalcifNoncept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decimal? TotalcifNoncept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5" si="35">REPT(CHAR(9),7)&amp;D12&amp;" = o." &amp;D12 &amp;","</f>
        <v xml:space="preserve">							TotalcifNoncept = o.TotalcifNoncept,</v>
      </c>
      <c r="T12" s="63" t="str">
        <f t="shared" ref="T12:T15" si="36">REPT(CHAR(9),8)&amp;"("""&amp;D12&amp;"""),"</f>
        <v xml:space="preserve">								("TotalcifNoncept"),</v>
      </c>
      <c r="V12" s="64" t="str">
        <f t="shared" ref="V12:V15" si="37">REPT(CHAR(9),8)&amp;"_ =&gt; _."&amp;D12&amp;","</f>
        <v xml:space="preserve">								_ =&gt; _.TotalcifNoncept,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3">
      <c r="A13" t="s">
        <v>372</v>
      </c>
      <c r="B13" t="s">
        <v>362</v>
      </c>
      <c r="C13" t="s">
        <v>1</v>
      </c>
      <c r="D13" t="str">
        <f t="shared" si="26"/>
        <v>TotaltaxCept</v>
      </c>
      <c r="E13" t="str">
        <f t="shared" si="27"/>
        <v>DECIMAL</v>
      </c>
      <c r="F13" s="6"/>
      <c r="G13" t="str">
        <f t="shared" si="28"/>
        <v>18,5</v>
      </c>
      <c r="H13" t="str">
        <f>+VLOOKUP(E13,'Data Type Mapping'!A:B,2,)</f>
        <v>decimal?</v>
      </c>
      <c r="I13" t="str">
        <f t="shared" si="29"/>
        <v/>
      </c>
      <c r="J13" t="str">
        <f t="shared" si="30"/>
        <v xml:space="preserve">		public virtual decimal? TotaltaxCept { get; set; }
</v>
      </c>
      <c r="K13" s="6"/>
      <c r="L13" t="str">
        <f t="shared" si="31"/>
        <v/>
      </c>
      <c r="M13" t="str">
        <f t="shared" si="32"/>
        <v xml:space="preserve">		public virtual decimal? TotaltaxCept { get; set; }
</v>
      </c>
      <c r="N13" t="str">
        <f t="shared" si="33"/>
        <v xml:space="preserve">		public virtual decimal? TotaltaxCept { get; set; }
</v>
      </c>
      <c r="O13" t="str">
        <f t="shared" si="34"/>
        <v/>
      </c>
      <c r="P13" t="str">
        <f t="shared" si="35"/>
        <v xml:space="preserve">							TotaltaxCept = o.TotaltaxCept,</v>
      </c>
      <c r="T13" s="63" t="str">
        <f t="shared" si="36"/>
        <v xml:space="preserve">								("TotaltaxCept"),</v>
      </c>
      <c r="V13" s="64" t="str">
        <f t="shared" si="37"/>
        <v xml:space="preserve">								_ =&gt; _.TotaltaxCept,</v>
      </c>
      <c r="W13" s="63" t="str">
        <f t="shared" si="38"/>
        <v/>
      </c>
    </row>
    <row r="14" spans="1:23" customFormat="1" ht="18.75" customHeight="1" x14ac:dyDescent="0.3">
      <c r="A14" t="s">
        <v>373</v>
      </c>
      <c r="B14" t="s">
        <v>362</v>
      </c>
      <c r="C14" t="s">
        <v>1</v>
      </c>
      <c r="D14" t="str">
        <f t="shared" si="26"/>
        <v>TotaltaxNoncept</v>
      </c>
      <c r="E14" t="str">
        <f t="shared" si="27"/>
        <v>DECIMAL</v>
      </c>
      <c r="F14" s="6"/>
      <c r="G14" t="str">
        <f t="shared" si="28"/>
        <v>18,5</v>
      </c>
      <c r="H14" t="str">
        <f>+VLOOKUP(E14,'Data Type Mapping'!A:B,2,)</f>
        <v>decimal?</v>
      </c>
      <c r="I14" t="str">
        <f t="shared" si="29"/>
        <v/>
      </c>
      <c r="J14" t="str">
        <f t="shared" si="30"/>
        <v xml:space="preserve">		public virtual decimal? TotaltaxNoncept { get; set; }
</v>
      </c>
      <c r="K14" s="6"/>
      <c r="L14" t="str">
        <f t="shared" si="31"/>
        <v/>
      </c>
      <c r="M14" t="str">
        <f t="shared" si="32"/>
        <v xml:space="preserve">		public virtual decimal? TotaltaxNoncept { get; set; }
</v>
      </c>
      <c r="N14" t="str">
        <f t="shared" si="33"/>
        <v xml:space="preserve">		public virtual decimal? TotaltaxNoncept { get; set; }
</v>
      </c>
      <c r="O14" t="str">
        <f t="shared" si="34"/>
        <v/>
      </c>
      <c r="P14" t="str">
        <f t="shared" si="35"/>
        <v xml:space="preserve">							TotaltaxNoncept = o.TotaltaxNoncept,</v>
      </c>
      <c r="T14" s="63" t="str">
        <f t="shared" si="36"/>
        <v xml:space="preserve">								("TotaltaxNoncept"),</v>
      </c>
      <c r="V14" s="64" t="str">
        <f t="shared" si="37"/>
        <v xml:space="preserve">								_ =&gt; _.TotaltaxNoncept,</v>
      </c>
      <c r="W14" s="63" t="str">
        <f t="shared" si="38"/>
        <v/>
      </c>
    </row>
    <row r="15" spans="1:23" customFormat="1" ht="18.75" customHeight="1" x14ac:dyDescent="0.3">
      <c r="A15" t="s">
        <v>374</v>
      </c>
      <c r="B15" t="s">
        <v>362</v>
      </c>
      <c r="C15" t="s">
        <v>1</v>
      </c>
      <c r="D15" t="str">
        <f t="shared" si="26"/>
        <v>TotalvatCept</v>
      </c>
      <c r="E15" t="str">
        <f t="shared" si="27"/>
        <v>DECIMAL</v>
      </c>
      <c r="F15" s="6"/>
      <c r="G15" t="str">
        <f t="shared" si="28"/>
        <v>18,5</v>
      </c>
      <c r="H15" t="str">
        <f>+VLOOKUP(E15,'Data Type Mapping'!A:B,2,)</f>
        <v>decimal?</v>
      </c>
      <c r="I15" t="str">
        <f t="shared" si="29"/>
        <v/>
      </c>
      <c r="J15" t="str">
        <f t="shared" si="30"/>
        <v xml:space="preserve">		public virtual decimal? TotalvatCept { get; set; }
</v>
      </c>
      <c r="K15" s="6"/>
      <c r="L15" t="str">
        <f t="shared" si="31"/>
        <v/>
      </c>
      <c r="M15" t="str">
        <f t="shared" si="32"/>
        <v xml:space="preserve">		public virtual decimal? TotalvatCept { get; set; }
</v>
      </c>
      <c r="N15" t="str">
        <f t="shared" si="33"/>
        <v xml:space="preserve">		public virtual decimal? TotalvatCept { get; set; }
</v>
      </c>
      <c r="O15" t="str">
        <f t="shared" si="34"/>
        <v/>
      </c>
      <c r="P15" t="str">
        <f t="shared" si="35"/>
        <v xml:space="preserve">							TotalvatCept = o.TotalvatCept,</v>
      </c>
      <c r="T15" s="63" t="str">
        <f t="shared" si="36"/>
        <v xml:space="preserve">								("TotalvatCept"),</v>
      </c>
      <c r="V15" s="64" t="str">
        <f t="shared" si="37"/>
        <v xml:space="preserve">								_ =&gt; _.TotalvatCept,</v>
      </c>
      <c r="W15" s="63" t="str">
        <f t="shared" si="38"/>
        <v/>
      </c>
    </row>
    <row r="16" spans="1:23" customFormat="1" ht="18.75" customHeight="1" x14ac:dyDescent="0.3">
      <c r="A16" t="s">
        <v>375</v>
      </c>
      <c r="B16" t="s">
        <v>362</v>
      </c>
      <c r="C16" t="s">
        <v>1</v>
      </c>
      <c r="D16" t="str">
        <f t="shared" ref="D16:D23" si="39">SUBSTITUTE(PROPER(A16),"_","")</f>
        <v>TotalvatNoncept</v>
      </c>
      <c r="E16" t="str">
        <f t="shared" ref="E16:E23" si="40">IFERROR(LEFT(B16, FIND("(",B16)-1),B16)</f>
        <v>DECIMAL</v>
      </c>
      <c r="F16" s="6"/>
      <c r="G16" t="str">
        <f t="shared" ref="G16:G23" si="41">IFERROR(MID(B16,FIND("(",B16) +1, FIND(")",B16) - FIND("(",B16) - 1),"")</f>
        <v>18,5</v>
      </c>
      <c r="H16" t="str">
        <f>+VLOOKUP(E16,'Data Type Mapping'!A:B,2,)</f>
        <v>decimal?</v>
      </c>
      <c r="I16" t="str">
        <f t="shared" ref="I16:I23" si="42">IF(H16="string",REPT(CHAR(9),2)&amp;"public const int Max"&amp;D16&amp;"Length = "&amp;G16&amp;";"&amp;$E$3,"" )</f>
        <v/>
      </c>
      <c r="J16" t="str">
        <f t="shared" ref="J16:J23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decimal? TotalvatNoncept { get; set; }
</v>
      </c>
      <c r="K16" s="6"/>
      <c r="L16" t="str">
        <f t="shared" ref="L16:L23" si="44">IF(K16="","",REPT(CHAR(9),1)&amp;"[Index(nameof("&amp;IF(D16="","",""&amp;D16)&amp;")"&amp;", Name="&amp;"""IX_"&amp;$B$7&amp;"_"&amp;D16&amp;""")]")</f>
        <v/>
      </c>
      <c r="M16" t="str">
        <f t="shared" ref="M16:M23" si="45">REPT(CHAR(9),2)&amp;"public virtual "&amp;IF(OR(H16="DateTime",H16="TimeSpan"),H16&amp;"?",H16)&amp;IF(C16="?","? "," ")&amp;D16&amp;" { get; set; }" &amp; "
"</f>
        <v xml:space="preserve">		public virtual decimal? TotalvatNoncept { get; set; }
</v>
      </c>
      <c r="N16" t="str">
        <f t="shared" ref="N16:N23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decimal? TotalvatNoncept { get; set; }
</v>
      </c>
      <c r="O16" t="str">
        <f t="shared" ref="O16:O23" si="47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23" si="48">REPT(CHAR(9),7)&amp;D16&amp;" = o." &amp;D16 &amp;","</f>
        <v xml:space="preserve">							TotalvatNoncept = o.TotalvatNoncept,</v>
      </c>
      <c r="T16" s="63" t="str">
        <f t="shared" ref="T16:T23" si="49">REPT(CHAR(9),8)&amp;"("""&amp;D16&amp;"""),"</f>
        <v xml:space="preserve">								("TotalvatNoncept"),</v>
      </c>
      <c r="V16" s="64" t="str">
        <f t="shared" ref="V16:V23" si="50">REPT(CHAR(9),8)&amp;"_ =&gt; _."&amp;D16&amp;","</f>
        <v xml:space="preserve">								_ =&gt; _.TotalvatNoncept,</v>
      </c>
      <c r="W16" s="63" t="str">
        <f t="shared" ref="W16:W23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3">
      <c r="A17" t="s">
        <v>376</v>
      </c>
      <c r="B17" t="s">
        <v>361</v>
      </c>
      <c r="C17" t="s">
        <v>1</v>
      </c>
      <c r="D17" t="str">
        <f t="shared" si="39"/>
        <v>ExchangeRate</v>
      </c>
      <c r="E17" t="str">
        <f t="shared" si="40"/>
        <v>DECIMAL</v>
      </c>
      <c r="F17" s="6"/>
      <c r="G17" t="str">
        <f t="shared" si="41"/>
        <v>14,5</v>
      </c>
      <c r="H17" t="str">
        <f>+VLOOKUP(E17,'Data Type Mapping'!A:B,2,)</f>
        <v>decimal?</v>
      </c>
      <c r="I17" t="str">
        <f t="shared" si="42"/>
        <v/>
      </c>
      <c r="J17" t="str">
        <f t="shared" si="43"/>
        <v xml:space="preserve">		public virtual decimal? ExchangeRate { get; set; }
</v>
      </c>
      <c r="K17" s="6"/>
      <c r="L17" t="str">
        <f t="shared" si="44"/>
        <v/>
      </c>
      <c r="M17" t="str">
        <f t="shared" si="45"/>
        <v xml:space="preserve">		public virtual decimal? ExchangeRate { get; set; }
</v>
      </c>
      <c r="N17" t="str">
        <f t="shared" si="46"/>
        <v xml:space="preserve">		public virtual decimal? ExchangeRate { get; set; }
</v>
      </c>
      <c r="O17" t="str">
        <f t="shared" si="47"/>
        <v/>
      </c>
      <c r="P17" t="str">
        <f t="shared" si="48"/>
        <v xml:space="preserve">							ExchangeRate = o.ExchangeRate,</v>
      </c>
      <c r="T17" s="63" t="str">
        <f t="shared" si="49"/>
        <v xml:space="preserve">								("ExchangeRate"),</v>
      </c>
      <c r="V17" s="64" t="str">
        <f t="shared" si="50"/>
        <v xml:space="preserve">								_ =&gt; _.ExchangeRate,</v>
      </c>
      <c r="W17" s="63" t="str">
        <f t="shared" si="51"/>
        <v/>
      </c>
    </row>
    <row r="18" spans="1:23" customFormat="1" ht="18.75" customHeight="1" x14ac:dyDescent="0.3">
      <c r="A18" t="s">
        <v>377</v>
      </c>
      <c r="B18" t="s">
        <v>363</v>
      </c>
      <c r="C18" t="s">
        <v>1</v>
      </c>
      <c r="D18" t="str">
        <f t="shared" si="39"/>
        <v>DeclareDate</v>
      </c>
      <c r="E18" t="str">
        <f t="shared" si="40"/>
        <v>DATE</v>
      </c>
      <c r="F18" s="6"/>
      <c r="G18" t="str">
        <f t="shared" si="41"/>
        <v/>
      </c>
      <c r="H18" t="str">
        <f>+VLOOKUP(E18,'Data Type Mapping'!A:B,2,)</f>
        <v>DateTime?</v>
      </c>
      <c r="I18" t="str">
        <f t="shared" si="42"/>
        <v/>
      </c>
      <c r="J18" t="str">
        <f t="shared" si="43"/>
        <v xml:space="preserve">		public virtual DateTime? DeclareDate { get; set; }
</v>
      </c>
      <c r="K18" s="6"/>
      <c r="L18" t="str">
        <f t="shared" si="44"/>
        <v/>
      </c>
      <c r="M18" t="str">
        <f t="shared" si="45"/>
        <v xml:space="preserve">		public virtual DateTime? DeclareDate { get; set; }
</v>
      </c>
      <c r="N18" t="str">
        <f t="shared" si="46"/>
        <v xml:space="preserve">		public virtual DateTime? DeclareDate { get; set; }
</v>
      </c>
      <c r="O18" t="str">
        <f t="shared" si="47"/>
        <v/>
      </c>
      <c r="P18" t="str">
        <f t="shared" si="48"/>
        <v xml:space="preserve">							DeclareDate = o.DeclareDate,</v>
      </c>
      <c r="T18" s="63" t="str">
        <f t="shared" si="49"/>
        <v xml:space="preserve">								("DeclareDate"),</v>
      </c>
      <c r="V18" s="64" t="str">
        <f t="shared" si="50"/>
        <v xml:space="preserve">								_ =&gt; _.DeclareDate,</v>
      </c>
      <c r="W18" s="63" t="str">
        <f t="shared" si="51"/>
        <v/>
      </c>
    </row>
    <row r="19" spans="1:23" customFormat="1" ht="18.75" customHeight="1" x14ac:dyDescent="0.3">
      <c r="A19" t="s">
        <v>378</v>
      </c>
      <c r="B19" t="s">
        <v>362</v>
      </c>
      <c r="C19" t="s">
        <v>1</v>
      </c>
      <c r="D19" t="str">
        <f t="shared" si="39"/>
        <v>ActualTax</v>
      </c>
      <c r="E19" t="str">
        <f t="shared" si="40"/>
        <v>DECIMAL</v>
      </c>
      <c r="F19" s="6"/>
      <c r="G19" t="str">
        <f t="shared" si="41"/>
        <v>18,5</v>
      </c>
      <c r="H19" t="str">
        <f>+VLOOKUP(E19,'Data Type Mapping'!A:B,2,)</f>
        <v>decimal?</v>
      </c>
      <c r="I19" t="str">
        <f t="shared" si="42"/>
        <v/>
      </c>
      <c r="J19" t="str">
        <f t="shared" si="43"/>
        <v xml:space="preserve">		public virtual decimal? ActualTax { get; set; }
</v>
      </c>
      <c r="K19" s="6"/>
      <c r="L19" t="str">
        <f t="shared" si="44"/>
        <v/>
      </c>
      <c r="M19" t="str">
        <f t="shared" si="45"/>
        <v xml:space="preserve">		public virtual decimal? ActualTax { get; set; }
</v>
      </c>
      <c r="N19" t="str">
        <f t="shared" si="46"/>
        <v xml:space="preserve">		public virtual decimal? ActualTax { get; set; }
</v>
      </c>
      <c r="O19" t="str">
        <f t="shared" si="47"/>
        <v/>
      </c>
      <c r="P19" t="str">
        <f t="shared" si="48"/>
        <v xml:space="preserve">							ActualTax = o.ActualTax,</v>
      </c>
      <c r="T19" s="63" t="str">
        <f t="shared" si="49"/>
        <v xml:space="preserve">								("ActualTax"),</v>
      </c>
      <c r="V19" s="64" t="str">
        <f t="shared" si="50"/>
        <v xml:space="preserve">								_ =&gt; _.ActualTax,</v>
      </c>
      <c r="W19" s="63" t="str">
        <f t="shared" si="51"/>
        <v/>
      </c>
    </row>
    <row r="20" spans="1:23" customFormat="1" ht="18.75" customHeight="1" x14ac:dyDescent="0.3">
      <c r="A20" t="s">
        <v>379</v>
      </c>
      <c r="B20" t="s">
        <v>362</v>
      </c>
      <c r="C20" t="s">
        <v>1</v>
      </c>
      <c r="D20" t="str">
        <f t="shared" si="39"/>
        <v>ActualVat</v>
      </c>
      <c r="E20" t="str">
        <f t="shared" si="40"/>
        <v>DECIMAL</v>
      </c>
      <c r="F20" s="6"/>
      <c r="G20" t="str">
        <f t="shared" si="41"/>
        <v>18,5</v>
      </c>
      <c r="H20" t="str">
        <f>+VLOOKUP(E20,'Data Type Mapping'!A:B,2,)</f>
        <v>decimal?</v>
      </c>
      <c r="I20" t="str">
        <f t="shared" si="42"/>
        <v/>
      </c>
      <c r="J20" t="str">
        <f t="shared" si="43"/>
        <v xml:space="preserve">		public virtual decimal? ActualVat { get; set; }
</v>
      </c>
      <c r="K20" s="6"/>
      <c r="L20" t="str">
        <f t="shared" si="44"/>
        <v/>
      </c>
      <c r="M20" t="str">
        <f t="shared" si="45"/>
        <v xml:space="preserve">		public virtual decimal? ActualVat { get; set; }
</v>
      </c>
      <c r="N20" t="str">
        <f t="shared" si="46"/>
        <v xml:space="preserve">		public virtual decimal? ActualVat { get; set; }
</v>
      </c>
      <c r="O20" t="str">
        <f t="shared" si="47"/>
        <v/>
      </c>
      <c r="P20" t="str">
        <f t="shared" si="48"/>
        <v xml:space="preserve">							ActualVat = o.ActualVat,</v>
      </c>
      <c r="T20" s="63" t="str">
        <f t="shared" si="49"/>
        <v xml:space="preserve">								("ActualVat"),</v>
      </c>
      <c r="V20" s="64" t="str">
        <f t="shared" si="50"/>
        <v xml:space="preserve">								_ =&gt; _.ActualVat,</v>
      </c>
      <c r="W20" s="63" t="str">
        <f t="shared" si="51"/>
        <v/>
      </c>
    </row>
    <row r="21" spans="1:23" customFormat="1" ht="18.75" customHeight="1" x14ac:dyDescent="0.3">
      <c r="A21" t="s">
        <v>380</v>
      </c>
      <c r="B21" t="s">
        <v>357</v>
      </c>
      <c r="C21" t="s">
        <v>1</v>
      </c>
      <c r="D21" t="str">
        <f t="shared" si="39"/>
        <v>CustomsPort</v>
      </c>
      <c r="E21" t="str">
        <f t="shared" si="40"/>
        <v>VARCHAR</v>
      </c>
      <c r="F21" s="6"/>
      <c r="G21" t="str">
        <f t="shared" si="41"/>
        <v>12</v>
      </c>
      <c r="H21" t="str">
        <f>+VLOOKUP(E21,'Data Type Mapping'!A:B,2,)</f>
        <v>string</v>
      </c>
      <c r="I21" t="str">
        <f t="shared" si="42"/>
        <v xml:space="preserve">		public const int MaxCustomsPortLength = 12;
</v>
      </c>
      <c r="J21" t="str">
        <f t="shared" si="43"/>
        <v xml:space="preserve">		[StringLength(MaxCustomsPortLength)]
		public virtual string CustomsPort { get; set; }
</v>
      </c>
      <c r="K21" s="6"/>
      <c r="L21" t="str">
        <f t="shared" si="44"/>
        <v/>
      </c>
      <c r="M21" t="str">
        <f t="shared" si="45"/>
        <v xml:space="preserve">		public virtual string CustomsPort { get; set; }
</v>
      </c>
      <c r="N21" t="str">
        <f t="shared" si="46"/>
        <v xml:space="preserve">		[StringLength(InvCkdCustomsDeclareConsts.MaxCustomsPortLength)]
		public virtual string CustomsPort { get; set; }
</v>
      </c>
      <c r="O21" t="str">
        <f t="shared" si="47"/>
        <v xml:space="preserve">		public virtual string CustomsPort { get; set; }
</v>
      </c>
      <c r="P21" t="str">
        <f t="shared" si="48"/>
        <v xml:space="preserve">							CustomsPort = o.CustomsPort,</v>
      </c>
      <c r="T21" s="63" t="str">
        <f t="shared" si="49"/>
        <v xml:space="preserve">								("CustomsPort"),</v>
      </c>
      <c r="V21" s="64" t="str">
        <f t="shared" si="50"/>
        <v xml:space="preserve">								_ =&gt; _.CustomsPort,</v>
      </c>
      <c r="W21" s="63" t="str">
        <f t="shared" si="51"/>
        <v xml:space="preserve">				.WhereIf(!string.IsNullOrWhiteSpace(input.CustomsPort), e =&gt; e.CustomsPort.Contains(input.CustomsPort))</v>
      </c>
    </row>
    <row r="22" spans="1:23" customFormat="1" ht="18.75" customHeight="1" x14ac:dyDescent="0.3">
      <c r="A22" t="s">
        <v>381</v>
      </c>
      <c r="B22" t="s">
        <v>382</v>
      </c>
      <c r="C22" t="s">
        <v>1</v>
      </c>
      <c r="D22" t="str">
        <f t="shared" si="39"/>
        <v>TaxNote</v>
      </c>
      <c r="E22" t="str">
        <f t="shared" si="40"/>
        <v>VARCHAR</v>
      </c>
      <c r="F22" s="6"/>
      <c r="G22" t="str">
        <f t="shared" si="41"/>
        <v>500</v>
      </c>
      <c r="H22" t="str">
        <f>+VLOOKUP(E22,'Data Type Mapping'!A:B,2,)</f>
        <v>string</v>
      </c>
      <c r="I22" t="str">
        <f t="shared" si="42"/>
        <v xml:space="preserve">		public const int MaxTaxNoteLength = 500;
</v>
      </c>
      <c r="J22" t="str">
        <f t="shared" si="43"/>
        <v xml:space="preserve">		[StringLength(MaxTaxNoteLength)]
		public virtual string TaxNote { get; set; }
</v>
      </c>
      <c r="K22" s="6"/>
      <c r="L22" t="str">
        <f t="shared" si="44"/>
        <v/>
      </c>
      <c r="M22" t="str">
        <f t="shared" si="45"/>
        <v xml:space="preserve">		public virtual string TaxNote { get; set; }
</v>
      </c>
      <c r="N22" t="str">
        <f t="shared" si="46"/>
        <v xml:space="preserve">		[StringLength(InvCkdCustomsDeclareConsts.MaxTaxNoteLength)]
		public virtual string TaxNote { get; set; }
</v>
      </c>
      <c r="O22" t="str">
        <f t="shared" si="47"/>
        <v xml:space="preserve">		public virtual string TaxNote { get; set; }
</v>
      </c>
      <c r="P22" t="str">
        <f t="shared" si="48"/>
        <v xml:space="preserve">							TaxNote = o.TaxNote,</v>
      </c>
      <c r="T22" s="63" t="str">
        <f t="shared" si="49"/>
        <v xml:space="preserve">								("TaxNote"),</v>
      </c>
      <c r="V22" s="64" t="str">
        <f t="shared" si="50"/>
        <v xml:space="preserve">								_ =&gt; _.TaxNote,</v>
      </c>
      <c r="W22" s="63" t="str">
        <f t="shared" si="51"/>
        <v xml:space="preserve">				.WhereIf(!string.IsNullOrWhiteSpace(input.TaxNote), e =&gt; e.TaxNote.Contains(input.TaxNote))</v>
      </c>
    </row>
    <row r="23" spans="1:23" customFormat="1" ht="18.75" customHeight="1" x14ac:dyDescent="0.3">
      <c r="A23" t="s">
        <v>350</v>
      </c>
      <c r="B23" t="s">
        <v>359</v>
      </c>
      <c r="C23" t="s">
        <v>1</v>
      </c>
      <c r="D23" t="str">
        <f t="shared" si="39"/>
        <v>Status</v>
      </c>
      <c r="E23" t="str">
        <f t="shared" si="40"/>
        <v>VARCHAR</v>
      </c>
      <c r="F23" s="6"/>
      <c r="G23" t="str">
        <f t="shared" si="41"/>
        <v>4</v>
      </c>
      <c r="H23" t="str">
        <f>+VLOOKUP(E23,'Data Type Mapping'!A:B,2,)</f>
        <v>string</v>
      </c>
      <c r="I23" t="str">
        <f t="shared" si="42"/>
        <v xml:space="preserve">		public const int MaxStatusLength = 4;
</v>
      </c>
      <c r="J23" t="str">
        <f t="shared" si="43"/>
        <v xml:space="preserve">		[StringLength(MaxStatusLength)]
		public virtual string Status { get; set; }
</v>
      </c>
      <c r="K23" s="6"/>
      <c r="L23" t="str">
        <f t="shared" si="44"/>
        <v/>
      </c>
      <c r="M23" t="str">
        <f t="shared" si="45"/>
        <v xml:space="preserve">		public virtual string Status { get; set; }
</v>
      </c>
      <c r="N23" t="str">
        <f t="shared" si="46"/>
        <v xml:space="preserve">		[StringLength(InvCkdCustomsDeclareConsts.MaxStatusLength)]
		public virtual string Status { get; set; }
</v>
      </c>
      <c r="O23" t="str">
        <f t="shared" si="47"/>
        <v xml:space="preserve">		public virtual string Status { get; set; }
</v>
      </c>
      <c r="P23" t="str">
        <f t="shared" si="48"/>
        <v xml:space="preserve">							Status = o.Status,</v>
      </c>
      <c r="T23" s="63" t="str">
        <f t="shared" si="49"/>
        <v xml:space="preserve">								("Status"),</v>
      </c>
      <c r="V23" s="64" t="str">
        <f t="shared" si="50"/>
        <v xml:space="preserve">								_ =&gt; _.Status,</v>
      </c>
      <c r="W23" s="63" t="str">
        <f t="shared" si="51"/>
        <v xml:space="preserve">				.WhereIf(!string.IsNullOrWhiteSpace(input.Status), e =&gt; e.Status.Contains(input.Status))</v>
      </c>
    </row>
    <row r="24" spans="1:23" customFormat="1" ht="18.75" customHeight="1" x14ac:dyDescent="0.3">
      <c r="A24" t="s">
        <v>383</v>
      </c>
      <c r="B24" t="s">
        <v>363</v>
      </c>
      <c r="C24" t="s">
        <v>1</v>
      </c>
      <c r="D24" t="str">
        <f t="shared" ref="D24:D38" si="52">SUBSTITUTE(PROPER(A24),"_","")</f>
        <v>InputDate</v>
      </c>
      <c r="E24" t="str">
        <f t="shared" ref="E24:E38" si="53">IFERROR(LEFT(B24, FIND("(",B24)-1),B24)</f>
        <v>DATE</v>
      </c>
      <c r="F24" s="6"/>
      <c r="G24" t="str">
        <f t="shared" ref="G24:G38" si="54">IFERROR(MID(B24,FIND("(",B24) +1, FIND(")",B24) - FIND("(",B24) - 1),"")</f>
        <v/>
      </c>
      <c r="H24" t="str">
        <f>+VLOOKUP(E24,'Data Type Mapping'!A:B,2,)</f>
        <v>DateTime?</v>
      </c>
      <c r="I24" t="str">
        <f t="shared" ref="I24:I38" si="55">IF(H24="string",REPT(CHAR(9),2)&amp;"public const int Max"&amp;D24&amp;"Length = "&amp;G24&amp;";"&amp;$E$3,"" )</f>
        <v/>
      </c>
      <c r="J24" t="str">
        <f t="shared" ref="J24:J38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DateTime? InputDate { get; set; }
</v>
      </c>
      <c r="K24" s="6"/>
      <c r="L24" t="str">
        <f t="shared" ref="L24:L38" si="57">IF(K24="","",REPT(CHAR(9),1)&amp;"[Index(nameof("&amp;IF(D24="","",""&amp;D24)&amp;")"&amp;", Name="&amp;"""IX_"&amp;$B$7&amp;"_"&amp;D24&amp;""")]")</f>
        <v/>
      </c>
      <c r="M24" t="str">
        <f t="shared" ref="M24:M38" si="58">REPT(CHAR(9),2)&amp;"public virtual "&amp;IF(OR(H24="DateTime",H24="TimeSpan"),H24&amp;"?",H24)&amp;IF(C24="?","? "," ")&amp;D24&amp;" { get; set; }" &amp; "
"</f>
        <v xml:space="preserve">		public virtual DateTime? InputDate { get; set; }
</v>
      </c>
      <c r="N24" t="str">
        <f t="shared" ref="N24:N38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DateTime? InputDate { get; set; }
</v>
      </c>
      <c r="O24" t="str">
        <f t="shared" ref="O24:O38" si="60">IF(OR(H24="string",H24="DateTime",H24="int"),REPT(CHAR(9),2)&amp;"public virtual "&amp;IF(OR(H24="DateTime",H24="TimeSpan"),H24&amp;"?",H24)&amp;IF(C24="?","? "," ")&amp;D24&amp;" { get; set; }"&amp;$E$3,"")</f>
        <v/>
      </c>
      <c r="P24" t="str">
        <f t="shared" ref="P24:P38" si="61">REPT(CHAR(9),7)&amp;D24&amp;" = o." &amp;D24 &amp;","</f>
        <v xml:space="preserve">							InputDate = o.InputDate,</v>
      </c>
      <c r="T24" s="63" t="str">
        <f t="shared" ref="T24:T38" si="62">REPT(CHAR(9),8)&amp;"("""&amp;D24&amp;"""),"</f>
        <v xml:space="preserve">								("InputDate"),</v>
      </c>
      <c r="V24" s="64" t="str">
        <f t="shared" ref="V24:V38" si="63">REPT(CHAR(9),8)&amp;"_ =&gt; _."&amp;D24&amp;","</f>
        <v xml:space="preserve">								_ =&gt; _.InputDate,</v>
      </c>
      <c r="W24" s="63" t="str">
        <f t="shared" ref="W24:W38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</row>
    <row r="25" spans="1:23" customFormat="1" ht="18.75" customHeight="1" x14ac:dyDescent="0.3">
      <c r="A25" t="s">
        <v>384</v>
      </c>
      <c r="B25" t="s">
        <v>363</v>
      </c>
      <c r="C25" t="s">
        <v>1</v>
      </c>
      <c r="D25" t="str">
        <f t="shared" si="52"/>
        <v>ActualPaymentDate</v>
      </c>
      <c r="E25" t="str">
        <f t="shared" si="53"/>
        <v>DATE</v>
      </c>
      <c r="F25" s="6"/>
      <c r="G25" t="str">
        <f t="shared" si="54"/>
        <v/>
      </c>
      <c r="H25" t="str">
        <f>+VLOOKUP(E25,'Data Type Mapping'!A:B,2,)</f>
        <v>DateTime?</v>
      </c>
      <c r="I25" t="str">
        <f t="shared" si="55"/>
        <v/>
      </c>
      <c r="J25" t="str">
        <f t="shared" si="56"/>
        <v xml:space="preserve">		public virtual DateTime? ActualPaymentDate { get; set; }
</v>
      </c>
      <c r="K25" s="6"/>
      <c r="L25" t="str">
        <f t="shared" si="57"/>
        <v/>
      </c>
      <c r="M25" t="str">
        <f t="shared" si="58"/>
        <v xml:space="preserve">		public virtual DateTime? ActualPaymentDate { get; set; }
</v>
      </c>
      <c r="N25" t="str">
        <f t="shared" si="59"/>
        <v xml:space="preserve">		public virtual DateTime? ActualPaymentDate { get; set; }
</v>
      </c>
      <c r="O25" t="str">
        <f t="shared" si="60"/>
        <v/>
      </c>
      <c r="P25" t="str">
        <f t="shared" si="61"/>
        <v xml:space="preserve">							ActualPaymentDate = o.ActualPaymentDate,</v>
      </c>
      <c r="T25" s="63" t="str">
        <f t="shared" si="62"/>
        <v xml:space="preserve">								("ActualPaymentDate"),</v>
      </c>
      <c r="V25" s="64" t="str">
        <f t="shared" si="63"/>
        <v xml:space="preserve">								_ =&gt; _.ActualPaymentDate,</v>
      </c>
      <c r="W25" s="63" t="str">
        <f t="shared" si="64"/>
        <v/>
      </c>
    </row>
    <row r="26" spans="1:23" customFormat="1" ht="18.75" customHeight="1" x14ac:dyDescent="0.3">
      <c r="A26" t="s">
        <v>385</v>
      </c>
      <c r="B26" t="s">
        <v>364</v>
      </c>
      <c r="C26" t="s">
        <v>1</v>
      </c>
      <c r="D26" t="str">
        <f t="shared" si="52"/>
        <v>OrdertypeCode</v>
      </c>
      <c r="E26" t="str">
        <f t="shared" si="53"/>
        <v>VARCHAR</v>
      </c>
      <c r="F26" s="6"/>
      <c r="G26" t="str">
        <f t="shared" si="54"/>
        <v>2</v>
      </c>
      <c r="H26" t="str">
        <f>+VLOOKUP(E26,'Data Type Mapping'!A:B,2,)</f>
        <v>string</v>
      </c>
      <c r="I26" t="str">
        <f t="shared" si="55"/>
        <v xml:space="preserve">		public const int MaxOrdertypeCodeLength = 2;
</v>
      </c>
      <c r="J26" t="str">
        <f t="shared" si="56"/>
        <v xml:space="preserve">		[StringLength(MaxOrdertypeCodeLength)]
		public virtual string OrdertypeCode { get; set; }
</v>
      </c>
      <c r="K26" s="6"/>
      <c r="L26" t="str">
        <f t="shared" si="57"/>
        <v/>
      </c>
      <c r="M26" t="str">
        <f t="shared" si="58"/>
        <v xml:space="preserve">		public virtual string OrdertypeCode { get; set; }
</v>
      </c>
      <c r="N26" t="str">
        <f t="shared" si="59"/>
        <v xml:space="preserve">		[StringLength(InvCkdCustomsDeclareConsts.MaxOrdertypeCodeLength)]
		public virtual string OrdertypeCode { get; set; }
</v>
      </c>
      <c r="O26" t="str">
        <f t="shared" si="60"/>
        <v xml:space="preserve">		public virtual string OrdertypeCode { get; set; }
</v>
      </c>
      <c r="P26" t="str">
        <f t="shared" si="61"/>
        <v xml:space="preserve">							OrdertypeCode = o.OrdertypeCode,</v>
      </c>
      <c r="T26" s="63" t="str">
        <f t="shared" si="62"/>
        <v xml:space="preserve">								("OrdertypeCode"),</v>
      </c>
      <c r="V26" s="64" t="str">
        <f t="shared" si="63"/>
        <v xml:space="preserve">								_ =&gt; _.OrdertypeCode,</v>
      </c>
      <c r="W26" s="63" t="str">
        <f t="shared" si="64"/>
        <v xml:space="preserve">				.WhereIf(!string.IsNullOrWhiteSpace(input.OrdertypeCode), e =&gt; e.OrdertypeCode.Contains(input.OrdertypeCode))</v>
      </c>
    </row>
    <row r="27" spans="1:23" customFormat="1" ht="18.75" customHeight="1" x14ac:dyDescent="0.3">
      <c r="A27" t="s">
        <v>386</v>
      </c>
      <c r="B27" t="s">
        <v>387</v>
      </c>
      <c r="C27" t="s">
        <v>1</v>
      </c>
      <c r="D27" t="str">
        <f t="shared" si="52"/>
        <v>CompleteTax</v>
      </c>
      <c r="E27" t="str">
        <f t="shared" si="53"/>
        <v>DECIMAL</v>
      </c>
      <c r="F27" s="6"/>
      <c r="G27" t="str">
        <f t="shared" si="54"/>
        <v>18,0</v>
      </c>
      <c r="H27" t="str">
        <f>+VLOOKUP(E27,'Data Type Mapping'!A:B,2,)</f>
        <v>decimal?</v>
      </c>
      <c r="I27" t="str">
        <f t="shared" si="55"/>
        <v/>
      </c>
      <c r="J27" t="str">
        <f t="shared" si="56"/>
        <v xml:space="preserve">		public virtual decimal? CompleteTax { get; set; }
</v>
      </c>
      <c r="K27" s="6"/>
      <c r="L27" t="str">
        <f t="shared" si="57"/>
        <v/>
      </c>
      <c r="M27" t="str">
        <f t="shared" si="58"/>
        <v xml:space="preserve">		public virtual decimal? CompleteTax { get; set; }
</v>
      </c>
      <c r="N27" t="str">
        <f t="shared" si="59"/>
        <v xml:space="preserve">		public virtual decimal? CompleteTax { get; set; }
</v>
      </c>
      <c r="O27" t="str">
        <f t="shared" si="60"/>
        <v/>
      </c>
      <c r="P27" t="str">
        <f t="shared" si="61"/>
        <v xml:space="preserve">							CompleteTax = o.CompleteTax,</v>
      </c>
      <c r="T27" s="63" t="str">
        <f t="shared" si="62"/>
        <v xml:space="preserve">								("CompleteTax"),</v>
      </c>
      <c r="V27" s="64" t="str">
        <f t="shared" si="63"/>
        <v xml:space="preserve">								_ =&gt; _.CompleteTax,</v>
      </c>
      <c r="W27" s="63" t="str">
        <f t="shared" si="64"/>
        <v/>
      </c>
    </row>
    <row r="28" spans="1:23" customFormat="1" ht="18.75" customHeight="1" x14ac:dyDescent="0.3">
      <c r="A28" t="s">
        <v>388</v>
      </c>
      <c r="B28" t="s">
        <v>387</v>
      </c>
      <c r="C28" t="s">
        <v>1</v>
      </c>
      <c r="D28" t="str">
        <f t="shared" si="52"/>
        <v>CompleteVat</v>
      </c>
      <c r="E28" t="str">
        <f t="shared" si="53"/>
        <v>DECIMAL</v>
      </c>
      <c r="F28" s="6"/>
      <c r="G28" t="str">
        <f t="shared" si="54"/>
        <v>18,0</v>
      </c>
      <c r="H28" t="str">
        <f>+VLOOKUP(E28,'Data Type Mapping'!A:B,2,)</f>
        <v>decimal?</v>
      </c>
      <c r="I28" t="str">
        <f t="shared" si="55"/>
        <v/>
      </c>
      <c r="J28" t="str">
        <f t="shared" si="56"/>
        <v xml:space="preserve">		public virtual decimal? CompleteVat { get; set; }
</v>
      </c>
      <c r="K28" s="6"/>
      <c r="L28" t="str">
        <f t="shared" si="57"/>
        <v/>
      </c>
      <c r="M28" t="str">
        <f t="shared" si="58"/>
        <v xml:space="preserve">		public virtual decimal? CompleteVat { get; set; }
</v>
      </c>
      <c r="N28" t="str">
        <f t="shared" si="59"/>
        <v xml:space="preserve">		public virtual decimal? CompleteVat { get; set; }
</v>
      </c>
      <c r="O28" t="str">
        <f t="shared" si="60"/>
        <v/>
      </c>
      <c r="P28" t="str">
        <f t="shared" si="61"/>
        <v xml:space="preserve">							CompleteVat = o.CompleteVat,</v>
      </c>
      <c r="T28" s="63" t="str">
        <f t="shared" si="62"/>
        <v xml:space="preserve">								("CompleteVat"),</v>
      </c>
      <c r="V28" s="64" t="str">
        <f t="shared" si="63"/>
        <v xml:space="preserve">								_ =&gt; _.CompleteVat,</v>
      </c>
      <c r="W28" s="63" t="str">
        <f t="shared" si="64"/>
        <v/>
      </c>
    </row>
    <row r="29" spans="1:23" customFormat="1" ht="18.75" customHeight="1" x14ac:dyDescent="0.3">
      <c r="A29" t="s">
        <v>389</v>
      </c>
      <c r="B29" t="s">
        <v>358</v>
      </c>
      <c r="C29" t="s">
        <v>1</v>
      </c>
      <c r="D29" t="str">
        <f t="shared" si="52"/>
        <v>Forwarder</v>
      </c>
      <c r="E29" t="str">
        <f t="shared" si="53"/>
        <v>VARCHAR</v>
      </c>
      <c r="F29" s="6"/>
      <c r="G29" t="str">
        <f t="shared" si="54"/>
        <v>10</v>
      </c>
      <c r="H29" t="str">
        <f>+VLOOKUP(E29,'Data Type Mapping'!A:B,2,)</f>
        <v>string</v>
      </c>
      <c r="I29" t="str">
        <f t="shared" si="55"/>
        <v xml:space="preserve">		public const int MaxForwarderLength = 10;
</v>
      </c>
      <c r="J29" t="str">
        <f t="shared" si="56"/>
        <v xml:space="preserve">		[StringLength(MaxForwarderLength)]
		public virtual string Forwarder { get; set; }
</v>
      </c>
      <c r="K29" s="6"/>
      <c r="L29" t="str">
        <f t="shared" si="57"/>
        <v/>
      </c>
      <c r="M29" t="str">
        <f t="shared" si="58"/>
        <v xml:space="preserve">		public virtual string Forwarder { get; set; }
</v>
      </c>
      <c r="N29" t="str">
        <f t="shared" si="59"/>
        <v xml:space="preserve">		[StringLength(InvCkdCustomsDeclareConsts.MaxForwarderLength)]
		public virtual string Forwarder { get; set; }
</v>
      </c>
      <c r="O29" t="str">
        <f t="shared" si="60"/>
        <v xml:space="preserve">		public virtual string Forwarder { get; set; }
</v>
      </c>
      <c r="P29" t="str">
        <f t="shared" si="61"/>
        <v xml:space="preserve">							Forwarder = o.Forwarder,</v>
      </c>
      <c r="T29" s="63" t="str">
        <f t="shared" si="62"/>
        <v xml:space="preserve">								("Forwarder"),</v>
      </c>
      <c r="V29" s="64" t="str">
        <f t="shared" si="63"/>
        <v xml:space="preserve">								_ =&gt; _.Forwarder,</v>
      </c>
      <c r="W29" s="63" t="str">
        <f t="shared" si="64"/>
        <v xml:space="preserve">				.WhereIf(!string.IsNullOrWhiteSpace(input.Forwarder), e =&gt; e.Forwarder.Contains(input.Forwarder))</v>
      </c>
    </row>
    <row r="30" spans="1:23" customFormat="1" ht="18.75" customHeight="1" x14ac:dyDescent="0.3">
      <c r="A30" t="s">
        <v>390</v>
      </c>
      <c r="B30" t="s">
        <v>357</v>
      </c>
      <c r="C30" t="s">
        <v>1</v>
      </c>
      <c r="D30" t="str">
        <f t="shared" si="52"/>
        <v>BusinessType</v>
      </c>
      <c r="E30" t="str">
        <f t="shared" si="53"/>
        <v>VARCHAR</v>
      </c>
      <c r="F30" s="6"/>
      <c r="G30" t="str">
        <f t="shared" si="54"/>
        <v>12</v>
      </c>
      <c r="H30" t="str">
        <f>+VLOOKUP(E30,'Data Type Mapping'!A:B,2,)</f>
        <v>string</v>
      </c>
      <c r="I30" t="str">
        <f t="shared" si="55"/>
        <v xml:space="preserve">		public const int MaxBusinessTypeLength = 12;
</v>
      </c>
      <c r="J30" t="str">
        <f t="shared" si="56"/>
        <v xml:space="preserve">		[StringLength(MaxBusinessTypeLength)]
		public virtual string BusinessType { get; set; }
</v>
      </c>
      <c r="K30" s="6"/>
      <c r="L30" t="str">
        <f t="shared" si="57"/>
        <v/>
      </c>
      <c r="M30" t="str">
        <f t="shared" si="58"/>
        <v xml:space="preserve">		public virtual string BusinessType { get; set; }
</v>
      </c>
      <c r="N30" t="str">
        <f t="shared" si="59"/>
        <v xml:space="preserve">		[StringLength(InvCkdCustomsDeclareConsts.MaxBusinessTypeLength)]
		public virtual string BusinessType { get; set; }
</v>
      </c>
      <c r="O30" t="str">
        <f t="shared" si="60"/>
        <v xml:space="preserve">		public virtual string BusinessType { get; set; }
</v>
      </c>
      <c r="P30" t="str">
        <f t="shared" si="61"/>
        <v xml:space="preserve">							BusinessType = o.BusinessType,</v>
      </c>
      <c r="T30" s="63" t="str">
        <f t="shared" si="62"/>
        <v xml:space="preserve">								("BusinessType"),</v>
      </c>
      <c r="V30" s="64" t="str">
        <f t="shared" si="63"/>
        <v xml:space="preserve">								_ =&gt; _.BusinessType,</v>
      </c>
      <c r="W30" s="63" t="str">
        <f t="shared" si="64"/>
        <v xml:space="preserve">				.WhereIf(!string.IsNullOrWhiteSpace(input.BusinessType), e =&gt; e.BusinessType.Contains(input.BusinessType))</v>
      </c>
    </row>
    <row r="31" spans="1:23" customFormat="1" ht="18.75" customHeight="1" x14ac:dyDescent="0.3">
      <c r="A31" t="s">
        <v>391</v>
      </c>
      <c r="B31" t="s">
        <v>4</v>
      </c>
      <c r="C31" t="s">
        <v>1</v>
      </c>
      <c r="D31" t="str">
        <f t="shared" si="52"/>
        <v>NoPerGroup</v>
      </c>
      <c r="E31" t="str">
        <f t="shared" si="53"/>
        <v>int</v>
      </c>
      <c r="F31" s="6"/>
      <c r="G31" t="str">
        <f t="shared" si="54"/>
        <v/>
      </c>
      <c r="H31" t="str">
        <f>+VLOOKUP(E31,'Data Type Mapping'!A:B,2,)</f>
        <v>int?</v>
      </c>
      <c r="I31" t="str">
        <f t="shared" si="55"/>
        <v/>
      </c>
      <c r="J31" t="str">
        <f t="shared" si="56"/>
        <v xml:space="preserve">		public virtual int? NoPerGroup { get; set; }
</v>
      </c>
      <c r="K31" s="6"/>
      <c r="L31" t="str">
        <f t="shared" si="57"/>
        <v/>
      </c>
      <c r="M31" t="str">
        <f t="shared" si="58"/>
        <v xml:space="preserve">		public virtual int? NoPerGroup { get; set; }
</v>
      </c>
      <c r="N31" t="str">
        <f t="shared" si="59"/>
        <v xml:space="preserve">		public virtual int? NoPerGroup { get; set; }
</v>
      </c>
      <c r="O31" t="str">
        <f t="shared" si="60"/>
        <v/>
      </c>
      <c r="P31" t="str">
        <f t="shared" si="61"/>
        <v xml:space="preserve">							NoPerGroup = o.NoPerGroup,</v>
      </c>
      <c r="T31" s="63" t="str">
        <f t="shared" si="62"/>
        <v xml:space="preserve">								("NoPerGroup"),</v>
      </c>
      <c r="V31" s="64" t="str">
        <f t="shared" si="63"/>
        <v xml:space="preserve">								_ =&gt; _.NoPerGroup,</v>
      </c>
      <c r="W31" s="63" t="str">
        <f t="shared" si="64"/>
        <v/>
      </c>
    </row>
    <row r="32" spans="1:23" customFormat="1" ht="18.75" customHeight="1" x14ac:dyDescent="0.3">
      <c r="A32" t="s">
        <v>392</v>
      </c>
      <c r="B32" t="s">
        <v>4</v>
      </c>
      <c r="C32" t="s">
        <v>1</v>
      </c>
      <c r="D32" t="str">
        <f t="shared" si="52"/>
        <v>NumOfGroup</v>
      </c>
      <c r="E32" t="str">
        <f t="shared" si="53"/>
        <v>int</v>
      </c>
      <c r="F32" s="6"/>
      <c r="G32" t="str">
        <f t="shared" si="54"/>
        <v/>
      </c>
      <c r="H32" t="str">
        <f>+VLOOKUP(E32,'Data Type Mapping'!A:B,2,)</f>
        <v>int?</v>
      </c>
      <c r="I32" t="str">
        <f t="shared" si="55"/>
        <v/>
      </c>
      <c r="J32" t="str">
        <f t="shared" si="56"/>
        <v xml:space="preserve">		public virtual int? NumOfGroup { get; set; }
</v>
      </c>
      <c r="K32" s="6"/>
      <c r="L32" t="str">
        <f t="shared" si="57"/>
        <v/>
      </c>
      <c r="M32" t="str">
        <f t="shared" si="58"/>
        <v xml:space="preserve">		public virtual int? NumOfGroup { get; set; }
</v>
      </c>
      <c r="N32" t="str">
        <f t="shared" si="59"/>
        <v xml:space="preserve">		public virtual int? NumOfGroup { get; set; }
</v>
      </c>
      <c r="O32" t="str">
        <f t="shared" si="60"/>
        <v/>
      </c>
      <c r="P32" t="str">
        <f t="shared" si="61"/>
        <v xml:space="preserve">							NumOfGroup = o.NumOfGroup,</v>
      </c>
      <c r="T32" s="63" t="str">
        <f t="shared" si="62"/>
        <v xml:space="preserve">								("NumOfGroup"),</v>
      </c>
      <c r="V32" s="64" t="str">
        <f t="shared" si="63"/>
        <v xml:space="preserve">								_ =&gt; _.NumOfGroup,</v>
      </c>
      <c r="W32" s="63" t="str">
        <f t="shared" si="64"/>
        <v/>
      </c>
    </row>
    <row r="33" spans="1:23" customFormat="1" ht="18.75" customHeight="1" x14ac:dyDescent="0.3">
      <c r="A33" t="s">
        <v>393</v>
      </c>
      <c r="B33" t="s">
        <v>4</v>
      </c>
      <c r="C33" t="s">
        <v>1</v>
      </c>
      <c r="D33" t="str">
        <f t="shared" si="52"/>
        <v>Isvnaccs</v>
      </c>
      <c r="E33" t="str">
        <f t="shared" si="53"/>
        <v>int</v>
      </c>
      <c r="F33" s="6"/>
      <c r="G33" t="str">
        <f t="shared" si="54"/>
        <v/>
      </c>
      <c r="H33" t="str">
        <f>+VLOOKUP(E33,'Data Type Mapping'!A:B,2,)</f>
        <v>int?</v>
      </c>
      <c r="I33" t="str">
        <f t="shared" si="55"/>
        <v/>
      </c>
      <c r="J33" t="str">
        <f t="shared" si="56"/>
        <v xml:space="preserve">		public virtual int? Isvnaccs { get; set; }
</v>
      </c>
      <c r="K33" s="6"/>
      <c r="L33" t="str">
        <f t="shared" si="57"/>
        <v/>
      </c>
      <c r="M33" t="str">
        <f t="shared" si="58"/>
        <v xml:space="preserve">		public virtual int? Isvnaccs { get; set; }
</v>
      </c>
      <c r="N33" t="str">
        <f t="shared" si="59"/>
        <v xml:space="preserve">		public virtual int? Isvnaccs { get; set; }
</v>
      </c>
      <c r="O33" t="str">
        <f t="shared" si="60"/>
        <v/>
      </c>
      <c r="P33" t="str">
        <f t="shared" si="61"/>
        <v xml:space="preserve">							Isvnaccs = o.Isvnaccs,</v>
      </c>
      <c r="T33" s="63" t="str">
        <f t="shared" si="62"/>
        <v xml:space="preserve">								("Isvnaccs"),</v>
      </c>
      <c r="V33" s="64" t="str">
        <f t="shared" si="63"/>
        <v xml:space="preserve">								_ =&gt; _.Isvnaccs,</v>
      </c>
      <c r="W33" s="63" t="str">
        <f t="shared" si="64"/>
        <v/>
      </c>
    </row>
    <row r="34" spans="1:23" customFormat="1" ht="18.75" customHeight="1" x14ac:dyDescent="0.3">
      <c r="A34" t="s">
        <v>394</v>
      </c>
      <c r="B34" t="s">
        <v>4</v>
      </c>
      <c r="C34" t="s">
        <v>1</v>
      </c>
      <c r="D34" t="str">
        <f t="shared" si="52"/>
        <v>StatusCo</v>
      </c>
      <c r="E34" t="str">
        <f t="shared" si="53"/>
        <v>int</v>
      </c>
      <c r="F34" s="6"/>
      <c r="G34" t="str">
        <f t="shared" si="54"/>
        <v/>
      </c>
      <c r="H34" t="str">
        <f>+VLOOKUP(E34,'Data Type Mapping'!A:B,2,)</f>
        <v>int?</v>
      </c>
      <c r="I34" t="str">
        <f t="shared" si="55"/>
        <v/>
      </c>
      <c r="J34" t="str">
        <f t="shared" si="56"/>
        <v xml:space="preserve">		public virtual int? StatusCo { get; set; }
</v>
      </c>
      <c r="K34" s="6"/>
      <c r="L34" t="str">
        <f t="shared" si="57"/>
        <v/>
      </c>
      <c r="M34" t="str">
        <f t="shared" si="58"/>
        <v xml:space="preserve">		public virtual int? StatusCo { get; set; }
</v>
      </c>
      <c r="N34" t="str">
        <f t="shared" si="59"/>
        <v xml:space="preserve">		public virtual int? StatusCo { get; set; }
</v>
      </c>
      <c r="O34" t="str">
        <f t="shared" si="60"/>
        <v/>
      </c>
      <c r="P34" t="str">
        <f t="shared" si="61"/>
        <v xml:space="preserve">							StatusCo = o.StatusCo,</v>
      </c>
      <c r="T34" s="63" t="str">
        <f t="shared" si="62"/>
        <v xml:space="preserve">								("StatusCo"),</v>
      </c>
      <c r="V34" s="64" t="str">
        <f t="shared" si="63"/>
        <v xml:space="preserve">								_ =&gt; _.StatusCo,</v>
      </c>
      <c r="W34" s="63" t="str">
        <f t="shared" si="64"/>
        <v/>
      </c>
    </row>
    <row r="35" spans="1:23" customFormat="1" ht="18.75" customHeight="1" x14ac:dyDescent="0.3">
      <c r="A35" t="s">
        <v>395</v>
      </c>
      <c r="B35" t="s">
        <v>4</v>
      </c>
      <c r="C35" t="s">
        <v>1</v>
      </c>
      <c r="D35" t="str">
        <f t="shared" si="52"/>
        <v>IsFromEcus</v>
      </c>
      <c r="E35" t="str">
        <f t="shared" si="53"/>
        <v>int</v>
      </c>
      <c r="F35" s="6"/>
      <c r="G35" t="str">
        <f t="shared" si="54"/>
        <v/>
      </c>
      <c r="H35" t="str">
        <f>+VLOOKUP(E35,'Data Type Mapping'!A:B,2,)</f>
        <v>int?</v>
      </c>
      <c r="I35" t="str">
        <f t="shared" si="55"/>
        <v/>
      </c>
      <c r="J35" t="str">
        <f t="shared" si="56"/>
        <v xml:space="preserve">		public virtual int? IsFromEcus { get; set; }
</v>
      </c>
      <c r="K35" s="6"/>
      <c r="L35" t="str">
        <f t="shared" si="57"/>
        <v/>
      </c>
      <c r="M35" t="str">
        <f t="shared" si="58"/>
        <v xml:space="preserve">		public virtual int? IsFromEcus { get; set; }
</v>
      </c>
      <c r="N35" t="str">
        <f t="shared" si="59"/>
        <v xml:space="preserve">		public virtual int? IsFromEcus { get; set; }
</v>
      </c>
      <c r="O35" t="str">
        <f t="shared" si="60"/>
        <v/>
      </c>
      <c r="P35" t="str">
        <f t="shared" si="61"/>
        <v xml:space="preserve">							IsFromEcus = o.IsFromEcus,</v>
      </c>
      <c r="T35" s="63" t="str">
        <f t="shared" si="62"/>
        <v xml:space="preserve">								("IsFromEcus"),</v>
      </c>
      <c r="V35" s="64" t="str">
        <f t="shared" si="63"/>
        <v xml:space="preserve">								_ =&gt; _.IsFromEcus,</v>
      </c>
      <c r="W35" s="63" t="str">
        <f t="shared" si="64"/>
        <v/>
      </c>
    </row>
    <row r="36" spans="1:23" customFormat="1" ht="18.75" customHeight="1" x14ac:dyDescent="0.3">
      <c r="A36" t="s">
        <v>366</v>
      </c>
      <c r="B36" t="s">
        <v>358</v>
      </c>
      <c r="C36" t="s">
        <v>1</v>
      </c>
      <c r="D36" t="str">
        <f t="shared" si="52"/>
        <v>DeclareType</v>
      </c>
      <c r="E36" t="str">
        <f t="shared" si="53"/>
        <v>VARCHAR</v>
      </c>
      <c r="F36" s="6"/>
      <c r="G36" t="str">
        <f t="shared" si="54"/>
        <v>10</v>
      </c>
      <c r="H36" t="str">
        <f>+VLOOKUP(E36,'Data Type Mapping'!A:B,2,)</f>
        <v>string</v>
      </c>
      <c r="I36" t="str">
        <f t="shared" si="55"/>
        <v xml:space="preserve">		public const int MaxDeclareTypeLength = 10;
</v>
      </c>
      <c r="J36" t="str">
        <f t="shared" si="56"/>
        <v xml:space="preserve">		[StringLength(MaxDeclareTypeLength)]
		public virtual string DeclareType { get; set; }
</v>
      </c>
      <c r="K36" s="6"/>
      <c r="L36" t="str">
        <f t="shared" si="57"/>
        <v/>
      </c>
      <c r="M36" t="str">
        <f t="shared" si="58"/>
        <v xml:space="preserve">		public virtual string DeclareType { get; set; }
</v>
      </c>
      <c r="N36" t="str">
        <f t="shared" si="59"/>
        <v xml:space="preserve">		[StringLength(InvCkdCustomsDeclareConsts.MaxDeclareTypeLength)]
		public virtual string DeclareType { get; set; }
</v>
      </c>
      <c r="O36" t="str">
        <f t="shared" si="60"/>
        <v xml:space="preserve">		public virtual string DeclareType { get; set; }
</v>
      </c>
      <c r="P36" t="str">
        <f t="shared" si="61"/>
        <v xml:space="preserve">							DeclareType = o.DeclareType,</v>
      </c>
      <c r="T36" s="63" t="str">
        <f t="shared" si="62"/>
        <v xml:space="preserve">								("DeclareType"),</v>
      </c>
      <c r="V36" s="64" t="str">
        <f t="shared" si="63"/>
        <v xml:space="preserve">								_ =&gt; _.DeclareType,</v>
      </c>
      <c r="W36" s="63" t="str">
        <f t="shared" si="64"/>
        <v xml:space="preserve">				.WhereIf(!string.IsNullOrWhiteSpace(input.DeclareType), e =&gt; e.DeclareType.Contains(input.DeclareType))</v>
      </c>
    </row>
    <row r="37" spans="1:23" customFormat="1" ht="18.75" customHeight="1" x14ac:dyDescent="0.3">
      <c r="A37" t="s">
        <v>399</v>
      </c>
      <c r="B37" t="s">
        <v>400</v>
      </c>
      <c r="C37" t="s">
        <v>1</v>
      </c>
      <c r="D37" t="str">
        <f t="shared" ref="D37" si="65">SUBSTITUTE(PROPER(A37),"_","")</f>
        <v>CreatedDate</v>
      </c>
      <c r="E37" t="str">
        <f t="shared" ref="E37" si="66">IFERROR(LEFT(B37, FIND("(",B37)-1),B37)</f>
        <v>DateTime2</v>
      </c>
      <c r="F37" s="6"/>
      <c r="G37" t="str">
        <f t="shared" ref="G37" si="67">IFERROR(MID(B37,FIND("(",B37) +1, FIND(")",B37) - FIND("(",B37) - 1),"")</f>
        <v/>
      </c>
      <c r="H37" t="str">
        <f>+VLOOKUP(E37,'Data Type Mapping'!A:B,2,)</f>
        <v>DateTime?</v>
      </c>
      <c r="I37" t="str">
        <f t="shared" ref="I37" si="68">IF(H37="string",REPT(CHAR(9),2)&amp;"public const int Max"&amp;D37&amp;"Length = "&amp;G37&amp;";"&amp;$E$3,"" )</f>
        <v/>
      </c>
      <c r="J37" t="str">
        <f t="shared" ref="J37" si="69">IF(F37="","",REPT(CHAR(9),2)&amp;"[Column(TypeName="""&amp;F37&amp;""")]"&amp;$E$3)&amp;IF(C37="Checked","",$I$3)&amp;IF(H37="string",REPT(CHAR(9),2)&amp;"[StringLength(Max"&amp;D37&amp;"Length"&amp;")]"&amp;$E$3,"")&amp;REPT(CHAR(9),2)&amp;"public virtual "&amp;H37&amp;IF(C37="?","? "," ")&amp;D37&amp;" { get; set; }" &amp; "
"</f>
        <v xml:space="preserve">		public virtual DateTime? CreatedDate { get; set; }
</v>
      </c>
      <c r="K37" s="6"/>
      <c r="L37" t="str">
        <f t="shared" ref="L37" si="70">IF(K37="","",REPT(CHAR(9),1)&amp;"[Index(nameof("&amp;IF(D37="","",""&amp;D37)&amp;")"&amp;", Name="&amp;"""IX_"&amp;$B$7&amp;"_"&amp;D37&amp;""")]")</f>
        <v/>
      </c>
      <c r="M37" t="str">
        <f t="shared" ref="M37" si="71">REPT(CHAR(9),2)&amp;"public virtual "&amp;IF(OR(H37="DateTime",H37="TimeSpan"),H37&amp;"?",H37)&amp;IF(C37="?","? "," ")&amp;D37&amp;" { get; set; }" &amp; "
"</f>
        <v xml:space="preserve">		public virtual DateTime? CreatedDate { get; set; }
</v>
      </c>
      <c r="N37" t="str">
        <f t="shared" ref="N37" si="72">IF(C37="Checked","",$I$3)&amp;IF(H37="string",REPT(CHAR(9),2)&amp;"[StringLength("&amp;$B$3&amp;"Consts.Max"&amp;D37&amp;"Length"&amp;")]"&amp;$E$3,"")&amp;REPT(CHAR(9),2)&amp;"public virtual "&amp;IF(OR(H37="DateTime",H37="TimeSpan"),H37&amp;"?",H37)&amp;IF(C37="?","? "," ")&amp;D37&amp;" { get; set; }" &amp; "
"</f>
        <v xml:space="preserve">		public virtual DateTime? CreatedDate { get; set; }
</v>
      </c>
      <c r="O37" t="str">
        <f t="shared" ref="O37" si="73">IF(OR(H37="string",H37="DateTime",H37="int"),REPT(CHAR(9),2)&amp;"public virtual "&amp;IF(OR(H37="DateTime",H37="TimeSpan"),H37&amp;"?",H37)&amp;IF(C37="?","? "," ")&amp;D37&amp;" { get; set; }"&amp;$E$3,"")</f>
        <v/>
      </c>
      <c r="P37" t="str">
        <f t="shared" ref="P37" si="74">REPT(CHAR(9),7)&amp;D37&amp;" = o." &amp;D37 &amp;","</f>
        <v xml:space="preserve">							CreatedDate = o.CreatedDate,</v>
      </c>
      <c r="T37" s="63" t="str">
        <f t="shared" ref="T37" si="75">REPT(CHAR(9),8)&amp;"("""&amp;D37&amp;"""),"</f>
        <v xml:space="preserve">								("CreatedDate"),</v>
      </c>
      <c r="V37" s="64" t="str">
        <f t="shared" ref="V37" si="76">REPT(CHAR(9),8)&amp;"_ =&gt; _."&amp;D37&amp;","</f>
        <v xml:space="preserve">								_ =&gt; _.CreatedDate,</v>
      </c>
      <c r="W37" s="63" t="str">
        <f t="shared" ref="W37" si="77">IF(H37="string",REPT(CHAR(9),4)&amp;".WhereIf(!string.IsNullOrWhiteSpace(input."&amp;D37&amp;"), e =&gt; e."&amp;D37&amp;".Contains(input."&amp;D37&amp;"))",IF(H37="DateTime",REPT(CHAR(9),4)&amp;".WhereIf(input."&amp;D37&amp;".HasValue, t =&gt; t."&amp;D37&amp;" == input."&amp;D37&amp;".Value)",""))</f>
        <v/>
      </c>
    </row>
    <row r="38" spans="1:23" customFormat="1" ht="18.75" customHeight="1" x14ac:dyDescent="0.3">
      <c r="A38" t="s">
        <v>319</v>
      </c>
      <c r="B38" t="s">
        <v>367</v>
      </c>
      <c r="C38" t="s">
        <v>1</v>
      </c>
      <c r="D38" t="str">
        <f t="shared" si="52"/>
        <v>IsActive</v>
      </c>
      <c r="E38" t="str">
        <f t="shared" si="53"/>
        <v>VARCHAR</v>
      </c>
      <c r="F38" s="6"/>
      <c r="G38" t="str">
        <f t="shared" si="54"/>
        <v>1</v>
      </c>
      <c r="H38" t="str">
        <f>+VLOOKUP(E38,'Data Type Mapping'!A:B,2,)</f>
        <v>string</v>
      </c>
      <c r="I38" t="str">
        <f t="shared" si="55"/>
        <v xml:space="preserve">		public const int MaxIsActiveLength = 1;
</v>
      </c>
      <c r="J38" t="str">
        <f t="shared" si="56"/>
        <v xml:space="preserve">		[StringLength(MaxIsActiveLength)]
		public virtual string IsActive { get; set; }
</v>
      </c>
      <c r="K38" s="6"/>
      <c r="L38" t="str">
        <f t="shared" si="57"/>
        <v/>
      </c>
      <c r="M38" t="str">
        <f t="shared" si="58"/>
        <v xml:space="preserve">		public virtual string IsActive { get; set; }
</v>
      </c>
      <c r="N38" t="str">
        <f t="shared" si="59"/>
        <v xml:space="preserve">		[StringLength(InvCkdCustomsDeclareConsts.MaxIsActiveLength)]
		public virtual string IsActive { get; set; }
</v>
      </c>
      <c r="O38" t="str">
        <f t="shared" si="60"/>
        <v xml:space="preserve">		public virtual string IsActive { get; set; }
</v>
      </c>
      <c r="P38" t="str">
        <f t="shared" si="61"/>
        <v xml:space="preserve">							IsActive = o.IsActive,</v>
      </c>
      <c r="T38" s="63" t="str">
        <f t="shared" si="62"/>
        <v xml:space="preserve">								("IsActive"),</v>
      </c>
      <c r="V38" s="64" t="str">
        <f t="shared" si="63"/>
        <v xml:space="preserve">								_ =&gt; _.IsActive,</v>
      </c>
      <c r="W38" s="63" t="str">
        <f t="shared" si="64"/>
        <v xml:space="preserve">				.WhereIf(!string.IsNullOrWhiteSpace(input.IsActive), e =&gt; e.IsActive.Contains(input.IsActive))</v>
      </c>
    </row>
    <row r="40" spans="1:23" ht="45.75" customHeight="1" x14ac:dyDescent="0.3">
      <c r="H40" s="11"/>
      <c r="I40" s="31" t="e">
        <f ca="1">TEXTJOIN2("
", TRUE,INDIRECT( $H$1):INDIRECT( $H$3))</f>
        <v>#NAME?</v>
      </c>
      <c r="J40" s="30" t="e">
        <f ca="1">TEXTJOIN2("
", TRUE,INDIRECT( $F$1):INDIRECT( $F$3))</f>
        <v>#NAME?</v>
      </c>
      <c r="K40" s="32" t="e">
        <f ca="1">TEXTJOIN2("
", TRUE,INDIRECT( $J$1):INDIRECT( $J$3))</f>
        <v>#NAME?</v>
      </c>
      <c r="L40" s="12" t="s">
        <v>57</v>
      </c>
      <c r="M40" s="33" t="e">
        <f ca="1">TEXTJOIN2("
",TRUE,INDIRECT( $L$1):INDIRECT($L$3))</f>
        <v>#NAME?</v>
      </c>
      <c r="N40" s="30" t="e">
        <f ca="1">TEXTJOIN2("
",TRUE,INDIRECT( $M$1):INDIRECT($M$3))</f>
        <v>#NAME?</v>
      </c>
      <c r="O40" s="30" t="e">
        <f ca="1">TEXTJOIN2("
",TRUE,INDIRECT( $N$1):INDIRECT($N$3))</f>
        <v>#NAME?</v>
      </c>
      <c r="P40" s="8" t="e">
        <f ca="1">TEXTJOIN2("
",TRUE,INDIRECT( $O$1):INDIRECT($O$3))</f>
        <v>#NAME?</v>
      </c>
      <c r="T40" s="8" t="e">
        <f ca="1">TEXTJOIN2("
",TRUE,INDIRECT( $T$2):INDIRECT($T$3))</f>
        <v>#NAME?</v>
      </c>
      <c r="V40" s="8" t="e">
        <f ca="1">TEXTJOIN2("
",TRUE,INDIRECT( $V$2):INDIRECT($V$3))</f>
        <v>#NAME?</v>
      </c>
      <c r="W40" s="8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6"/>
  <sheetViews>
    <sheetView topLeftCell="A13" workbookViewId="0">
      <selection activeCell="D25" sqref="A22:D25"/>
    </sheetView>
  </sheetViews>
  <sheetFormatPr defaultColWidth="8.77734375" defaultRowHeight="14.4" x14ac:dyDescent="0.3"/>
  <cols>
    <col min="1" max="1" width="17.77734375" customWidth="1"/>
    <col min="2" max="2" width="15.44140625" customWidth="1"/>
    <col min="3" max="3" width="16.77734375" customWidth="1"/>
    <col min="4" max="7" width="15.21875" customWidth="1"/>
    <col min="8" max="8" width="24.44140625" customWidth="1"/>
    <col min="9" max="9" width="26.21875" customWidth="1"/>
    <col min="10" max="10" width="22.21875" customWidth="1"/>
    <col min="11" max="11" width="25.77734375" customWidth="1"/>
    <col min="12" max="12" width="23.77734375" customWidth="1"/>
    <col min="13" max="13" width="23.44140625" customWidth="1"/>
    <col min="14" max="15" width="20.44140625" customWidth="1"/>
    <col min="16" max="16" width="25.77734375" customWidth="1"/>
    <col min="17" max="18" width="25.44140625" customWidth="1"/>
    <col min="19" max="19" width="24" customWidth="1"/>
    <col min="20" max="20" width="19.21875" customWidth="1"/>
    <col min="21" max="21" width="19.77734375" customWidth="1"/>
    <col min="22" max="22" width="13.77734375" customWidth="1"/>
  </cols>
  <sheetData>
    <row r="1" spans="1:22" x14ac:dyDescent="0.3">
      <c r="A1" s="38" t="s">
        <v>208</v>
      </c>
      <c r="B1" s="39" t="s">
        <v>398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InvCkdCustomsDeclare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CustomsDeclare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customsdeclare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5" t="e">
        <f ca="1">SUBSTITUTE(SUBSTITUTE(SUBSTITUTE(SUBSTITUTE(SUBSTITUTE(I9,"MstWptCalendar",$B$6),"Calendar",$B$7),"calendar",$B$8),"&lt;PROPERTIES&gt;",I13),"&lt;FULL_TITLE&gt;",B1)</f>
        <v>#NAME?</v>
      </c>
      <c r="J10" s="45" t="str">
        <f>J9</f>
        <v>.input-search{
    width: 250px;
    border-radius: 10px;
    margin-left: 10px;
}
.btn-search{
    width: 50px;
    margin-left: 10px;
}</v>
      </c>
      <c r="K10" s="45" t="e">
        <f ca="1">SUBSTITUTE(SUBSTITUTE(SUBSTITUTE(SUBSTITUTE(K9,"MstWptCalendar",$B$6),"Calendar",$B$7),"calendar",$B$8),"&lt;PROPERTIES&gt;",K13)</f>
        <v>#NAME?</v>
      </c>
      <c r="L10" s="45" t="e">
        <f ca="1">SUBSTITUTE(SUBSTITUTE(SUBSTITUTE(SUBSTITUTE(SUBSTITUTE(L9,"MstWptCalendar",$B$6),"Calendar",$B$7),"calendar",$B$8),"&lt;VIEWDATETIME&gt;",$L$13),"isActive",$V$13)</f>
        <v>#NAME?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CustomsDeclareRoutingModule } from './customsdeclare-routing.module';
import { CustomsDeclareComponent } from './customsdeclare.component';
import { CreateOrEditCustomsDeclareModalComponent } from './create-or-edit-customsdeclare-modal.component';
@NgModule({
    declarations: [
       CustomsDeclareComponent, 
        CreateOrEditCustomsDeclareModalComponent
    ],
    imports: [
        AppSharedModule, CustomsDeclareRoutingModule]
})
export class CustomsDeclareModule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CustomsDeclareComponent } from './customsdeclare.component';
const routes: Routes = [{
    path: '',
    component: CustomsDeclareComponent,
    pathMatch: 'full'
}];
@NgModule({
    imports: [RouterModule.forChild(routes)],
    exports: [RouterModule],
})
export class CustomsDeclareRoutingModule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AppMenuItem("CustomsDeclare", "Pages.Inventory.CKD.CustomsDeclare", "flaticon-book",   "/app/main/inventory/ckd/customsdeclare"),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'inventory/ckd/customsdeclare',
    loadChildren: () =&gt; import('./inventory/ckd/customsdeclare/customsdeclare.module').then(m =&gt; m.CustomsDeclareModule),
    data: { permission: 'Pages.Inventory.CKD.CustomsDeclare' }
},</v>
      </c>
      <c r="R10" s="47" t="str">
        <f>SUBSTITUTE(R9,"MstWptCalendar",$B$6)</f>
        <v>ApiServiceProxies.InvCkdCustomsDeclareServiceProxy,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H44</v>
      </c>
      <c r="I12" s="28" t="str">
        <f>"I"&amp;COUNTA($A:$A)</f>
        <v>I44</v>
      </c>
      <c r="J12" s="28"/>
      <c r="K12" s="28" t="str">
        <f>"K"&amp;COUNTA($A:$A)</f>
        <v>K44</v>
      </c>
      <c r="L12" s="28" t="str">
        <f>"L"&amp;COUNTA($A:$A)</f>
        <v>L44</v>
      </c>
      <c r="M12" s="28"/>
      <c r="N12" s="28"/>
      <c r="O12" s="28"/>
      <c r="P12" s="28"/>
      <c r="Q12" s="28"/>
      <c r="R12" s="28"/>
      <c r="S12" s="28" t="str">
        <f>"S"&amp;COUNTA($A:$A)</f>
        <v>S44</v>
      </c>
      <c r="T12" s="28" t="str">
        <f>"T"&amp;COUNTA($A:$A)</f>
        <v>T44</v>
      </c>
      <c r="U12" s="28" t="str">
        <f>"U"&amp;COUNTA($A:$A)</f>
        <v>U44</v>
      </c>
      <c r="V12" s="28" t="str">
        <f>"V"&amp;COUNTA($A:$A)</f>
        <v>V44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e">
        <f ca="1">TEXTJOIN2("
",TRUE,INDIRECT(H11):INDIRECT(H12))</f>
        <v>#NAME?</v>
      </c>
      <c r="I13" s="35" t="e">
        <f ca="1">TEXTJOIN2("
",TRUE,INDIRECT(I11):INDIRECT(I12))</f>
        <v>#NAME?</v>
      </c>
      <c r="J13" s="28"/>
      <c r="K13" s="35" t="e">
        <f ca="1">TEXTJOIN2("
",TRUE,INDIRECT(K11):INDIRECT(K12))</f>
        <v>#NAME?</v>
      </c>
      <c r="L13" s="56" t="e">
        <f ca="1">TEXTJOIN2("
",TRUE,INDIRECT(L11):INDIRECT(L12))</f>
        <v>#NAME?</v>
      </c>
      <c r="M13" s="28"/>
      <c r="N13" s="28"/>
      <c r="O13" s="28"/>
      <c r="P13" s="28"/>
      <c r="Q13" s="28"/>
      <c r="R13" s="28"/>
      <c r="S13" s="62" t="e">
        <f ca="1">TEXTJOIN2("
",TRUE,INDIRECT(S11):INDIRECT(S12))</f>
        <v>#NAME?</v>
      </c>
      <c r="T13" s="62" t="e">
        <f ca="1">TEXTJOIN2("
",TRUE,INDIRECT(T11):INDIRECT(T12))</f>
        <v>#NAME?</v>
      </c>
      <c r="U13" s="62" t="e">
        <f ca="1">TEXTJOIN2("
",TRUE,INDIRECT(U11):INDIRECT(U12))</f>
        <v>#NAME?</v>
      </c>
      <c r="V13" s="28" t="e">
        <f ca="1">TEXTJOIN2("
",TRUE,INDIRECT(V11):INDIRECT(V12))</f>
        <v>#NAME?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customsdeclare.component.ts</v>
      </c>
      <c r="I14" s="37" t="str">
        <f>B8&amp;".component.html"</f>
        <v>customsdeclare.component.html</v>
      </c>
      <c r="J14" s="36" t="str">
        <f>B8&amp;".component.less"</f>
        <v>customsdeclare.component.less</v>
      </c>
      <c r="K14" s="37" t="str">
        <f>"create-or-edit-"&amp;B8&amp;"-modal.component.html"</f>
        <v>create-or-edit-customsdeclare-modal.component.html</v>
      </c>
      <c r="L14" s="37" t="str">
        <f>"create-or-edit-"&amp;B8&amp;"-modal.component.ts"</f>
        <v>create-or-edit-customsdeclare-modal.component.ts</v>
      </c>
      <c r="M14" s="37" t="str">
        <f>"create-or-edit-"&amp;B8&amp;"-modal.component.less"</f>
        <v>create-or-edit-customsdeclare-modal.component.less</v>
      </c>
      <c r="N14" s="37" t="str">
        <f>B8&amp;".module.ts"</f>
        <v>customsdeclare.module.ts</v>
      </c>
      <c r="O14" s="37" t="str">
        <f>B8&amp;"-routing.module.ts"</f>
        <v>customsdeclare-routing.module.ts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368</v>
      </c>
      <c r="B15" s="28" t="str">
        <f t="shared" ref="B15:B32" si="0">SUBSTITUTE(PROPER(A15),"_","")</f>
        <v>CustomsDeclareNo</v>
      </c>
      <c r="C15" s="28" t="str">
        <f t="shared" ref="C15:C32" si="1">SUBSTITUTE(PROPER(A15),"_"," ")</f>
        <v>Customs Declare No</v>
      </c>
      <c r="D15" s="28" t="str">
        <f t="shared" ref="D15:D32" si="2">LOWER(LEFT(B15,1))&amp;RIGHT(B15,LEN(B15) - 1)</f>
        <v>customsDeclareNo</v>
      </c>
      <c r="E15" s="28" t="str">
        <f>A.Backend!H9</f>
        <v>string</v>
      </c>
      <c r="F15" s="28" t="str">
        <f>A.Backend!G9</f>
        <v>30</v>
      </c>
      <c r="G15" s="28" t="str">
        <f t="shared" ref="G15:G44" si="3">IF(E15="string"," : string = '' ; ",IF(OR(E15="DateTime",E15="TimeSpan")," : any ;",IF(E15="int"," : number = 0 ;","")))</f>
        <v xml:space="preserve"> : string = '' ; </v>
      </c>
      <c r="H15" s="35" t="str">
        <f t="shared" ref="H15:H44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this.l('Customs Declare No'),headerTooltip: this.l('Customs Declare No'),field: 'customsDeclareNo',flex: 1},</v>
      </c>
      <c r="I15" s="35" t="str">
        <f t="shared" ref="I15:I44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[(ngModel)]='customsDeclareNo' name='customsDeclareNo'
									class='form-control' [placeholder]="l('Customs Declare No')"
									type='text' (keyup.enter)='searchDatas()'&gt;
								&lt;/div&gt;</v>
      </c>
      <c r="J15" s="28"/>
      <c r="K15" s="35" t="str">
        <f t="shared" ref="K15:K44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title'&gt;Customs Declare No&lt;/label&gt;
						&lt;input type='text' class='col-md-10 form-control input-text' name='CustomsDeclareNo' [(ngModel)]='rowdata.customsDeclareNo'&gt;
					&lt;/div&gt;</v>
      </c>
      <c r="L15" s="56" t="str">
        <f t="shared" ref="L15:L32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customsDeclareNo : string = '' ; </v>
      </c>
      <c r="T15" s="28" t="str">
        <f>REPT(CHAR(9),3)&amp;"this."&amp;D15&amp;","</f>
        <v xml:space="preserve">			this.customsDeclareNo,</v>
      </c>
      <c r="U15" s="28" t="str">
        <f>IF(E15="int",REPT(CHAR(9),2)&amp;"this."&amp;D15&amp;" = 0,",REPT(CHAR(9),2)&amp;"this."&amp;D15&amp;" = '',")</f>
        <v xml:space="preserve">		this.customsDeclareNo = '',</v>
      </c>
      <c r="V15" s="28" t="str">
        <f t="shared" ref="V15:V44" si="8">IF(AND(E15="string",F15="1"),D15,"")</f>
        <v/>
      </c>
    </row>
    <row r="16" spans="1:22" ht="18" customHeight="1" x14ac:dyDescent="0.3">
      <c r="A16" t="s">
        <v>369</v>
      </c>
      <c r="B16" s="28" t="str">
        <f t="shared" ref="B16" si="9">SUBSTITUTE(PROPER(A16),"_","")</f>
        <v>BillofladingNo</v>
      </c>
      <c r="C16" s="28" t="str">
        <f t="shared" ref="C16" si="10">SUBSTITUTE(PROPER(A16),"_"," ")</f>
        <v>Billoflading No</v>
      </c>
      <c r="D16" s="28" t="str">
        <f t="shared" ref="D16" si="11">LOWER(LEFT(B16,1))&amp;RIGHT(B16,LEN(B16) - 1)</f>
        <v>billofladingNo</v>
      </c>
      <c r="E16" s="28" t="str">
        <f>A.Backend!H10</f>
        <v>string</v>
      </c>
      <c r="F16" s="28" t="str">
        <f>A.Backend!G10</f>
        <v>20</v>
      </c>
      <c r="G16" s="28" t="str">
        <f t="shared" si="3"/>
        <v xml:space="preserve"> : string = '' ; </v>
      </c>
      <c r="H16" s="35" t="str">
        <f t="shared" si="4"/>
        <v xml:space="preserve">			{headerName: this.l('Billoflading No'),headerTooltip: this.l('Billoflading No'),field: 'billofladingNo',flex: 1},</v>
      </c>
      <c r="I16" s="35" t="str">
        <f t="shared" si="5"/>
        <v xml:space="preserve">								&lt;div class='input-search'&gt;
									&lt;input [(ngModel)]='billofladingNo' name='billofladingNo'
									class='form-control' [placeholder]="l('Billoflading No')"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title'&gt;Billoflading No&lt;/label&gt;
						&lt;input type='text' class='col-md-10 form-control input-text' name='BillofladingNo' [(ngModel)]='rowdata.billofladingNo'&gt;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44" si="13">REPT(CHAR(9),1)&amp;D16&amp;G16</f>
        <v xml:space="preserve">	billofladingNo : string = '' ; </v>
      </c>
      <c r="T16" s="28" t="str">
        <f t="shared" ref="T16:T44" si="14">REPT(CHAR(9),3)&amp;"this."&amp;D16&amp;","</f>
        <v xml:space="preserve">			this.billofladingNo,</v>
      </c>
      <c r="U16" s="28" t="str">
        <f t="shared" ref="U16:U44" si="15">IF(E16="int",REPT(CHAR(9),2)&amp;"this."&amp;D16&amp;" = 0,",REPT(CHAR(9),2)&amp;"this."&amp;D16&amp;" = '',")</f>
        <v xml:space="preserve">		this.billofladingNo = '',</v>
      </c>
      <c r="V16" s="28" t="str">
        <f t="shared" si="8"/>
        <v/>
      </c>
    </row>
    <row r="17" spans="1:22" ht="18" customHeight="1" x14ac:dyDescent="0.3">
      <c r="A17" t="s">
        <v>370</v>
      </c>
      <c r="B17" s="28" t="str">
        <f>SUBSTITUTE(PROPER(A17),"_","")</f>
        <v>TotalcifCept</v>
      </c>
      <c r="C17" s="28" t="str">
        <f>SUBSTITUTE(PROPER(A17),"_"," ")</f>
        <v>Totalcif Cept</v>
      </c>
      <c r="D17" s="28" t="str">
        <f>LOWER(LEFT(B17,1))&amp;RIGHT(B17,LEN(B17) - 1)</f>
        <v>totalcifCept</v>
      </c>
      <c r="E17" s="28" t="str">
        <f>A.Backend!H11</f>
        <v>decimal?</v>
      </c>
      <c r="F17" s="28" t="str">
        <f>A.Backend!G11</f>
        <v>18,5</v>
      </c>
      <c r="G17" s="28" t="str">
        <f t="shared" si="3"/>
        <v/>
      </c>
      <c r="H17" s="35" t="str">
        <f t="shared" si="4"/>
        <v xml:space="preserve">			{headerName: this.l('Totalcif Cept'),headerTooltip: this.l('Totalcif Cept'),field: 'totalcifCept',flex: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totalcifCept</v>
      </c>
      <c r="T17" s="28" t="str">
        <f t="shared" si="14"/>
        <v xml:space="preserve">			this.totalcifCept,</v>
      </c>
      <c r="U17" s="28" t="str">
        <f t="shared" si="15"/>
        <v xml:space="preserve">		this.totalcifCept = '',</v>
      </c>
      <c r="V17" s="28" t="str">
        <f t="shared" si="8"/>
        <v/>
      </c>
    </row>
    <row r="18" spans="1:22" ht="15" customHeight="1" x14ac:dyDescent="0.3">
      <c r="A18" t="s">
        <v>371</v>
      </c>
      <c r="B18" s="28" t="str">
        <f t="shared" ref="B18:B21" si="16">SUBSTITUTE(PROPER(A18),"_","")</f>
        <v>TotalcifNoncept</v>
      </c>
      <c r="C18" s="28" t="str">
        <f t="shared" ref="C18:C21" si="17">SUBSTITUTE(PROPER(A18),"_"," ")</f>
        <v>Totalcif Noncept</v>
      </c>
      <c r="D18" s="28" t="str">
        <f t="shared" ref="D18:D21" si="18">LOWER(LEFT(B18,1))&amp;RIGHT(B18,LEN(B18) - 1)</f>
        <v>totalcifNoncept</v>
      </c>
      <c r="E18" s="28" t="str">
        <f>A.Backend!H12</f>
        <v>decimal?</v>
      </c>
      <c r="F18" s="28" t="str">
        <f>A.Backend!G12</f>
        <v>18,5</v>
      </c>
      <c r="G18" s="28" t="str">
        <f t="shared" si="3"/>
        <v/>
      </c>
      <c r="H18" s="35" t="str">
        <f t="shared" si="4"/>
        <v xml:space="preserve">			{headerName: this.l('Totalcif Noncept'),headerTooltip: this.l('Totalcif Noncept'),field: 'totalcifNoncept',flex: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totalcifNoncept</v>
      </c>
      <c r="T18" s="28" t="str">
        <f t="shared" si="14"/>
        <v xml:space="preserve">			this.totalcifNoncept,</v>
      </c>
      <c r="U18" s="28" t="str">
        <f t="shared" si="15"/>
        <v xml:space="preserve">		this.totalcifNoncept = '',</v>
      </c>
      <c r="V18" s="28" t="str">
        <f t="shared" si="8"/>
        <v/>
      </c>
    </row>
    <row r="19" spans="1:22" ht="18" customHeight="1" x14ac:dyDescent="0.3">
      <c r="A19" t="s">
        <v>372</v>
      </c>
      <c r="B19" s="28" t="str">
        <f t="shared" si="16"/>
        <v>TotaltaxCept</v>
      </c>
      <c r="C19" s="28" t="str">
        <f t="shared" si="17"/>
        <v>Totaltax Cept</v>
      </c>
      <c r="D19" s="28" t="str">
        <f t="shared" si="18"/>
        <v>totaltaxCept</v>
      </c>
      <c r="E19" s="28" t="str">
        <f>A.Backend!H13</f>
        <v>decimal?</v>
      </c>
      <c r="F19" s="28" t="str">
        <f>A.Backend!G13</f>
        <v>18,5</v>
      </c>
      <c r="G19" s="28" t="str">
        <f t="shared" si="3"/>
        <v/>
      </c>
      <c r="H19" s="35" t="str">
        <f t="shared" si="4"/>
        <v xml:space="preserve">			{headerName: this.l('Totaltax Cept'),headerTooltip: this.l('Totaltax Cept'),field: 'totaltaxCept',flex: 1},</v>
      </c>
      <c r="I19" s="35" t="str">
        <f t="shared" si="5"/>
        <v/>
      </c>
      <c r="J19" s="28"/>
      <c r="K19" s="35" t="str">
        <f t="shared" si="6"/>
        <v/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totaltaxCept</v>
      </c>
      <c r="T19" s="28" t="str">
        <f t="shared" si="14"/>
        <v xml:space="preserve">			this.totaltaxCept,</v>
      </c>
      <c r="U19" s="28" t="str">
        <f t="shared" si="15"/>
        <v xml:space="preserve">		this.totaltaxCept = '',</v>
      </c>
      <c r="V19" s="28" t="str">
        <f t="shared" si="8"/>
        <v/>
      </c>
    </row>
    <row r="20" spans="1:22" ht="15" customHeight="1" x14ac:dyDescent="0.3">
      <c r="A20" t="s">
        <v>373</v>
      </c>
      <c r="B20" s="28" t="str">
        <f t="shared" si="16"/>
        <v>TotaltaxNoncept</v>
      </c>
      <c r="C20" s="28" t="str">
        <f t="shared" si="17"/>
        <v>Totaltax Noncept</v>
      </c>
      <c r="D20" s="28" t="str">
        <f t="shared" si="18"/>
        <v>totaltaxNoncept</v>
      </c>
      <c r="E20" s="28" t="str">
        <f>A.Backend!H14</f>
        <v>decimal?</v>
      </c>
      <c r="F20" s="28" t="str">
        <f>A.Backend!G14</f>
        <v>18,5</v>
      </c>
      <c r="G20" s="28" t="str">
        <f t="shared" si="3"/>
        <v/>
      </c>
      <c r="H20" s="35" t="str">
        <f t="shared" si="4"/>
        <v xml:space="preserve">			{headerName: this.l('Totaltax Noncept'),headerTooltip: this.l('Totaltax Noncept'),field: 'totaltaxNoncept',flex: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totaltaxNoncept</v>
      </c>
      <c r="T20" s="28" t="str">
        <f t="shared" si="14"/>
        <v xml:space="preserve">			this.totaltaxNoncept,</v>
      </c>
      <c r="U20" s="28" t="str">
        <f t="shared" si="15"/>
        <v xml:space="preserve">		this.totaltaxNoncept = '',</v>
      </c>
      <c r="V20" s="28" t="str">
        <f t="shared" si="8"/>
        <v/>
      </c>
    </row>
    <row r="21" spans="1:22" ht="18" customHeight="1" x14ac:dyDescent="0.3">
      <c r="A21" t="s">
        <v>374</v>
      </c>
      <c r="B21" s="28" t="str">
        <f t="shared" si="16"/>
        <v>TotalvatCept</v>
      </c>
      <c r="C21" s="28" t="str">
        <f t="shared" si="17"/>
        <v>Totalvat Cept</v>
      </c>
      <c r="D21" s="28" t="str">
        <f t="shared" si="18"/>
        <v>totalvatCept</v>
      </c>
      <c r="E21" s="28" t="str">
        <f>A.Backend!H15</f>
        <v>decimal?</v>
      </c>
      <c r="F21" s="28" t="str">
        <f>A.Backend!G15</f>
        <v>18,5</v>
      </c>
      <c r="G21" s="28" t="str">
        <f t="shared" si="3"/>
        <v/>
      </c>
      <c r="H21" s="35" t="str">
        <f t="shared" si="4"/>
        <v xml:space="preserve">			{headerName: this.l('Totalvat Cept'),headerTooltip: this.l('Totalvat Cept'),field: 'totalvatCept',flex: 1},</v>
      </c>
      <c r="I21" s="35" t="str">
        <f t="shared" si="5"/>
        <v/>
      </c>
      <c r="J21" s="28"/>
      <c r="K21" s="35" t="str">
        <f t="shared" si="6"/>
        <v/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totalvatCept</v>
      </c>
      <c r="T21" s="28" t="str">
        <f t="shared" si="14"/>
        <v xml:space="preserve">			this.totalvatCept,</v>
      </c>
      <c r="U21" s="28" t="str">
        <f t="shared" si="15"/>
        <v xml:space="preserve">		this.totalvatCept = '',</v>
      </c>
      <c r="V21" s="28" t="str">
        <f t="shared" si="8"/>
        <v/>
      </c>
    </row>
    <row r="22" spans="1:22" ht="18" customHeight="1" x14ac:dyDescent="0.3">
      <c r="A22" t="s">
        <v>375</v>
      </c>
      <c r="B22" s="28" t="str">
        <f>SUBSTITUTE(PROPER(A22),"_","")</f>
        <v>TotalvatNoncept</v>
      </c>
      <c r="C22" s="28" t="str">
        <f>SUBSTITUTE(PROPER(A22),"_"," ")</f>
        <v>Totalvat Noncept</v>
      </c>
      <c r="D22" s="28" t="str">
        <f>LOWER(LEFT(B22,1))&amp;RIGHT(B22,LEN(B22) - 1)</f>
        <v>totalvatNoncept</v>
      </c>
      <c r="E22" s="28" t="str">
        <f>A.Backend!H16</f>
        <v>decimal?</v>
      </c>
      <c r="F22" s="28" t="str">
        <f>A.Backend!G16</f>
        <v>18,5</v>
      </c>
      <c r="G22" s="28" t="str">
        <f t="shared" si="3"/>
        <v/>
      </c>
      <c r="H22" s="35" t="str">
        <f t="shared" si="4"/>
        <v xml:space="preserve">			{headerName: this.l('Totalvat Noncept'),headerTooltip: this.l('Totalvat Noncept'),field: 'totalvatNoncept',flex: 1},</v>
      </c>
      <c r="I22" s="35" t="str">
        <f t="shared" si="5"/>
        <v/>
      </c>
      <c r="J22" s="28"/>
      <c r="K22" s="35" t="str">
        <f t="shared" si="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totalvatNoncept</v>
      </c>
      <c r="T22" s="28" t="str">
        <f t="shared" si="14"/>
        <v xml:space="preserve">			this.totalvatNoncept,</v>
      </c>
      <c r="U22" s="28" t="str">
        <f t="shared" si="15"/>
        <v xml:space="preserve">		this.totalvatNoncept = '',</v>
      </c>
      <c r="V22" s="28" t="str">
        <f t="shared" si="8"/>
        <v/>
      </c>
    </row>
    <row r="23" spans="1:22" ht="15" customHeight="1" x14ac:dyDescent="0.3">
      <c r="A23" t="s">
        <v>376</v>
      </c>
      <c r="B23" s="28" t="str">
        <f t="shared" ref="B23:B26" si="20">SUBSTITUTE(PROPER(A23),"_","")</f>
        <v>ExchangeRate</v>
      </c>
      <c r="C23" s="28" t="str">
        <f t="shared" ref="C23:C26" si="21">SUBSTITUTE(PROPER(A23),"_"," ")</f>
        <v>Exchange Rate</v>
      </c>
      <c r="D23" s="28" t="str">
        <f t="shared" ref="D23:D26" si="22">LOWER(LEFT(B23,1))&amp;RIGHT(B23,LEN(B23) - 1)</f>
        <v>exchangeRate</v>
      </c>
      <c r="E23" s="28" t="str">
        <f>A.Backend!H17</f>
        <v>decimal?</v>
      </c>
      <c r="F23" s="28" t="str">
        <f>A.Backend!G17</f>
        <v>14,5</v>
      </c>
      <c r="G23" s="28" t="str">
        <f t="shared" si="3"/>
        <v/>
      </c>
      <c r="H23" s="35" t="str">
        <f t="shared" si="4"/>
        <v xml:space="preserve">			{headerName: this.l('Exchange Rate'),headerTooltip: this.l('Exchange Rate'),field: 'exchangeRate',flex: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exchangeRate</v>
      </c>
      <c r="T23" s="28" t="str">
        <f t="shared" si="14"/>
        <v xml:space="preserve">			this.exchangeRate,</v>
      </c>
      <c r="U23" s="28" t="str">
        <f t="shared" si="15"/>
        <v xml:space="preserve">		this.exchangeRate = '',</v>
      </c>
      <c r="V23" s="28" t="str">
        <f t="shared" si="8"/>
        <v/>
      </c>
    </row>
    <row r="24" spans="1:22" ht="18" customHeight="1" x14ac:dyDescent="0.3">
      <c r="A24" t="s">
        <v>377</v>
      </c>
      <c r="B24" s="28" t="str">
        <f t="shared" si="20"/>
        <v>DeclareDate</v>
      </c>
      <c r="C24" s="28" t="str">
        <f t="shared" si="21"/>
        <v>Declare Date</v>
      </c>
      <c r="D24" s="28" t="str">
        <f t="shared" si="22"/>
        <v>declareDate</v>
      </c>
      <c r="E24" s="28" t="str">
        <f>A.Backend!H18</f>
        <v>DateTime?</v>
      </c>
      <c r="F24" s="28" t="str">
        <f>A.Backend!G18</f>
        <v/>
      </c>
      <c r="G24" s="28" t="str">
        <f t="shared" si="3"/>
        <v/>
      </c>
      <c r="H24" s="35" t="str">
        <f t="shared" si="4"/>
        <v xml:space="preserve">			{headerName: this.l('Declare Date'),headerTooltip: this.l('Declare Date'),field: 'declareDate',flex: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declareDate</v>
      </c>
      <c r="T24" s="28" t="str">
        <f t="shared" si="14"/>
        <v xml:space="preserve">			this.declareDate,</v>
      </c>
      <c r="U24" s="28" t="str">
        <f t="shared" si="15"/>
        <v xml:space="preserve">		this.declareDate = '',</v>
      </c>
      <c r="V24" s="28" t="str">
        <f t="shared" si="8"/>
        <v/>
      </c>
    </row>
    <row r="25" spans="1:22" ht="15" customHeight="1" x14ac:dyDescent="0.3">
      <c r="A25" t="s">
        <v>378</v>
      </c>
      <c r="B25" s="28" t="str">
        <f t="shared" si="20"/>
        <v>ActualTax</v>
      </c>
      <c r="C25" s="28" t="str">
        <f t="shared" si="21"/>
        <v>Actual Tax</v>
      </c>
      <c r="D25" s="28" t="str">
        <f t="shared" si="22"/>
        <v>actualTax</v>
      </c>
      <c r="E25" s="28" t="str">
        <f>A.Backend!H19</f>
        <v>decimal?</v>
      </c>
      <c r="F25" s="28" t="str">
        <f>A.Backend!G19</f>
        <v>18,5</v>
      </c>
      <c r="G25" s="28" t="str">
        <f t="shared" si="3"/>
        <v/>
      </c>
      <c r="H25" s="35" t="str">
        <f t="shared" si="4"/>
        <v xml:space="preserve">			{headerName: this.l('Actual Tax'),headerTooltip: this.l('Actual Tax'),field: 'actualTax',flex: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actualTax</v>
      </c>
      <c r="T25" s="28" t="str">
        <f t="shared" si="14"/>
        <v xml:space="preserve">			this.actualTax,</v>
      </c>
      <c r="U25" s="28" t="str">
        <f t="shared" si="15"/>
        <v xml:space="preserve">		this.actualTax = '',</v>
      </c>
      <c r="V25" s="28" t="str">
        <f t="shared" si="8"/>
        <v/>
      </c>
    </row>
    <row r="26" spans="1:22" ht="18" customHeight="1" x14ac:dyDescent="0.3">
      <c r="A26" t="s">
        <v>379</v>
      </c>
      <c r="B26" s="28" t="str">
        <f t="shared" si="20"/>
        <v>ActualVat</v>
      </c>
      <c r="C26" s="28" t="str">
        <f t="shared" si="21"/>
        <v>Actual Vat</v>
      </c>
      <c r="D26" s="28" t="str">
        <f t="shared" si="22"/>
        <v>actualVat</v>
      </c>
      <c r="E26" s="28" t="str">
        <f>A.Backend!H20</f>
        <v>decimal?</v>
      </c>
      <c r="F26" s="28" t="str">
        <f>A.Backend!G20</f>
        <v>18,5</v>
      </c>
      <c r="G26" s="28" t="str">
        <f t="shared" si="3"/>
        <v/>
      </c>
      <c r="H26" s="35" t="str">
        <f t="shared" si="4"/>
        <v xml:space="preserve">			{headerName: this.l('Actual Vat'),headerTooltip: this.l('Actual Vat'),field: 'actualVat',flex: 1},</v>
      </c>
      <c r="I26" s="35" t="str">
        <f t="shared" si="5"/>
        <v/>
      </c>
      <c r="J26" s="28"/>
      <c r="K26" s="35" t="str">
        <f t="shared" si="6"/>
        <v/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actualVat</v>
      </c>
      <c r="T26" s="28" t="str">
        <f t="shared" si="14"/>
        <v xml:space="preserve">			this.actualVat,</v>
      </c>
      <c r="U26" s="28" t="str">
        <f t="shared" si="15"/>
        <v xml:space="preserve">		this.actualVat = '',</v>
      </c>
      <c r="V26" s="28" t="str">
        <f t="shared" si="8"/>
        <v/>
      </c>
    </row>
    <row r="27" spans="1:22" ht="18" customHeight="1" x14ac:dyDescent="0.3">
      <c r="A27" t="s">
        <v>380</v>
      </c>
      <c r="B27" s="28" t="str">
        <f>SUBSTITUTE(PROPER(A27),"_","")</f>
        <v>CustomsPort</v>
      </c>
      <c r="C27" s="28" t="str">
        <f>SUBSTITUTE(PROPER(A27),"_"," ")</f>
        <v>Customs Port</v>
      </c>
      <c r="D27" s="28" t="str">
        <f>LOWER(LEFT(B27,1))&amp;RIGHT(B27,LEN(B27) - 1)</f>
        <v>customsPort</v>
      </c>
      <c r="E27" s="28" t="str">
        <f>A.Backend!H21</f>
        <v>string</v>
      </c>
      <c r="F27" s="28" t="str">
        <f>A.Backend!G21</f>
        <v>12</v>
      </c>
      <c r="G27" s="28" t="str">
        <f t="shared" si="3"/>
        <v xml:space="preserve"> : string = '' ; </v>
      </c>
      <c r="H27" s="35" t="str">
        <f t="shared" si="4"/>
        <v xml:space="preserve">			{headerName: this.l('Customs Port'),headerTooltip: this.l('Customs Port'),field: 'customsPort',flex: 1},</v>
      </c>
      <c r="I27" s="35" t="str">
        <f t="shared" si="5"/>
        <v xml:space="preserve">								&lt;div class='input-search'&gt;
									&lt;input [(ngModel)]='customsPort' name='customsPort'
									class='form-control' [placeholder]="l('Customs Port')"
									type='text' (keyup.enter)='searchDatas()'&gt;
								&lt;/div&gt;</v>
      </c>
      <c r="J27" s="28"/>
      <c r="K27" s="35" t="str">
        <f t="shared" si="6"/>
        <v xml:space="preserve">					&lt;div class='col-md-12 form-group row'&gt;
						&lt;label class='col-md-2 form-control title'&gt;Customs Port&lt;/label&gt;
						&lt;input type='text' class='col-md-10 form-control input-text' name='CustomsPort' [(ngModel)]='rowdata.customsPort'&gt;
					&lt;/div&gt;</v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customsPort : string = '' ; </v>
      </c>
      <c r="T27" s="28" t="str">
        <f t="shared" si="14"/>
        <v xml:space="preserve">			this.customsPort,</v>
      </c>
      <c r="U27" s="28" t="str">
        <f t="shared" si="15"/>
        <v xml:space="preserve">		this.customsPort = '',</v>
      </c>
      <c r="V27" s="28" t="str">
        <f t="shared" si="8"/>
        <v/>
      </c>
    </row>
    <row r="28" spans="1:22" ht="15" customHeight="1" x14ac:dyDescent="0.3">
      <c r="A28" t="s">
        <v>381</v>
      </c>
      <c r="B28" s="28" t="str">
        <f t="shared" ref="B28:B30" si="24">SUBSTITUTE(PROPER(A28),"_","")</f>
        <v>TaxNote</v>
      </c>
      <c r="C28" s="28" t="str">
        <f t="shared" ref="C28:C30" si="25">SUBSTITUTE(PROPER(A28),"_"," ")</f>
        <v>Tax Note</v>
      </c>
      <c r="D28" s="28" t="str">
        <f t="shared" ref="D28:D30" si="26">LOWER(LEFT(B28,1))&amp;RIGHT(B28,LEN(B28) - 1)</f>
        <v>taxNote</v>
      </c>
      <c r="E28" s="28" t="str">
        <f>A.Backend!H22</f>
        <v>string</v>
      </c>
      <c r="F28" s="28" t="str">
        <f>A.Backend!G22</f>
        <v>500</v>
      </c>
      <c r="G28" s="28" t="str">
        <f t="shared" si="3"/>
        <v xml:space="preserve"> : string = '' ; </v>
      </c>
      <c r="H28" s="35" t="str">
        <f t="shared" si="4"/>
        <v xml:space="preserve">			{headerName: this.l('Tax Note'),headerTooltip: this.l('Tax Note'),field: 'taxNote',flex: 1},</v>
      </c>
      <c r="I28" s="35" t="str">
        <f t="shared" si="5"/>
        <v xml:space="preserve">								&lt;div class='input-search'&gt;
									&lt;input [(ngModel)]='taxNote' name='taxNote'
									class='form-control' [placeholder]="l('Tax Note')"
									type='text' (keyup.enter)='searchDatas()'&gt;
								&lt;/div&gt;</v>
      </c>
      <c r="J28" s="28"/>
      <c r="K28" s="35" t="str">
        <f t="shared" si="6"/>
        <v xml:space="preserve">					&lt;div class='col-md-12 form-group row'&gt;
						&lt;label class='col-md-2 form-control title'&gt;Tax Note&lt;/label&gt;
						&lt;input type='text' class='col-md-10 form-control input-text' name='TaxNote' [(ngModel)]='rowdata.taxNote'&gt;
					&lt;/div&gt;</v>
      </c>
      <c r="L28" s="56" t="str">
        <f t="shared" ref="L28:L30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taxNote : string = '' ; </v>
      </c>
      <c r="T28" s="28" t="str">
        <f t="shared" si="14"/>
        <v xml:space="preserve">			this.taxNote,</v>
      </c>
      <c r="U28" s="28" t="str">
        <f t="shared" si="15"/>
        <v xml:space="preserve">		this.taxNote = '',</v>
      </c>
      <c r="V28" s="28" t="str">
        <f t="shared" si="8"/>
        <v/>
      </c>
    </row>
    <row r="29" spans="1:22" ht="18" customHeight="1" x14ac:dyDescent="0.3">
      <c r="A29" t="s">
        <v>350</v>
      </c>
      <c r="B29" s="28" t="str">
        <f t="shared" si="24"/>
        <v>Status</v>
      </c>
      <c r="C29" s="28" t="str">
        <f t="shared" si="25"/>
        <v>Status</v>
      </c>
      <c r="D29" s="28" t="str">
        <f t="shared" si="26"/>
        <v>status</v>
      </c>
      <c r="E29" s="28" t="str">
        <f>A.Backend!H23</f>
        <v>string</v>
      </c>
      <c r="F29" s="28" t="str">
        <f>A.Backend!G23</f>
        <v>4</v>
      </c>
      <c r="G29" s="28" t="str">
        <f t="shared" si="3"/>
        <v xml:space="preserve"> : string = '' ; </v>
      </c>
      <c r="H29" s="35" t="str">
        <f t="shared" si="4"/>
        <v xml:space="preserve">			{headerName: this.l('Status'),headerTooltip: this.l('Status'),field: 'status',flex: 1},</v>
      </c>
      <c r="I29" s="35" t="str">
        <f t="shared" si="5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9" s="28"/>
      <c r="K29" s="35" t="str">
        <f t="shared" si="6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status : string = '' ; </v>
      </c>
      <c r="T29" s="28" t="str">
        <f t="shared" si="14"/>
        <v xml:space="preserve">			this.status,</v>
      </c>
      <c r="U29" s="28" t="str">
        <f t="shared" si="15"/>
        <v xml:space="preserve">		this.status = '',</v>
      </c>
      <c r="V29" s="28" t="str">
        <f t="shared" si="8"/>
        <v/>
      </c>
    </row>
    <row r="30" spans="1:22" ht="15" customHeight="1" x14ac:dyDescent="0.3">
      <c r="A30" t="s">
        <v>383</v>
      </c>
      <c r="B30" s="28" t="str">
        <f t="shared" si="24"/>
        <v>InputDate</v>
      </c>
      <c r="C30" s="28" t="str">
        <f t="shared" si="25"/>
        <v>Input Date</v>
      </c>
      <c r="D30" s="28" t="str">
        <f t="shared" si="26"/>
        <v>inputDate</v>
      </c>
      <c r="E30" s="28" t="str">
        <f>A.Backend!H24</f>
        <v>DateTime?</v>
      </c>
      <c r="F30" s="28" t="str">
        <f>A.Backend!G24</f>
        <v/>
      </c>
      <c r="G30" s="28" t="str">
        <f t="shared" si="3"/>
        <v/>
      </c>
      <c r="H30" s="35" t="str">
        <f t="shared" si="4"/>
        <v xml:space="preserve">			{headerName: this.l('Input Date'),headerTooltip: this.l('Input Date'),field: 'inputDate',flex: 1},</v>
      </c>
      <c r="I30" s="35" t="str">
        <f t="shared" si="5"/>
        <v/>
      </c>
      <c r="J30" s="28"/>
      <c r="K30" s="35" t="str">
        <f t="shared" si="6"/>
        <v/>
      </c>
      <c r="L30" s="56" t="str">
        <f t="shared" si="27"/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inputDate</v>
      </c>
      <c r="T30" s="28" t="str">
        <f t="shared" si="14"/>
        <v xml:space="preserve">			this.inputDate,</v>
      </c>
      <c r="U30" s="28" t="str">
        <f t="shared" si="15"/>
        <v xml:space="preserve">		this.inputDate = '',</v>
      </c>
      <c r="V30" s="28" t="str">
        <f t="shared" si="8"/>
        <v/>
      </c>
    </row>
    <row r="31" spans="1:22" ht="15" customHeight="1" x14ac:dyDescent="0.3">
      <c r="A31" t="s">
        <v>384</v>
      </c>
      <c r="B31" s="28" t="str">
        <f t="shared" ref="B31" si="28">SUBSTITUTE(PROPER(A31),"_","")</f>
        <v>ActualPaymentDate</v>
      </c>
      <c r="C31" s="28" t="str">
        <f t="shared" ref="C31" si="29">SUBSTITUTE(PROPER(A31),"_"," ")</f>
        <v>Actual Payment Date</v>
      </c>
      <c r="D31" s="28" t="str">
        <f t="shared" ref="D31" si="30">LOWER(LEFT(B31,1))&amp;RIGHT(B31,LEN(B31) - 1)</f>
        <v>actualPaymentDate</v>
      </c>
      <c r="E31" s="28" t="str">
        <f>A.Backend!H25</f>
        <v>DateTime?</v>
      </c>
      <c r="F31" s="28" t="str">
        <f>A.Backend!G25</f>
        <v/>
      </c>
      <c r="G31" s="28" t="str">
        <f t="shared" si="3"/>
        <v/>
      </c>
      <c r="H31" s="35" t="str">
        <f t="shared" si="4"/>
        <v xml:space="preserve">			{headerName: this.l('Actual Payment Date'),headerTooltip: this.l('Actual Payment Date'),field: 'actualPaymentDate',flex: 1},</v>
      </c>
      <c r="I31" s="35" t="str">
        <f t="shared" si="5"/>
        <v/>
      </c>
      <c r="J31" s="28"/>
      <c r="K31" s="35" t="str">
        <f t="shared" si="6"/>
        <v/>
      </c>
      <c r="L31" s="56" t="str">
        <f t="shared" ref="L31" si="31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actualPaymentDate</v>
      </c>
      <c r="T31" s="28" t="str">
        <f t="shared" si="14"/>
        <v xml:space="preserve">			this.actualPaymentDate,</v>
      </c>
      <c r="U31" s="28" t="str">
        <f t="shared" si="15"/>
        <v xml:space="preserve">		this.actualPaymentDate = '',</v>
      </c>
      <c r="V31" s="28" t="str">
        <f t="shared" si="8"/>
        <v/>
      </c>
    </row>
    <row r="32" spans="1:22" ht="18" customHeight="1" x14ac:dyDescent="0.3">
      <c r="A32" t="s">
        <v>385</v>
      </c>
      <c r="B32" s="28" t="str">
        <f t="shared" si="0"/>
        <v>OrdertypeCode</v>
      </c>
      <c r="C32" s="28" t="str">
        <f t="shared" si="1"/>
        <v>Ordertype Code</v>
      </c>
      <c r="D32" s="28" t="str">
        <f t="shared" si="2"/>
        <v>ordertypeCode</v>
      </c>
      <c r="E32" s="28" t="str">
        <f>A.Backend!H26</f>
        <v>string</v>
      </c>
      <c r="F32" s="28" t="str">
        <f>A.Backend!G26</f>
        <v>2</v>
      </c>
      <c r="G32" s="28" t="str">
        <f t="shared" si="3"/>
        <v xml:space="preserve"> : string = '' ; </v>
      </c>
      <c r="H32" s="35" t="str">
        <f t="shared" si="4"/>
        <v xml:space="preserve">			{headerName: this.l('Ordertype Code'),headerTooltip: this.l('Ordertype Code'),field: 'ordertypeCode',flex: 1},</v>
      </c>
      <c r="I32" s="35" t="str">
        <f t="shared" si="5"/>
        <v xml:space="preserve">								&lt;div class='input-search'&gt;
									&lt;input [(ngModel)]='ordertypeCode' name='ordertypeCode'
									class='form-control' [placeholder]="l('Ordertype Code')"
									type='text' (keyup.enter)='searchDatas()'&gt;
								&lt;/div&gt;</v>
      </c>
      <c r="J32" s="28"/>
      <c r="K32" s="35" t="str">
        <f t="shared" si="6"/>
        <v xml:space="preserve">					&lt;div class='col-md-12 form-group row'&gt;
						&lt;label class='col-md-2 form-control title'&gt;Ordertype Code&lt;/label&gt;
						&lt;input type='text' class='col-md-10 form-control input-text' name='OrdertypeCode' [(ngModel)]='rowdata.ordertypeCode'&gt;
					&lt;/div&gt;</v>
      </c>
      <c r="L32" s="56" t="str">
        <f t="shared" si="7"/>
        <v/>
      </c>
      <c r="M32" s="28"/>
      <c r="N32" s="28"/>
      <c r="O32" s="28"/>
      <c r="P32" s="28"/>
      <c r="Q32" s="28"/>
      <c r="R32" s="28"/>
      <c r="S32" s="28" t="str">
        <f t="shared" si="13"/>
        <v xml:space="preserve">	ordertypeCode : string = '' ; </v>
      </c>
      <c r="T32" s="28" t="str">
        <f t="shared" si="14"/>
        <v xml:space="preserve">			this.ordertypeCode,</v>
      </c>
      <c r="U32" s="28" t="str">
        <f t="shared" si="15"/>
        <v xml:space="preserve">		this.ordertypeCode = '',</v>
      </c>
      <c r="V32" s="28" t="str">
        <f t="shared" si="8"/>
        <v/>
      </c>
    </row>
    <row r="33" spans="1:22" ht="15" customHeight="1" x14ac:dyDescent="0.3">
      <c r="A33" t="s">
        <v>386</v>
      </c>
      <c r="B33" s="28" t="str">
        <f t="shared" ref="B33:B34" si="32">SUBSTITUTE(PROPER(A33),"_","")</f>
        <v>CompleteTax</v>
      </c>
      <c r="C33" s="28" t="str">
        <f t="shared" ref="C33:C34" si="33">SUBSTITUTE(PROPER(A33),"_"," ")</f>
        <v>Complete Tax</v>
      </c>
      <c r="D33" s="28" t="str">
        <f t="shared" ref="D33:D34" si="34">LOWER(LEFT(B33,1))&amp;RIGHT(B33,LEN(B33) - 1)</f>
        <v>completeTax</v>
      </c>
      <c r="E33" s="28" t="str">
        <f>A.Backend!H27</f>
        <v>decimal?</v>
      </c>
      <c r="F33" s="28" t="str">
        <f>A.Backend!G27</f>
        <v>18,0</v>
      </c>
      <c r="G33" s="28" t="str">
        <f t="shared" si="3"/>
        <v/>
      </c>
      <c r="H33" s="35" t="str">
        <f t="shared" si="4"/>
        <v xml:space="preserve">			{headerName: this.l('Complete Tax'),headerTooltip: this.l('Complete Tax'),field: 'completeTax',flex: 1},</v>
      </c>
      <c r="I33" s="35" t="str">
        <f t="shared" si="5"/>
        <v/>
      </c>
      <c r="J33" s="28"/>
      <c r="K33" s="35" t="str">
        <f t="shared" si="6"/>
        <v/>
      </c>
      <c r="L33" s="56" t="str">
        <f t="shared" ref="L33:L34" si="35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 t="shared" si="13"/>
        <v xml:space="preserve">	completeTax</v>
      </c>
      <c r="T33" s="28" t="str">
        <f t="shared" si="14"/>
        <v xml:space="preserve">			this.completeTax,</v>
      </c>
      <c r="U33" s="28" t="str">
        <f t="shared" si="15"/>
        <v xml:space="preserve">		this.completeTax = '',</v>
      </c>
      <c r="V33" s="28" t="str">
        <f t="shared" si="8"/>
        <v/>
      </c>
    </row>
    <row r="34" spans="1:22" ht="18" customHeight="1" x14ac:dyDescent="0.3">
      <c r="A34" t="s">
        <v>388</v>
      </c>
      <c r="B34" s="28" t="str">
        <f t="shared" si="32"/>
        <v>CompleteVat</v>
      </c>
      <c r="C34" s="28" t="str">
        <f t="shared" si="33"/>
        <v>Complete Vat</v>
      </c>
      <c r="D34" s="28" t="str">
        <f t="shared" si="34"/>
        <v>completeVat</v>
      </c>
      <c r="E34" s="28" t="str">
        <f>A.Backend!H28</f>
        <v>decimal?</v>
      </c>
      <c r="F34" s="28" t="str">
        <f>A.Backend!G28</f>
        <v>18,0</v>
      </c>
      <c r="G34" s="28" t="str">
        <f t="shared" si="3"/>
        <v/>
      </c>
      <c r="H34" s="35" t="str">
        <f t="shared" si="4"/>
        <v xml:space="preserve">			{headerName: this.l('Complete Vat'),headerTooltip: this.l('Complete Vat'),field: 'completeVat',flex: 1},</v>
      </c>
      <c r="I34" s="35" t="str">
        <f t="shared" si="5"/>
        <v/>
      </c>
      <c r="J34" s="28"/>
      <c r="K34" s="35" t="str">
        <f t="shared" si="6"/>
        <v/>
      </c>
      <c r="L34" s="56" t="str">
        <f t="shared" si="35"/>
        <v/>
      </c>
      <c r="M34" s="28"/>
      <c r="N34" s="28"/>
      <c r="O34" s="28"/>
      <c r="P34" s="28"/>
      <c r="Q34" s="28"/>
      <c r="R34" s="28"/>
      <c r="S34" s="28" t="str">
        <f t="shared" si="13"/>
        <v xml:space="preserve">	completeVat</v>
      </c>
      <c r="T34" s="28" t="str">
        <f t="shared" si="14"/>
        <v xml:space="preserve">			this.completeVat,</v>
      </c>
      <c r="U34" s="28" t="str">
        <f t="shared" si="15"/>
        <v xml:space="preserve">		this.completeVat = '',</v>
      </c>
      <c r="V34" s="28" t="str">
        <f t="shared" si="8"/>
        <v/>
      </c>
    </row>
    <row r="35" spans="1:22" ht="18" customHeight="1" x14ac:dyDescent="0.3">
      <c r="A35" t="s">
        <v>389</v>
      </c>
      <c r="B35" s="28" t="str">
        <f>SUBSTITUTE(PROPER(A35),"_","")</f>
        <v>Forwarder</v>
      </c>
      <c r="C35" s="28" t="str">
        <f>SUBSTITUTE(PROPER(A35),"_"," ")</f>
        <v>Forwarder</v>
      </c>
      <c r="D35" s="28" t="str">
        <f>LOWER(LEFT(B35,1))&amp;RIGHT(B35,LEN(B35) - 1)</f>
        <v>forwarder</v>
      </c>
      <c r="E35" s="28" t="str">
        <f>A.Backend!H29</f>
        <v>string</v>
      </c>
      <c r="F35" s="28" t="str">
        <f>A.Backend!G29</f>
        <v>10</v>
      </c>
      <c r="G35" s="28" t="str">
        <f t="shared" si="3"/>
        <v xml:space="preserve"> : string = '' ; </v>
      </c>
      <c r="H35" s="35" t="str">
        <f t="shared" si="4"/>
        <v xml:space="preserve">			{headerName: this.l('Forwarder'),headerTooltip: this.l('Forwarder'),field: 'forwarder',flex: 1},</v>
      </c>
      <c r="I35" s="35" t="str">
        <f t="shared" si="5"/>
        <v xml:space="preserve">								&lt;div class='input-search'&gt;
									&lt;input [(ngModel)]='forwarder' name='forwarder'
									class='form-control' [placeholder]="l('Forwarder')"
									type='text' (keyup.enter)='searchDatas()'&gt;
								&lt;/div&gt;</v>
      </c>
      <c r="J35" s="28"/>
      <c r="K35" s="35" t="str">
        <f t="shared" si="6"/>
        <v xml:space="preserve">					&lt;div class='col-md-12 form-group row'&gt;
						&lt;label class='col-md-2 form-control title'&gt;Forwarder&lt;/label&gt;
						&lt;input type='text' class='col-md-10 form-control input-text' name='Forwarder' [(ngModel)]='rowdata.forwarder'&gt;
					&lt;/div&gt;</v>
      </c>
      <c r="L35" s="56" t="str">
        <f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28"/>
      <c r="N35" s="28"/>
      <c r="O35" s="28"/>
      <c r="P35" s="28"/>
      <c r="Q35" s="28"/>
      <c r="R35" s="28"/>
      <c r="S35" s="28" t="str">
        <f t="shared" si="13"/>
        <v xml:space="preserve">	forwarder : string = '' ; </v>
      </c>
      <c r="T35" s="28" t="str">
        <f t="shared" si="14"/>
        <v xml:space="preserve">			this.forwarder,</v>
      </c>
      <c r="U35" s="28" t="str">
        <f t="shared" si="15"/>
        <v xml:space="preserve">		this.forwarder = '',</v>
      </c>
      <c r="V35" s="28" t="str">
        <f t="shared" si="8"/>
        <v/>
      </c>
    </row>
    <row r="36" spans="1:22" ht="15" customHeight="1" x14ac:dyDescent="0.3">
      <c r="A36" t="s">
        <v>390</v>
      </c>
      <c r="B36" s="28" t="str">
        <f t="shared" ref="B36:B39" si="36">SUBSTITUTE(PROPER(A36),"_","")</f>
        <v>BusinessType</v>
      </c>
      <c r="C36" s="28" t="str">
        <f t="shared" ref="C36:C39" si="37">SUBSTITUTE(PROPER(A36),"_"," ")</f>
        <v>Business Type</v>
      </c>
      <c r="D36" s="28" t="str">
        <f t="shared" ref="D36:D39" si="38">LOWER(LEFT(B36,1))&amp;RIGHT(B36,LEN(B36) - 1)</f>
        <v>businessType</v>
      </c>
      <c r="E36" s="28" t="str">
        <f>A.Backend!H30</f>
        <v>string</v>
      </c>
      <c r="F36" s="28" t="str">
        <f>A.Backend!G30</f>
        <v>12</v>
      </c>
      <c r="G36" s="28" t="str">
        <f t="shared" si="3"/>
        <v xml:space="preserve"> : string = '' ; </v>
      </c>
      <c r="H36" s="35" t="str">
        <f t="shared" si="4"/>
        <v xml:space="preserve">			{headerName: this.l('Business Type'),headerTooltip: this.l('Business Type'),field: 'businessType',flex: 1},</v>
      </c>
      <c r="I36" s="35" t="str">
        <f t="shared" si="5"/>
        <v xml:space="preserve">								&lt;div class='input-search'&gt;
									&lt;input [(ngModel)]='businessType' name='businessType'
									class='form-control' [placeholder]="l('Business Type')"
									type='text' (keyup.enter)='searchDatas()'&gt;
								&lt;/div&gt;</v>
      </c>
      <c r="J36" s="28"/>
      <c r="K36" s="35" t="str">
        <f t="shared" si="6"/>
        <v xml:space="preserve">					&lt;div class='col-md-12 form-group row'&gt;
						&lt;label class='col-md-2 form-control title'&gt;Business Type&lt;/label&gt;
						&lt;input type='text' class='col-md-10 form-control input-text' name='BusinessType' [(ngModel)]='rowdata.businessType'&gt;
					&lt;/div&gt;</v>
      </c>
      <c r="L36" s="56" t="str">
        <f t="shared" ref="L36:L39" si="39"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28"/>
      <c r="N36" s="28"/>
      <c r="O36" s="28"/>
      <c r="P36" s="28"/>
      <c r="Q36" s="28"/>
      <c r="R36" s="28"/>
      <c r="S36" s="28" t="str">
        <f t="shared" si="13"/>
        <v xml:space="preserve">	businessType : string = '' ; </v>
      </c>
      <c r="T36" s="28" t="str">
        <f t="shared" si="14"/>
        <v xml:space="preserve">			this.businessType,</v>
      </c>
      <c r="U36" s="28" t="str">
        <f t="shared" si="15"/>
        <v xml:space="preserve">		this.businessType = '',</v>
      </c>
      <c r="V36" s="28" t="str">
        <f t="shared" si="8"/>
        <v/>
      </c>
    </row>
    <row r="37" spans="1:22" ht="18" customHeight="1" x14ac:dyDescent="0.3">
      <c r="A37" t="s">
        <v>391</v>
      </c>
      <c r="B37" s="28" t="str">
        <f t="shared" si="36"/>
        <v>NoPerGroup</v>
      </c>
      <c r="C37" s="28" t="str">
        <f t="shared" si="37"/>
        <v>No Per Group</v>
      </c>
      <c r="D37" s="28" t="str">
        <f t="shared" si="38"/>
        <v>noPerGroup</v>
      </c>
      <c r="E37" s="28" t="str">
        <f>A.Backend!H31</f>
        <v>int?</v>
      </c>
      <c r="F37" s="28" t="str">
        <f>A.Backend!G31</f>
        <v/>
      </c>
      <c r="G37" s="28" t="str">
        <f t="shared" si="3"/>
        <v/>
      </c>
      <c r="H37" s="35" t="str">
        <f t="shared" si="4"/>
        <v xml:space="preserve">			{headerName: this.l('No Per Group'),headerTooltip: this.l('No Per Group'),field: 'noPerGroup',flex: 1},</v>
      </c>
      <c r="I37" s="35" t="str">
        <f t="shared" si="5"/>
        <v/>
      </c>
      <c r="J37" s="28"/>
      <c r="K37" s="35" t="str">
        <f t="shared" si="6"/>
        <v/>
      </c>
      <c r="L37" s="56" t="str">
        <f t="shared" si="39"/>
        <v/>
      </c>
      <c r="M37" s="28"/>
      <c r="N37" s="28"/>
      <c r="O37" s="28"/>
      <c r="P37" s="28"/>
      <c r="Q37" s="28"/>
      <c r="R37" s="28"/>
      <c r="S37" s="28" t="str">
        <f t="shared" si="13"/>
        <v xml:space="preserve">	noPerGroup</v>
      </c>
      <c r="T37" s="28" t="str">
        <f t="shared" si="14"/>
        <v xml:space="preserve">			this.noPerGroup,</v>
      </c>
      <c r="U37" s="28" t="str">
        <f t="shared" si="15"/>
        <v xml:space="preserve">		this.noPerGroup = '',</v>
      </c>
      <c r="V37" s="28" t="str">
        <f t="shared" si="8"/>
        <v/>
      </c>
    </row>
    <row r="38" spans="1:22" ht="15" customHeight="1" x14ac:dyDescent="0.3">
      <c r="A38" t="s">
        <v>392</v>
      </c>
      <c r="B38" s="28" t="str">
        <f t="shared" si="36"/>
        <v>NumOfGroup</v>
      </c>
      <c r="C38" s="28" t="str">
        <f t="shared" si="37"/>
        <v>Num Of Group</v>
      </c>
      <c r="D38" s="28" t="str">
        <f t="shared" si="38"/>
        <v>numOfGroup</v>
      </c>
      <c r="E38" s="28" t="str">
        <f>A.Backend!H32</f>
        <v>int?</v>
      </c>
      <c r="F38" s="28" t="str">
        <f>A.Backend!G32</f>
        <v/>
      </c>
      <c r="G38" s="28" t="str">
        <f t="shared" si="3"/>
        <v/>
      </c>
      <c r="H38" s="35" t="str">
        <f t="shared" si="4"/>
        <v xml:space="preserve">			{headerName: this.l('Num Of Group'),headerTooltip: this.l('Num Of Group'),field: 'numOfGroup',flex: 1},</v>
      </c>
      <c r="I38" s="35" t="str">
        <f t="shared" si="5"/>
        <v/>
      </c>
      <c r="J38" s="28"/>
      <c r="K38" s="35" t="str">
        <f t="shared" si="6"/>
        <v/>
      </c>
      <c r="L38" s="56" t="str">
        <f t="shared" si="39"/>
        <v/>
      </c>
      <c r="M38" s="28"/>
      <c r="N38" s="28"/>
      <c r="O38" s="28"/>
      <c r="P38" s="28"/>
      <c r="Q38" s="28"/>
      <c r="R38" s="28"/>
      <c r="S38" s="28" t="str">
        <f t="shared" si="13"/>
        <v xml:space="preserve">	numOfGroup</v>
      </c>
      <c r="T38" s="28" t="str">
        <f t="shared" si="14"/>
        <v xml:space="preserve">			this.numOfGroup,</v>
      </c>
      <c r="U38" s="28" t="str">
        <f t="shared" si="15"/>
        <v xml:space="preserve">		this.numOfGroup = '',</v>
      </c>
      <c r="V38" s="28" t="str">
        <f t="shared" si="8"/>
        <v/>
      </c>
    </row>
    <row r="39" spans="1:22" ht="18" customHeight="1" x14ac:dyDescent="0.3">
      <c r="A39" t="s">
        <v>393</v>
      </c>
      <c r="B39" s="28" t="str">
        <f t="shared" si="36"/>
        <v>Isvnaccs</v>
      </c>
      <c r="C39" s="28" t="str">
        <f t="shared" si="37"/>
        <v>Isvnaccs</v>
      </c>
      <c r="D39" s="28" t="str">
        <f t="shared" si="38"/>
        <v>isvnaccs</v>
      </c>
      <c r="E39" s="28" t="str">
        <f>A.Backend!H33</f>
        <v>int?</v>
      </c>
      <c r="F39" s="28" t="str">
        <f>A.Backend!G33</f>
        <v/>
      </c>
      <c r="G39" s="28" t="str">
        <f t="shared" si="3"/>
        <v/>
      </c>
      <c r="H39" s="35" t="str">
        <f t="shared" si="4"/>
        <v xml:space="preserve">			{headerName: this.l('Isvnaccs'),headerTooltip: this.l('Isvnaccs'),field: 'isvnaccs',flex: 1},</v>
      </c>
      <c r="I39" s="35" t="str">
        <f t="shared" si="5"/>
        <v/>
      </c>
      <c r="J39" s="28"/>
      <c r="K39" s="35" t="str">
        <f t="shared" si="6"/>
        <v/>
      </c>
      <c r="L39" s="56" t="str">
        <f t="shared" si="39"/>
        <v/>
      </c>
      <c r="M39" s="28"/>
      <c r="N39" s="28"/>
      <c r="O39" s="28"/>
      <c r="P39" s="28"/>
      <c r="Q39" s="28"/>
      <c r="R39" s="28"/>
      <c r="S39" s="28" t="str">
        <f t="shared" si="13"/>
        <v xml:space="preserve">	isvnaccs</v>
      </c>
      <c r="T39" s="28" t="str">
        <f t="shared" si="14"/>
        <v xml:space="preserve">			this.isvnaccs,</v>
      </c>
      <c r="U39" s="28" t="str">
        <f t="shared" si="15"/>
        <v xml:space="preserve">		this.isvnaccs = '',</v>
      </c>
      <c r="V39" s="28" t="str">
        <f t="shared" si="8"/>
        <v/>
      </c>
    </row>
    <row r="40" spans="1:22" ht="18" customHeight="1" x14ac:dyDescent="0.3">
      <c r="A40" t="s">
        <v>394</v>
      </c>
      <c r="B40" s="28" t="str">
        <f>SUBSTITUTE(PROPER(A40),"_","")</f>
        <v>StatusCo</v>
      </c>
      <c r="C40" s="28" t="str">
        <f>SUBSTITUTE(PROPER(A40),"_"," ")</f>
        <v>Status Co</v>
      </c>
      <c r="D40" s="28" t="str">
        <f>LOWER(LEFT(B40,1))&amp;RIGHT(B40,LEN(B40) - 1)</f>
        <v>statusCo</v>
      </c>
      <c r="E40" s="28" t="str">
        <f>A.Backend!H34</f>
        <v>int?</v>
      </c>
      <c r="F40" s="28" t="str">
        <f>A.Backend!G34</f>
        <v/>
      </c>
      <c r="G40" s="28" t="str">
        <f t="shared" si="3"/>
        <v/>
      </c>
      <c r="H40" s="35" t="str">
        <f t="shared" si="4"/>
        <v xml:space="preserve">			{headerName: this.l('Status Co'),headerTooltip: this.l('Status Co'),field: 'statusCo',flex: 1},</v>
      </c>
      <c r="I40" s="35" t="str">
        <f t="shared" si="5"/>
        <v/>
      </c>
      <c r="J40" s="28"/>
      <c r="K40" s="35" t="str">
        <f t="shared" si="6"/>
        <v/>
      </c>
      <c r="L40" s="56" t="str">
        <f>IF(E40="DateTime",
REPT(CHAR(9),2)&amp;"const dateValue =  this.rowdata."&amp;D40&amp;" ? new Date(this.rowdata."&amp;D40&amp;"?.toString()) : new Date();
"&amp;REPT(CHAR(9),2)&amp;"this.datepicker?.bsValueChange.emit(dateValue);","")</f>
        <v/>
      </c>
      <c r="M40" s="28"/>
      <c r="N40" s="28"/>
      <c r="O40" s="28"/>
      <c r="P40" s="28"/>
      <c r="Q40" s="28"/>
      <c r="R40" s="28"/>
      <c r="S40" s="28" t="str">
        <f t="shared" si="13"/>
        <v xml:space="preserve">	statusCo</v>
      </c>
      <c r="T40" s="28" t="str">
        <f t="shared" si="14"/>
        <v xml:space="preserve">			this.statusCo,</v>
      </c>
      <c r="U40" s="28" t="str">
        <f t="shared" si="15"/>
        <v xml:space="preserve">		this.statusCo = '',</v>
      </c>
      <c r="V40" s="28" t="str">
        <f t="shared" si="8"/>
        <v/>
      </c>
    </row>
    <row r="41" spans="1:22" ht="15" customHeight="1" x14ac:dyDescent="0.3">
      <c r="A41" t="s">
        <v>395</v>
      </c>
      <c r="B41" s="28" t="str">
        <f t="shared" ref="B41:B44" si="40">SUBSTITUTE(PROPER(A41),"_","")</f>
        <v>IsFromEcus</v>
      </c>
      <c r="C41" s="28" t="str">
        <f t="shared" ref="C41:C44" si="41">SUBSTITUTE(PROPER(A41),"_"," ")</f>
        <v>Is From Ecus</v>
      </c>
      <c r="D41" s="28" t="str">
        <f t="shared" ref="D41:D44" si="42">LOWER(LEFT(B41,1))&amp;RIGHT(B41,LEN(B41) - 1)</f>
        <v>isFromEcus</v>
      </c>
      <c r="E41" s="28" t="str">
        <f>A.Backend!H35</f>
        <v>int?</v>
      </c>
      <c r="F41" s="28" t="str">
        <f>A.Backend!G35</f>
        <v/>
      </c>
      <c r="G41" s="28" t="str">
        <f t="shared" si="3"/>
        <v/>
      </c>
      <c r="H41" s="35" t="str">
        <f t="shared" si="4"/>
        <v xml:space="preserve">			{headerName: this.l('Is From Ecus'),headerTooltip: this.l('Is From Ecus'),field: 'isFromEcus',flex: 1},</v>
      </c>
      <c r="I41" s="35" t="str">
        <f t="shared" si="5"/>
        <v/>
      </c>
      <c r="J41" s="28"/>
      <c r="K41" s="35" t="str">
        <f t="shared" si="6"/>
        <v/>
      </c>
      <c r="L41" s="56" t="str">
        <f t="shared" ref="L41:L44" si="43">IF(E41="DateTime",
REPT(CHAR(9),2)&amp;"const dateValue =  this.rowdata."&amp;D41&amp;" ? new Date(this.rowdata."&amp;D41&amp;"?.toString()) : new Date();
"&amp;REPT(CHAR(9),2)&amp;"this.datepicker?.bsValueChange.emit(dateValue);","")</f>
        <v/>
      </c>
      <c r="M41" s="28"/>
      <c r="N41" s="28"/>
      <c r="O41" s="28"/>
      <c r="P41" s="28"/>
      <c r="Q41" s="28"/>
      <c r="R41" s="28"/>
      <c r="S41" s="28" t="str">
        <f t="shared" si="13"/>
        <v xml:space="preserve">	isFromEcus</v>
      </c>
      <c r="T41" s="28" t="str">
        <f t="shared" si="14"/>
        <v xml:space="preserve">			this.isFromEcus,</v>
      </c>
      <c r="U41" s="28" t="str">
        <f t="shared" si="15"/>
        <v xml:space="preserve">		this.isFromEcus = '',</v>
      </c>
      <c r="V41" s="28" t="str">
        <f t="shared" si="8"/>
        <v/>
      </c>
    </row>
    <row r="42" spans="1:22" ht="18" customHeight="1" x14ac:dyDescent="0.3">
      <c r="A42" t="s">
        <v>366</v>
      </c>
      <c r="B42" s="28" t="str">
        <f t="shared" ref="B42" si="44">SUBSTITUTE(PROPER(A42),"_","")</f>
        <v>DeclareType</v>
      </c>
      <c r="C42" s="28" t="str">
        <f t="shared" ref="C42" si="45">SUBSTITUTE(PROPER(A42),"_"," ")</f>
        <v>Declare Type</v>
      </c>
      <c r="D42" s="28" t="str">
        <f t="shared" ref="D42" si="46">LOWER(LEFT(B42,1))&amp;RIGHT(B42,LEN(B42) - 1)</f>
        <v>declareType</v>
      </c>
      <c r="E42" s="28" t="str">
        <f>A.Backend!H35</f>
        <v>int?</v>
      </c>
      <c r="F42" s="28" t="str">
        <f>A.Backend!G35</f>
        <v/>
      </c>
      <c r="G42" s="28" t="str">
        <f t="shared" ref="G42" si="47">IF(E42="string"," : string = '' ; ",IF(OR(E42="DateTime",E42="TimeSpan")," : any ;",IF(E42="int"," : number = 0 ;","")))</f>
        <v/>
      </c>
      <c r="H42" s="35" t="str">
        <f t="shared" ref="H42" si="48">IF(E42="DateTime",
REPT(CHAR(9),3)&amp;"{headerName: this.l('"&amp;C42&amp;"'),headerTooltip: this.l('"&amp;C42&amp;"'),field: '"&amp;D42&amp;"',valueGetter: (params) =&gt; this.pipe.transform(params.data?."&amp;D42&amp;", 'dd/MM/yyyy'),flex: 1},",
IF(AND(E42="string",F42="1"),
REPT(CHAR(9),3)&amp;"{headerName: this.l('"&amp;C42&amp;"'),headerTooltip: this.l('"&amp;C42&amp;"'),field:  '"&amp;D42&amp;"', cellClass: ['text-center'], width: 120, cellRenderer: 'agCellButtonComponent',
buttonDefTwo: { text: params =&gt; (params.data?.'"&amp;D42&amp;"' == 'Y') ? 'Active' : 'Inactive',iconName: 'fa fa-circle',className: params =&gt; (params.data?.'"&amp;D42&amp;"' == 'Y') ? 'btnActive' : 'btnInActive',},}",
REPT(CHAR(9),3)&amp;"{headerName: this.l('"&amp;C42&amp;"'),headerTooltip: this.l('"&amp;C42&amp;"'),field: '"&amp;D42&amp;"',flex: 1},"))</f>
        <v xml:space="preserve">			{headerName: this.l('Declare Type'),headerTooltip: this.l('Declare Type'),field: 'declareType',flex: 1},</v>
      </c>
      <c r="I42" s="35" t="str">
        <f t="shared" ref="I42" si="49">IF(E42="DateTime",
REPT(CHAR(9),8)&amp;"&lt;div class='input-search'&gt;
"&amp;REPT(CHAR(9),9)&amp;"&lt;input type='text' [placeholder]=""l('"&amp;C42&amp;"')"" [(ngModel)]='"&amp;D42&amp;"' 
"&amp;REPT(CHAR(9),9)&amp;"name='"&amp;D42&amp;"'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IF(E42="string",
REPT(CHAR(9),8)&amp;"&lt;div class='input-search'&gt;
"&amp;REPT(CHAR(9),9)&amp;"&lt;input [(ngModel)]='"&amp;D42&amp;"' name='"&amp;D42&amp;"'
"&amp;REPT(CHAR(9),9)&amp;"class='form-control' [placeholder]=""l('"&amp;C42&amp;"')""
"&amp;REPT(CHAR(9),9)&amp;"type='text' (keyup.enter)='searchDatas()'&gt;
"&amp;REPT(CHAR(9),8)&amp;"&lt;/div&gt;",""))</f>
        <v/>
      </c>
      <c r="J42" s="28"/>
      <c r="K42" s="35" t="str">
        <f t="shared" ref="K42" si="50">IF(OR(E42="DateTime",E42="TimeSpan"),
REPT(CHAR(9),5)&amp;"&lt;div class='col-md-12 form-group row'&gt;
"&amp;REPT(CHAR(9),6)&amp;"&lt;label class='col-md-2 form-control title'&gt;"&amp;C42&amp;"&lt;/label&gt;
"&amp;REPT(CHAR(9),6)&amp;"&lt;input type='text' class='col-md-10 form-control input-text' name='"&amp;D42&amp;"' 
"&amp;REPT(CHAR(9),6)&amp;"#datepicker='bsDatepicker' [(ngModel)]='rowdata."&amp;D42&amp;"'  bsDatepicker &gt;
"&amp;REPT(CHAR(9),5)&amp;"&lt;/div&gt;",
IF(AND(E42="string",F42="1"),
REPT(CHAR(9),5)&amp;"&lt;div class='col-md-12 form-group row'&gt;
"&amp;REPT(CHAR(9),6)&amp;"&lt;label class='col-md-2 form-control title'&gt;"&amp;C42&amp;"&lt;/label&gt;
"&amp;REPT(CHAR(9),6)&amp;"&lt;new-checkbox [(ngModel)]='_"&amp;D42&amp;"' name='"&amp;D42&amp;"' className='col-md-10' &gt; &lt;/new-checkbox&gt;
"&amp;REPT(CHAR(9),5)&amp;"&lt;/div&gt;",
IF(E42="string",
REPT(CHAR(9),5)&amp;"&lt;div class='col-md-12 form-group row'&gt;
"&amp;REPT(CHAR(9),6)&amp;"&lt;label class='col-md-2 form-control title'&gt;"&amp;C42&amp;"&lt;/label&gt;
"&amp;REPT(CHAR(9),6)&amp;"&lt;input type='text' class='col-md-10 form-control input-text' name='"&amp;B42&amp;"' [(ngModel)]='rowdata."&amp;D42&amp;"'&gt;
"&amp;REPT(CHAR(9),5)&amp;"&lt;/div&gt;",
IF(E42="int",
REPT(CHAR(9),5)&amp;"&lt;div class='col-md-12 form-group row'&gt;
"&amp;REPT(CHAR(9),6)&amp;"&lt;label class='col-md-2 form-control title'&gt;"&amp;C42&amp;"&lt;/label&gt;
"&amp;REPT(CHAR(9),6)&amp;"&lt;input type='number' class='col-md-10 form-control input-text' name='"&amp;B42&amp;"' [(ngModel)]='rowdata."&amp;D42&amp;"'&gt;
"&amp;REPT(CHAR(9),5)&amp;"&lt;/div&gt;",""))))</f>
        <v/>
      </c>
      <c r="L42" s="56" t="str">
        <f t="shared" ref="L42" si="51">IF(E42="DateTime",
REPT(CHAR(9),2)&amp;"const dateValue =  this.rowdata."&amp;D42&amp;" ? new Date(this.rowdata."&amp;D42&amp;"?.toString()) : new Date();
"&amp;REPT(CHAR(9),2)&amp;"this.datepicker?.bsValueChange.emit(dateValue);","")</f>
        <v/>
      </c>
      <c r="M42" s="28"/>
      <c r="N42" s="28"/>
      <c r="O42" s="28"/>
      <c r="P42" s="28"/>
      <c r="Q42" s="28"/>
      <c r="R42" s="28"/>
      <c r="S42" s="28" t="str">
        <f t="shared" ref="S42" si="52">REPT(CHAR(9),1)&amp;D42&amp;G42</f>
        <v xml:space="preserve">	declareType</v>
      </c>
      <c r="T42" s="28" t="str">
        <f t="shared" ref="T42" si="53">REPT(CHAR(9),3)&amp;"this."&amp;D42&amp;","</f>
        <v xml:space="preserve">			this.declareType,</v>
      </c>
      <c r="U42" s="28" t="str">
        <f t="shared" ref="U42" si="54">IF(E42="int",REPT(CHAR(9),2)&amp;"this."&amp;D42&amp;" = 0,",REPT(CHAR(9),2)&amp;"this."&amp;D42&amp;" = '',")</f>
        <v xml:space="preserve">		this.declareType = '',</v>
      </c>
      <c r="V42" s="28" t="str">
        <f t="shared" ref="V42" si="55">IF(AND(E42="string",F42="1"),D42,"")</f>
        <v/>
      </c>
    </row>
    <row r="43" spans="1:22" ht="18" customHeight="1" x14ac:dyDescent="0.3">
      <c r="A43" t="s">
        <v>399</v>
      </c>
      <c r="B43" s="28" t="str">
        <f t="shared" si="40"/>
        <v>CreatedDate</v>
      </c>
      <c r="C43" s="28" t="str">
        <f t="shared" si="41"/>
        <v>Created Date</v>
      </c>
      <c r="D43" s="28" t="str">
        <f t="shared" si="42"/>
        <v>createdDate</v>
      </c>
      <c r="E43" s="28" t="str">
        <f>A.Backend!H36</f>
        <v>string</v>
      </c>
      <c r="F43" s="28" t="str">
        <f>A.Backend!G36</f>
        <v>10</v>
      </c>
      <c r="G43" s="28" t="str">
        <f t="shared" si="3"/>
        <v xml:space="preserve"> : string = '' ; </v>
      </c>
      <c r="H43" s="35" t="str">
        <f t="shared" si="4"/>
        <v xml:space="preserve">			{headerName: this.l('Created Date'),headerTooltip: this.l('Created Date'),field: 'createdDate',flex: 1},</v>
      </c>
      <c r="I43" s="35" t="str">
        <f t="shared" si="5"/>
        <v xml:space="preserve">								&lt;div class='input-search'&gt;
									&lt;input [(ngModel)]='createdDate' name='createdDate'
									class='form-control' [placeholder]="l('Created Date')"
									type='text' (keyup.enter)='searchDatas()'&gt;
								&lt;/div&gt;</v>
      </c>
      <c r="J43" s="28"/>
      <c r="K43" s="35" t="str">
        <f t="shared" si="6"/>
        <v xml:space="preserve">					&lt;div class='col-md-12 form-group row'&gt;
						&lt;label class='col-md-2 form-control title'&gt;Created Date&lt;/label&gt;
						&lt;input type='text' class='col-md-10 form-control input-text' name='CreatedDate' [(ngModel)]='rowdata.createdDate'&gt;
					&lt;/div&gt;</v>
      </c>
      <c r="L43" s="56" t="str">
        <f t="shared" si="43"/>
        <v/>
      </c>
      <c r="M43" s="28"/>
      <c r="N43" s="28"/>
      <c r="O43" s="28"/>
      <c r="P43" s="28"/>
      <c r="Q43" s="28"/>
      <c r="R43" s="28"/>
      <c r="S43" s="28" t="str">
        <f t="shared" si="13"/>
        <v xml:space="preserve">	createdDate : string = '' ; </v>
      </c>
      <c r="T43" s="28" t="str">
        <f t="shared" si="14"/>
        <v xml:space="preserve">			this.createdDate,</v>
      </c>
      <c r="U43" s="28" t="str">
        <f t="shared" si="15"/>
        <v xml:space="preserve">		this.createdDate = '',</v>
      </c>
      <c r="V43" s="28" t="str">
        <f t="shared" si="8"/>
        <v/>
      </c>
    </row>
    <row r="44" spans="1:22" ht="15" customHeight="1" x14ac:dyDescent="0.3">
      <c r="A44" t="s">
        <v>319</v>
      </c>
      <c r="B44" s="28" t="str">
        <f t="shared" si="40"/>
        <v>IsActive</v>
      </c>
      <c r="C44" s="28" t="str">
        <f t="shared" si="41"/>
        <v>Is Active</v>
      </c>
      <c r="D44" s="28" t="str">
        <f t="shared" si="42"/>
        <v>isActive</v>
      </c>
      <c r="E44" s="28" t="str">
        <f>A.Backend!H38</f>
        <v>string</v>
      </c>
      <c r="F44" s="28" t="str">
        <f>A.Backend!G38</f>
        <v>1</v>
      </c>
      <c r="G44" s="28" t="str">
        <f t="shared" si="3"/>
        <v xml:space="preserve"> : string = '' ; </v>
      </c>
      <c r="H44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44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44" s="28"/>
      <c r="K44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44" s="56" t="str">
        <f t="shared" si="43"/>
        <v/>
      </c>
      <c r="M44" s="28"/>
      <c r="N44" s="28"/>
      <c r="O44" s="28"/>
      <c r="P44" s="28"/>
      <c r="Q44" s="28"/>
      <c r="R44" s="28"/>
      <c r="S44" s="28" t="str">
        <f t="shared" si="13"/>
        <v xml:space="preserve">	isActive : string = '' ; </v>
      </c>
      <c r="T44" s="28" t="str">
        <f t="shared" si="14"/>
        <v xml:space="preserve">			this.isActive,</v>
      </c>
      <c r="U44" s="28" t="str">
        <f t="shared" si="15"/>
        <v xml:space="preserve">		this.isActive = '',</v>
      </c>
      <c r="V44" s="28" t="str">
        <f t="shared" si="8"/>
        <v>isActive</v>
      </c>
    </row>
    <row r="46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7734375" defaultRowHeight="14.4" x14ac:dyDescent="0.3"/>
  <cols>
    <col min="1" max="1" width="22.44140625" bestFit="1" customWidth="1"/>
    <col min="2" max="2" width="29.777343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356</v>
      </c>
    </row>
    <row r="7" spans="1:2" x14ac:dyDescent="0.3">
      <c r="A7" t="s">
        <v>24</v>
      </c>
      <c r="B7" t="s">
        <v>351</v>
      </c>
    </row>
    <row r="8" spans="1:2" x14ac:dyDescent="0.3">
      <c r="A8" t="s">
        <v>4</v>
      </c>
      <c r="B8" t="s">
        <v>351</v>
      </c>
    </row>
    <row r="9" spans="1:2" x14ac:dyDescent="0.3">
      <c r="A9" t="s">
        <v>0</v>
      </c>
      <c r="B9" t="s">
        <v>352</v>
      </c>
    </row>
    <row r="10" spans="1:2" x14ac:dyDescent="0.3">
      <c r="A10" t="s">
        <v>25</v>
      </c>
      <c r="B10" t="s">
        <v>355</v>
      </c>
    </row>
    <row r="11" spans="1:2" x14ac:dyDescent="0.3">
      <c r="A11" t="s">
        <v>26</v>
      </c>
      <c r="B11" t="s">
        <v>355</v>
      </c>
    </row>
    <row r="12" spans="1:2" x14ac:dyDescent="0.3">
      <c r="A12" t="s">
        <v>27</v>
      </c>
      <c r="B12" t="s">
        <v>355</v>
      </c>
    </row>
    <row r="13" spans="1:2" x14ac:dyDescent="0.3">
      <c r="A13" t="s">
        <v>28</v>
      </c>
      <c r="B13" t="s">
        <v>355</v>
      </c>
    </row>
    <row r="14" spans="1:2" x14ac:dyDescent="0.3">
      <c r="A14" t="s">
        <v>29</v>
      </c>
      <c r="B14" t="s">
        <v>355</v>
      </c>
    </row>
    <row r="15" spans="1:2" x14ac:dyDescent="0.3">
      <c r="A15" t="s">
        <v>30</v>
      </c>
      <c r="B15" t="s">
        <v>355</v>
      </c>
    </row>
    <row r="16" spans="1:2" x14ac:dyDescent="0.3">
      <c r="A16" t="s">
        <v>31</v>
      </c>
      <c r="B16" t="s">
        <v>353</v>
      </c>
    </row>
    <row r="17" spans="1:2" x14ac:dyDescent="0.3">
      <c r="A17" t="s">
        <v>3</v>
      </c>
      <c r="B17" t="s">
        <v>353</v>
      </c>
    </row>
    <row r="18" spans="1:2" x14ac:dyDescent="0.3">
      <c r="A18" t="s">
        <v>33</v>
      </c>
      <c r="B18" t="s">
        <v>353</v>
      </c>
    </row>
    <row r="19" spans="1:2" x14ac:dyDescent="0.3">
      <c r="A19" t="s">
        <v>2</v>
      </c>
      <c r="B19" t="s">
        <v>353</v>
      </c>
    </row>
    <row r="20" spans="1:2" x14ac:dyDescent="0.3">
      <c r="A20" t="s">
        <v>263</v>
      </c>
      <c r="B20" t="s">
        <v>354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7734375" defaultRowHeight="15.6" x14ac:dyDescent="0.3"/>
  <cols>
    <col min="1" max="1" width="14.21875" customWidth="1"/>
    <col min="2" max="2" width="71.7773437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2023-05-26T09:56:01Z</dcterms:modified>
</cp:coreProperties>
</file>
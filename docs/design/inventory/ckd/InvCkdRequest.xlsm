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inventory\ckd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1" i="5" l="1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B7" i="5" l="1"/>
  <c r="B6" i="5"/>
  <c r="B2" i="5"/>
  <c r="B8" i="5" l="1"/>
  <c r="B3" i="5"/>
  <c r="L15" i="1"/>
  <c r="G15" i="1"/>
  <c r="F21" i="5" s="1"/>
  <c r="E15" i="1"/>
  <c r="H15" i="1" s="1"/>
  <c r="E21" i="5" s="1"/>
  <c r="D15" i="1"/>
  <c r="V15" i="1" s="1"/>
  <c r="G14" i="1"/>
  <c r="F20" i="5" s="1"/>
  <c r="E14" i="1"/>
  <c r="H14" i="1" s="1"/>
  <c r="E20" i="5" s="1"/>
  <c r="D14" i="1"/>
  <c r="T14" i="1" s="1"/>
  <c r="L21" i="5" l="1"/>
  <c r="K21" i="5"/>
  <c r="I21" i="5"/>
  <c r="H21" i="5"/>
  <c r="G21" i="5"/>
  <c r="S21" i="5" s="1"/>
  <c r="V21" i="5"/>
  <c r="U21" i="5"/>
  <c r="K20" i="5"/>
  <c r="I20" i="5"/>
  <c r="U20" i="5"/>
  <c r="H20" i="5"/>
  <c r="G20" i="5"/>
  <c r="S20" i="5" s="1"/>
  <c r="L20" i="5"/>
  <c r="V20" i="5"/>
  <c r="P15" i="1"/>
  <c r="W15" i="1"/>
  <c r="M14" i="1"/>
  <c r="N14" i="1"/>
  <c r="I14" i="1"/>
  <c r="W14" i="1"/>
  <c r="O14" i="1"/>
  <c r="J14" i="1"/>
  <c r="M15" i="1"/>
  <c r="T15" i="1"/>
  <c r="V14" i="1"/>
  <c r="I15" i="1"/>
  <c r="N15" i="1"/>
  <c r="P14" i="1"/>
  <c r="J15" i="1"/>
  <c r="O15" i="1"/>
  <c r="C17" i="5"/>
  <c r="B17" i="5"/>
  <c r="D17" i="5" s="1"/>
  <c r="T17" i="5" s="1"/>
  <c r="C16" i="5"/>
  <c r="B16" i="5"/>
  <c r="D16" i="5" s="1"/>
  <c r="T16" i="5" s="1"/>
  <c r="B6" i="1" l="1"/>
  <c r="G13" i="1"/>
  <c r="F19" i="5" s="1"/>
  <c r="E13" i="1"/>
  <c r="H13" i="1" s="1"/>
  <c r="E19" i="5" s="1"/>
  <c r="D13" i="1"/>
  <c r="V13" i="1" s="1"/>
  <c r="I19" i="5" l="1"/>
  <c r="H19" i="5"/>
  <c r="G19" i="5"/>
  <c r="S19" i="5" s="1"/>
  <c r="V19" i="5"/>
  <c r="U19" i="5"/>
  <c r="K19" i="5"/>
  <c r="L19" i="5"/>
  <c r="W13" i="1"/>
  <c r="N13" i="1"/>
  <c r="I13" i="1"/>
  <c r="M13" i="1"/>
  <c r="O13" i="1"/>
  <c r="J13" i="1"/>
  <c r="L13" i="1"/>
  <c r="P13" i="1"/>
  <c r="T13" i="1"/>
  <c r="C15" i="5"/>
  <c r="B15" i="5"/>
  <c r="D15" i="5" s="1"/>
  <c r="T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H18" i="5" l="1"/>
  <c r="G18" i="5"/>
  <c r="S18" i="5" s="1"/>
  <c r="V18" i="5"/>
  <c r="U18" i="5"/>
  <c r="K18" i="5"/>
  <c r="I18" i="5"/>
  <c r="L18" i="5"/>
  <c r="G17" i="5"/>
  <c r="S17" i="5" s="1"/>
  <c r="V17" i="5"/>
  <c r="U17" i="5"/>
  <c r="K17" i="5"/>
  <c r="I17" i="5"/>
  <c r="H17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I16" i="5"/>
  <c r="K16" i="5"/>
  <c r="H16" i="5"/>
  <c r="G16" i="5"/>
  <c r="S16" i="5" s="1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7" i="1"/>
  <c r="K12" i="5" l="1"/>
  <c r="H12" i="5"/>
  <c r="V12" i="5"/>
  <c r="T12" i="5"/>
  <c r="U12" i="5"/>
  <c r="I12" i="5"/>
  <c r="L12" i="5"/>
  <c r="S12" i="5"/>
  <c r="R3" i="1" l="1"/>
  <c r="D1" i="1"/>
  <c r="F6" i="1"/>
  <c r="T17" i="1"/>
  <c r="T13" i="5"/>
  <c r="T7" i="1" l="1"/>
  <c r="W17" i="1"/>
  <c r="G6" i="1" l="1"/>
  <c r="L13" i="5"/>
  <c r="S13" i="5"/>
  <c r="I13" i="5"/>
  <c r="U13" i="5"/>
  <c r="V13" i="5"/>
  <c r="H13" i="5"/>
  <c r="K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4" i="1" l="1"/>
  <c r="L9" i="1"/>
  <c r="L10" i="1"/>
  <c r="C7" i="1"/>
  <c r="N17" i="1"/>
  <c r="I17" i="1"/>
  <c r="P17" i="1"/>
  <c r="O17" i="1"/>
  <c r="J17" i="1"/>
  <c r="Q7" i="1" l="1"/>
  <c r="M68" i="3" s="1"/>
  <c r="L7" i="1"/>
  <c r="G68" i="3" s="1"/>
  <c r="K68" i="3"/>
  <c r="J68" i="3"/>
  <c r="K17" i="1"/>
  <c r="M17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<sst xmlns="http://schemas.openxmlformats.org/spreadsheetml/2006/main" count="553" uniqueCount="434">
  <si>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</si>
  <si>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</si>
  <si>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</si>
  <si>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</si>
  <si>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</si>
  <si>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</si>
  <si>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</si>
  <si>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</si>
  <si>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</si>
  <si>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</si>
  <si>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</si>
  <si>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</si>
  <si>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</si>
  <si>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</si>
  <si>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</si>
  <si>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</si>
  <si>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</si>
  <si>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</si>
  <si>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</si>
  <si>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</si>
  <si>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</si>
  <si>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</si>
  <si>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</si>
  <si>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</si>
  <si>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</si>
  <si>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</si>
  <si>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</si>
  <si>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</si>
  <si>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</si>
  <si>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</si>
  <si>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</si>
  <si>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</si>
  <si>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</si>
  <si>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</si>
  <si>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</si>
  <si>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</si>
  <si>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</si>
  <si>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</si>
  <si>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</si>
  <si>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</si>
  <si>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</si>
  <si>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</si>
  <si>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</si>
  <si>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</si>
  <si>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</si>
  <si>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</si>
  <si>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</si>
  <si>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</si>
  <si>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</si>
  <si>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</si>
  <si>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</si>
  <si>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</si>
  <si>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</si>
  <si>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</si>
  <si>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</si>
  <si>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</si>
  <si>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</si>
  <si>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</si>
  <si>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</si>
  <si>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</si>
  <si>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</si>
  <si>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</si>
  <si>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</si>
  <si>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</si>
  <si>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</si>
  <si>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</si>
  <si>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</si>
  <si>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</si>
  <si>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</si>
  <si>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</si>
  <si>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</si>
  <si>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</si>
  <si>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</si>
  <si>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</si>
  <si>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</si>
  <si>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</si>
  <si>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</si>
  <si>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</si>
  <si>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</si>
  <si>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</si>
  <si>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</si>
  <si>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</si>
  <si>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</si>
  <si>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</si>
  <si>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</si>
  <si>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</si>
  <si>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</si>
  <si>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</si>
  <si>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</si>
  <si>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</si>
  <si>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</si>
  <si>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</si>
  <si>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</si>
  <si>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</si>
  <si>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</si>
  <si>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</si>
  <si>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</si>
  <si>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</si>
  <si>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</si>
  <si>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</si>
  <si>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</si>
  <si>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</si>
  <si>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</si>
  <si>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</si>
  <si>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</si>
  <si>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</si>
  <si>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</si>
  <si>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</si>
  <si>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</si>
  <si>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</si>
  <si>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</si>
  <si>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</si>
  <si>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</si>
  <si>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</si>
  <si>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</si>
  <si>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</si>
  <si>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</si>
  <si>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</si>
  <si>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</si>
  <si>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</si>
  <si>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</si>
  <si>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</si>
  <si>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</si>
  <si>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</si>
  <si>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</si>
  <si>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</si>
  <si>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</si>
  <si>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</si>
  <si>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</si>
  <si>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</si>
  <si>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</si>
  <si>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</si>
  <si>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</si>
  <si>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</si>
  <si>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</si>
  <si>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</si>
  <si>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</si>
  <si>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</si>
  <si>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</si>
  <si>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</si>
  <si>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</si>
  <si>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</si>
  <si>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</si>
  <si>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</si>
  <si>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</si>
  <si>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</si>
  <si>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</si>
  <si>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</si>
  <si>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</si>
  <si>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</si>
  <si>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</si>
  <si>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</si>
  <si>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</si>
  <si>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</si>
  <si>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</si>
  <si>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</si>
  <si>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</si>
  <si>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</si>
  <si>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</si>
  <si>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</si>
  <si>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</si>
  <si>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</si>
  <si>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</si>
  <si>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</si>
  <si>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</si>
  <si>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</si>
  <si>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</si>
  <si>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</si>
  <si>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</si>
  <si>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</si>
  <si>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</si>
  <si>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</si>
  <si>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</si>
  <si>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</si>
  <si>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</si>
  <si>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</si>
  <si>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</si>
  <si>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</si>
  <si>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</si>
  <si>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</si>
  <si>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</si>
  <si>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</si>
  <si>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</si>
  <si>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</si>
  <si>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</si>
  <si>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</si>
  <si>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</si>
  <si>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</si>
  <si>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</si>
  <si>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</si>
  <si>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</si>
  <si>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</si>
  <si>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</si>
  <si>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</si>
  <si>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</si>
  <si>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</si>
  <si>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</si>
  <si>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</si>
  <si>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</si>
  <si>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</si>
  <si>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</si>
  <si>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</si>
  <si>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</si>
  <si>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</si>
  <si>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</si>
  <si>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</si>
  <si>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</si>
  <si>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</si>
  <si>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</si>
  <si>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</si>
  <si>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</si>
  <si>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</si>
  <si>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</si>
  <si>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</si>
  <si>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</si>
  <si>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</si>
  <si>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</si>
  <si>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</si>
  <si>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</si>
  <si>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</si>
  <si>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</si>
  <si>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</si>
  <si>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</si>
  <si>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</si>
  <si>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</si>
  <si>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</si>
  <si>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</si>
  <si>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</si>
  <si>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</si>
  <si>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</si>
  <si>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</si>
  <si>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</si>
  <si>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</si>
  <si>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</si>
  <si>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</si>
  <si>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</si>
  <si>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</si>
  <si>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</si>
  <si>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</si>
  <si>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</si>
  <si>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</si>
  <si>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</si>
  <si>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</si>
  <si>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</si>
  <si>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</si>
  <si>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</si>
  <si>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</si>
  <si>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</si>
  <si>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</si>
  <si>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</si>
  <si>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</si>
  <si>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</si>
  <si>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</si>
  <si>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</si>
  <si>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</si>
  <si>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</si>
  <si>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</si>
  <si>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</si>
  <si>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</si>
  <si>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</si>
  <si>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</si>
  <si>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</si>
  <si>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</si>
  <si>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</si>
  <si>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</si>
  <si>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</si>
  <si>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</si>
  <si>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</si>
  <si>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</si>
  <si>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</si>
  <si>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</si>
  <si>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</si>
  <si>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</si>
  <si>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</si>
  <si>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</si>
  <si>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</si>
  <si>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</si>
  <si>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</si>
  <si>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</si>
  <si>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</si>
  <si>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</si>
  <si>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</si>
  <si>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</si>
  <si>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</si>
  <si>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</si>
  <si>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</si>
  <si>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</si>
  <si>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</si>
  <si>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</si>
  <si>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</si>
  <si>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</si>
  <si>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</si>
  <si>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</si>
  <si>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</si>
  <si>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</si>
  <si>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</si>
  <si>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</si>
  <si>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</si>
  <si>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</si>
  <si>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</si>
  <si>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</si>
  <si>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</si>
  <si>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</si>
  <si>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</si>
  <si>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</si>
  <si>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</si>
  <si>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</si>
  <si>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</si>
  <si>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</si>
  <si>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</si>
  <si>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</si>
  <si>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</si>
  <si>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</si>
  <si>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</si>
  <si>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</si>
  <si>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</si>
  <si>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</si>
  <si>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</si>
  <si>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</si>
  <si>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</si>
  <si>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</si>
  <si>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</si>
  <si>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</si>
  <si>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</si>
  <si>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</si>
  <si>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</si>
  <si>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</si>
  <si>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</si>
  <si>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</si>
  <si>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</si>
  <si>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</si>
  <si>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</si>
  <si>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</si>
  <si>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</si>
  <si>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</si>
  <si>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</si>
  <si>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</si>
  <si>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</si>
  <si>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</si>
  <si>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</si>
  <si>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</si>
  <si>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</si>
  <si>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</si>
  <si>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</si>
  <si>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</si>
  <si>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</si>
  <si>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</si>
  <si>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</si>
  <si>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</si>
  <si>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</si>
  <si>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STATUS</t>
  </si>
  <si>
    <t>PERIOD_ID</t>
  </si>
  <si>
    <t>int?</t>
  </si>
  <si>
    <t>long?</t>
  </si>
  <si>
    <t>DateTime?</t>
  </si>
  <si>
    <t>TimeSpan?</t>
  </si>
  <si>
    <t>decimal?</t>
  </si>
  <si>
    <t>byte?</t>
  </si>
  <si>
    <t>VARCHAR(10)</t>
  </si>
  <si>
    <t>DATE</t>
  </si>
  <si>
    <t>PERIOD_DATE</t>
  </si>
  <si>
    <t>VARCHAR(1)</t>
  </si>
  <si>
    <t>CKD_REQ_NO</t>
  </si>
  <si>
    <t>VARCHAR(50)</t>
  </si>
  <si>
    <t>ISSUE_DATE</t>
  </si>
  <si>
    <t>REQ_DATE</t>
  </si>
  <si>
    <t>InvCkdRequest</t>
  </si>
  <si>
    <t>CkdRequest</t>
  </si>
  <si>
    <t>Ckd Request</t>
  </si>
  <si>
    <t>Request List</t>
  </si>
  <si>
    <t>Request Date</t>
  </si>
  <si>
    <t>Field Database</t>
  </si>
  <si>
    <t>Version</t>
  </si>
  <si>
    <t>CKD Request No</t>
  </si>
  <si>
    <t>CkdReqNo</t>
  </si>
  <si>
    <t>Issue Date</t>
  </si>
  <si>
    <t>Status</t>
  </si>
  <si>
    <t>Format Date</t>
  </si>
  <si>
    <t>ReqDate, Format Date</t>
  </si>
  <si>
    <t>Lưới con:</t>
  </si>
  <si>
    <t>By Lot</t>
  </si>
  <si>
    <t>Time Request</t>
  </si>
  <si>
    <t>Grade</t>
  </si>
  <si>
    <t>Lot No</t>
  </si>
  <si>
    <t>Robbing</t>
  </si>
  <si>
    <t>Remarks</t>
  </si>
  <si>
    <t>By PxP</t>
  </si>
  <si>
    <t>Part No</t>
  </si>
  <si>
    <t>Part Name</t>
  </si>
  <si>
    <t>Source</t>
  </si>
  <si>
    <t>Model</t>
  </si>
  <si>
    <t>Stock End of Request Date</t>
  </si>
  <si>
    <t>Min Stock At TMV</t>
  </si>
  <si>
    <t>Balance</t>
  </si>
  <si>
    <t>Quantity</t>
  </si>
  <si>
    <t xml:space="preserve">Time Request </t>
  </si>
  <si>
    <t>INV_CKD_REQUEST_SEARCH</t>
  </si>
  <si>
    <t>INV_CKD_REQUEST_CONTENT_BY_LOT_GETBYID</t>
  </si>
  <si>
    <t>INV_CKD_REQUEST_CONTENT_BY_PXP_GETBYID</t>
  </si>
  <si>
    <t>Delivery Schedule By Make</t>
  </si>
  <si>
    <t>INV_CKD_CONTAINER_DELIVERY_SCHE_GETBYREQID</t>
  </si>
  <si>
    <t>Time Req</t>
  </si>
  <si>
    <t>PCD Time Req</t>
  </si>
  <si>
    <t>Container No</t>
  </si>
  <si>
    <t>Renban</t>
  </si>
  <si>
    <t>Req Lot No</t>
  </si>
  <si>
    <t>Follow Lot No</t>
  </si>
  <si>
    <t>Cont. Size</t>
  </si>
  <si>
    <t>Shipping Comp.</t>
  </si>
  <si>
    <t>Return Type</t>
  </si>
  <si>
    <t>Bill Of Lading</t>
  </si>
  <si>
    <t>Invoice No</t>
  </si>
  <si>
    <t>List Lot No</t>
  </si>
  <si>
    <t>List Case No</t>
  </si>
  <si>
    <t>Transporter</t>
  </si>
  <si>
    <t>C/D Date</t>
  </si>
  <si>
    <t>Devaning Date</t>
  </si>
  <si>
    <t xml:space="preserve">Devaning Time </t>
  </si>
  <si>
    <t>Act. Devaning Date</t>
  </si>
  <si>
    <t>Act. Devaning Time</t>
  </si>
  <si>
    <t>Cont. Status</t>
  </si>
  <si>
    <t>Waiting Time</t>
  </si>
  <si>
    <t>TimeRequest</t>
  </si>
  <si>
    <t>PcdTimeRequest</t>
  </si>
  <si>
    <t>LotNo</t>
  </si>
  <si>
    <t>LotFollow</t>
  </si>
  <si>
    <t>ContainerSize</t>
  </si>
  <si>
    <t>ShippingcompanyCode</t>
  </si>
  <si>
    <t>CdDate</t>
  </si>
  <si>
    <t>Transport</t>
  </si>
  <si>
    <t>ContStatus</t>
  </si>
  <si>
    <t>WaitingTime</t>
  </si>
  <si>
    <t>INV_CKD_CONTAINER_DELIVERY_SCHE_GETBYREQID_BYCALL</t>
  </si>
  <si>
    <t>Delivery Schedule By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</si>
</sst>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2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A92"/>
  <sheetViews>
    <sheetView tabSelected="1" topLeftCell="A67" zoomScaleNormal="100" workbookViewId="0">
      <selection activeCell="B90" sqref="B90"/>
    </sheetView>
  </sheetViews>
  <sheetFormatPr defaultColWidth="8.77734375" defaultRowHeight="14.4" x14ac:dyDescent="0.3"/>
  <cols>
    <col min="1" max="1" width="3.44140625" customWidth="1"/>
    <col min="2" max="2" width="18.44140625" customWidth="1"/>
    <col min="3" max="5" width="26.21875" customWidth="1"/>
    <col min="6" max="6" width="29.44140625" customWidth="1"/>
    <col min="7" max="10" width="26.21875" customWidth="1"/>
    <col min="11" max="11" width="26.44140625" customWidth="1"/>
    <col min="12" max="12" width="27.77734375" customWidth="1"/>
    <col min="13" max="13" width="25.44140625" customWidth="1"/>
    <col min="14" max="18" width="18.44140625" customWidth="1"/>
    <col min="20" max="20" width="15.44140625" customWidth="1"/>
    <col min="21" max="21" width="13.21875" customWidth="1"/>
    <col min="22" max="22" width="17.77734375" customWidth="1"/>
    <col min="23" max="23" width="17.44140625" customWidth="1"/>
    <col min="24" max="24" width="13.21875" customWidth="1"/>
    <col min="26" max="26" width="10" customWidth="1"/>
  </cols>
  <sheetData>
    <row r="1" spans="1:7" ht="23.4" x14ac:dyDescent="0.45">
      <c r="A1" s="14" t="s">
        <v>71</v>
      </c>
    </row>
    <row r="2" spans="1:7" ht="15.6" x14ac:dyDescent="0.3">
      <c r="A2" s="1"/>
      <c r="B2" s="25" t="s">
        <v>193</v>
      </c>
    </row>
    <row r="3" spans="1:7" x14ac:dyDescent="0.3">
      <c r="A3" s="1"/>
      <c r="B3" s="1" t="s">
        <v>74</v>
      </c>
    </row>
    <row r="4" spans="1:7" x14ac:dyDescent="0.3">
      <c r="A4" s="1"/>
      <c r="B4" t="s">
        <v>73</v>
      </c>
    </row>
    <row r="5" spans="1:7" x14ac:dyDescent="0.3">
      <c r="A5" s="1"/>
      <c r="B5" t="s">
        <v>76</v>
      </c>
    </row>
    <row r="6" spans="1:7" x14ac:dyDescent="0.3">
      <c r="A6" s="1"/>
      <c r="B6" t="s">
        <v>84</v>
      </c>
    </row>
    <row r="7" spans="1:7" x14ac:dyDescent="0.3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3">
      <c r="A8" s="1"/>
      <c r="C8" t="s">
        <v>86</v>
      </c>
      <c r="F8" s="1" t="s">
        <v>230</v>
      </c>
      <c r="G8" t="s">
        <v>230</v>
      </c>
    </row>
    <row r="9" spans="1:7" x14ac:dyDescent="0.3">
      <c r="A9" s="1"/>
      <c r="C9" t="s">
        <v>85</v>
      </c>
      <c r="F9" s="1" t="s">
        <v>95</v>
      </c>
      <c r="G9" t="s">
        <v>95</v>
      </c>
    </row>
    <row r="10" spans="1:7" x14ac:dyDescent="0.3">
      <c r="A10" s="1"/>
      <c r="D10" t="s">
        <v>86</v>
      </c>
      <c r="F10" s="1" t="s">
        <v>230</v>
      </c>
      <c r="G10" t="s">
        <v>281</v>
      </c>
    </row>
    <row r="11" spans="1:7" x14ac:dyDescent="0.3">
      <c r="A11" s="1"/>
      <c r="D11" t="s">
        <v>87</v>
      </c>
      <c r="F11" s="1" t="s">
        <v>96</v>
      </c>
      <c r="G11" t="s">
        <v>282</v>
      </c>
    </row>
    <row r="12" spans="1:7" x14ac:dyDescent="0.3">
      <c r="A12" s="1"/>
      <c r="D12" t="s">
        <v>88</v>
      </c>
      <c r="F12" s="1" t="s">
        <v>97</v>
      </c>
      <c r="G12" t="s">
        <v>283</v>
      </c>
    </row>
    <row r="13" spans="1:7" x14ac:dyDescent="0.3">
      <c r="A13" s="1"/>
      <c r="D13" t="s">
        <v>89</v>
      </c>
      <c r="F13" s="1" t="s">
        <v>98</v>
      </c>
      <c r="G13" t="s">
        <v>284</v>
      </c>
    </row>
    <row r="14" spans="1:7" x14ac:dyDescent="0.3">
      <c r="A14" s="1"/>
      <c r="D14" t="s">
        <v>90</v>
      </c>
      <c r="F14" s="1" t="s">
        <v>99</v>
      </c>
      <c r="G14" t="s">
        <v>285</v>
      </c>
    </row>
    <row r="15" spans="1:7" x14ac:dyDescent="0.3">
      <c r="A15" s="1"/>
      <c r="D15" t="s">
        <v>91</v>
      </c>
      <c r="F15" s="1" t="s">
        <v>100</v>
      </c>
      <c r="G15" t="s">
        <v>286</v>
      </c>
    </row>
    <row r="16" spans="1:7" ht="12" customHeight="1" x14ac:dyDescent="0.3">
      <c r="A16" s="1"/>
      <c r="D16" t="s">
        <v>266</v>
      </c>
      <c r="F16" s="1" t="s">
        <v>267</v>
      </c>
      <c r="G16" t="s">
        <v>287</v>
      </c>
    </row>
    <row r="17" spans="1:7" ht="12" customHeight="1" x14ac:dyDescent="0.3">
      <c r="A17" s="1"/>
      <c r="D17" t="s">
        <v>301</v>
      </c>
      <c r="F17" s="1" t="s">
        <v>302</v>
      </c>
      <c r="G17" t="s">
        <v>303</v>
      </c>
    </row>
    <row r="18" spans="1:7" x14ac:dyDescent="0.3">
      <c r="A18" s="1"/>
      <c r="D18" t="s">
        <v>346</v>
      </c>
      <c r="F18" s="1" t="s">
        <v>348</v>
      </c>
      <c r="G18" t="s">
        <v>347</v>
      </c>
    </row>
    <row r="19" spans="1:7" x14ac:dyDescent="0.3">
      <c r="A19" s="1"/>
      <c r="C19" t="s">
        <v>88</v>
      </c>
      <c r="F19" s="1" t="s">
        <v>97</v>
      </c>
      <c r="G19" t="s">
        <v>97</v>
      </c>
    </row>
    <row r="20" spans="1:7" x14ac:dyDescent="0.3">
      <c r="A20" s="1"/>
      <c r="D20" t="s">
        <v>92</v>
      </c>
      <c r="F20" s="1" t="s">
        <v>111</v>
      </c>
      <c r="G20" t="s">
        <v>288</v>
      </c>
    </row>
    <row r="21" spans="1:7" x14ac:dyDescent="0.3">
      <c r="A21" s="1"/>
      <c r="D21" t="s">
        <v>93</v>
      </c>
      <c r="F21" s="1" t="s">
        <v>101</v>
      </c>
      <c r="G21" t="s">
        <v>289</v>
      </c>
    </row>
    <row r="22" spans="1:7" x14ac:dyDescent="0.3">
      <c r="A22" s="1"/>
      <c r="C22" t="s">
        <v>89</v>
      </c>
      <c r="F22" s="1" t="s">
        <v>98</v>
      </c>
      <c r="G22" t="s">
        <v>98</v>
      </c>
    </row>
    <row r="23" spans="1:7" x14ac:dyDescent="0.3">
      <c r="A23" s="1"/>
      <c r="D23" t="s">
        <v>92</v>
      </c>
      <c r="F23" s="1" t="s">
        <v>111</v>
      </c>
      <c r="G23" t="s">
        <v>298</v>
      </c>
    </row>
    <row r="24" spans="1:7" x14ac:dyDescent="0.3">
      <c r="A24" s="1"/>
      <c r="C24" t="s">
        <v>87</v>
      </c>
      <c r="F24" s="1" t="s">
        <v>96</v>
      </c>
      <c r="G24" t="s">
        <v>96</v>
      </c>
    </row>
    <row r="25" spans="1:7" x14ac:dyDescent="0.3">
      <c r="A25" s="1"/>
      <c r="D25" t="s">
        <v>92</v>
      </c>
      <c r="F25" s="1" t="s">
        <v>111</v>
      </c>
      <c r="G25" t="s">
        <v>297</v>
      </c>
    </row>
    <row r="26" spans="1:7" x14ac:dyDescent="0.3">
      <c r="A26" s="1"/>
      <c r="C26" t="s">
        <v>90</v>
      </c>
      <c r="F26" s="1" t="s">
        <v>99</v>
      </c>
      <c r="G26" t="s">
        <v>99</v>
      </c>
    </row>
    <row r="27" spans="1:7" x14ac:dyDescent="0.3">
      <c r="A27" s="1"/>
      <c r="C27" t="s">
        <v>266</v>
      </c>
      <c r="F27" s="1" t="s">
        <v>267</v>
      </c>
      <c r="G27" t="s">
        <v>267</v>
      </c>
    </row>
    <row r="28" spans="1:7" x14ac:dyDescent="0.3">
      <c r="A28" s="1"/>
      <c r="D28" t="s">
        <v>268</v>
      </c>
      <c r="F28" s="1" t="s">
        <v>270</v>
      </c>
      <c r="G28" t="s">
        <v>290</v>
      </c>
    </row>
    <row r="29" spans="1:7" x14ac:dyDescent="0.3">
      <c r="A29" s="1"/>
      <c r="D29" t="s">
        <v>271</v>
      </c>
      <c r="F29" s="1" t="s">
        <v>269</v>
      </c>
      <c r="G29" t="s">
        <v>291</v>
      </c>
    </row>
    <row r="30" spans="1:7" x14ac:dyDescent="0.3">
      <c r="A30" s="1"/>
      <c r="D30" t="s">
        <v>272</v>
      </c>
      <c r="F30" s="1" t="s">
        <v>275</v>
      </c>
      <c r="G30" t="s">
        <v>292</v>
      </c>
    </row>
    <row r="31" spans="1:7" x14ac:dyDescent="0.3">
      <c r="A31" s="1"/>
      <c r="D31" t="s">
        <v>273</v>
      </c>
      <c r="F31" s="1" t="s">
        <v>276</v>
      </c>
      <c r="G31" t="s">
        <v>293</v>
      </c>
    </row>
    <row r="32" spans="1:7" x14ac:dyDescent="0.3">
      <c r="A32" s="1"/>
      <c r="D32" t="s">
        <v>274</v>
      </c>
      <c r="F32" s="1" t="s">
        <v>277</v>
      </c>
      <c r="G32" t="s">
        <v>294</v>
      </c>
    </row>
    <row r="33" spans="1:8" x14ac:dyDescent="0.3">
      <c r="A33" s="1"/>
      <c r="D33" t="s">
        <v>279</v>
      </c>
      <c r="F33" s="1" t="s">
        <v>278</v>
      </c>
      <c r="G33" t="s">
        <v>295</v>
      </c>
    </row>
    <row r="34" spans="1:8" x14ac:dyDescent="0.3">
      <c r="A34" s="1"/>
      <c r="C34" t="s">
        <v>301</v>
      </c>
      <c r="F34" s="1" t="s">
        <v>302</v>
      </c>
      <c r="G34" t="s">
        <v>302</v>
      </c>
    </row>
    <row r="35" spans="1:8" x14ac:dyDescent="0.3">
      <c r="A35" s="1"/>
      <c r="D35" t="s">
        <v>304</v>
      </c>
      <c r="F35" s="1" t="s">
        <v>305</v>
      </c>
      <c r="G35" t="s">
        <v>306</v>
      </c>
    </row>
    <row r="36" spans="1:8" x14ac:dyDescent="0.3">
      <c r="A36" s="1"/>
      <c r="D36" t="s">
        <v>93</v>
      </c>
      <c r="F36" s="1" t="s">
        <v>101</v>
      </c>
      <c r="G36" t="s">
        <v>307</v>
      </c>
    </row>
    <row r="37" spans="1:8" x14ac:dyDescent="0.3">
      <c r="A37" s="1"/>
      <c r="D37" t="s">
        <v>308</v>
      </c>
      <c r="F37" s="1" t="s">
        <v>309</v>
      </c>
      <c r="G37" t="s">
        <v>310</v>
      </c>
    </row>
    <row r="38" spans="1:8" x14ac:dyDescent="0.3">
      <c r="A38" s="1"/>
      <c r="D38" t="s">
        <v>311</v>
      </c>
      <c r="F38" s="1" t="s">
        <v>312</v>
      </c>
      <c r="G38" t="s">
        <v>313</v>
      </c>
    </row>
    <row r="39" spans="1:8" x14ac:dyDescent="0.3">
      <c r="A39" s="1"/>
      <c r="D39" t="s">
        <v>315</v>
      </c>
      <c r="F39" s="1" t="s">
        <v>316</v>
      </c>
      <c r="G39" t="s">
        <v>317</v>
      </c>
    </row>
    <row r="40" spans="1:8" x14ac:dyDescent="0.3">
      <c r="A40" s="1"/>
      <c r="C40" t="s">
        <v>314</v>
      </c>
      <c r="F40" s="1" t="s">
        <v>296</v>
      </c>
      <c r="G40" t="s">
        <v>296</v>
      </c>
    </row>
    <row r="41" spans="1:8" x14ac:dyDescent="0.3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3">
      <c r="A42" s="1"/>
      <c r="C42" t="s">
        <v>320</v>
      </c>
      <c r="F42" s="1" t="s">
        <v>333</v>
      </c>
      <c r="G42" t="s">
        <v>333</v>
      </c>
    </row>
    <row r="43" spans="1:8" x14ac:dyDescent="0.3">
      <c r="A43" s="1"/>
      <c r="D43" t="s">
        <v>321</v>
      </c>
      <c r="F43" s="1" t="s">
        <v>327</v>
      </c>
      <c r="G43" t="s">
        <v>334</v>
      </c>
    </row>
    <row r="44" spans="1:8" x14ac:dyDescent="0.3">
      <c r="A44" s="1"/>
      <c r="D44" t="s">
        <v>323</v>
      </c>
      <c r="F44" s="1" t="s">
        <v>328</v>
      </c>
      <c r="G44" t="s">
        <v>335</v>
      </c>
    </row>
    <row r="45" spans="1:8" x14ac:dyDescent="0.3">
      <c r="A45" s="1"/>
      <c r="D45" t="s">
        <v>322</v>
      </c>
      <c r="F45" s="1" t="s">
        <v>329</v>
      </c>
      <c r="G45" t="s">
        <v>336</v>
      </c>
    </row>
    <row r="46" spans="1:8" x14ac:dyDescent="0.3">
      <c r="A46" s="1"/>
      <c r="D46" t="s">
        <v>325</v>
      </c>
      <c r="F46" s="1" t="s">
        <v>330</v>
      </c>
      <c r="G46" t="s">
        <v>337</v>
      </c>
    </row>
    <row r="47" spans="1:8" x14ac:dyDescent="0.3">
      <c r="A47" s="1"/>
      <c r="D47" t="s">
        <v>343</v>
      </c>
      <c r="F47" s="1" t="s">
        <v>344</v>
      </c>
      <c r="G47" t="s">
        <v>345</v>
      </c>
    </row>
    <row r="48" spans="1:8" x14ac:dyDescent="0.3">
      <c r="A48" s="1"/>
      <c r="D48" t="s">
        <v>326</v>
      </c>
      <c r="F48" s="1" t="s">
        <v>331</v>
      </c>
      <c r="G48" t="s">
        <v>338</v>
      </c>
    </row>
    <row r="49" spans="1:7" x14ac:dyDescent="0.3">
      <c r="A49" s="1"/>
      <c r="D49" t="s">
        <v>324</v>
      </c>
      <c r="F49" s="1" t="s">
        <v>332</v>
      </c>
      <c r="G49" t="s">
        <v>339</v>
      </c>
    </row>
    <row r="50" spans="1:7" x14ac:dyDescent="0.3">
      <c r="A50" s="1"/>
      <c r="D50" t="s">
        <v>340</v>
      </c>
      <c r="F50" s="1" t="s">
        <v>341</v>
      </c>
      <c r="G50" t="s">
        <v>342</v>
      </c>
    </row>
    <row r="51" spans="1:7" x14ac:dyDescent="0.3">
      <c r="A51" s="1"/>
    </row>
    <row r="52" spans="1:7" x14ac:dyDescent="0.3">
      <c r="A52" s="1"/>
      <c r="B52" t="s">
        <v>83</v>
      </c>
    </row>
    <row r="53" spans="1:7" x14ac:dyDescent="0.3">
      <c r="A53" s="1"/>
      <c r="B53" t="s">
        <v>80</v>
      </c>
    </row>
    <row r="54" spans="1:7" x14ac:dyDescent="0.3">
      <c r="A54" s="1"/>
      <c r="C54" s="17" t="s">
        <v>77</v>
      </c>
    </row>
    <row r="55" spans="1:7" x14ac:dyDescent="0.3">
      <c r="A55" s="1"/>
      <c r="C55" s="16" t="s">
        <v>78</v>
      </c>
    </row>
    <row r="56" spans="1:7" x14ac:dyDescent="0.3">
      <c r="A56" s="1"/>
      <c r="C56" s="16" t="s">
        <v>79</v>
      </c>
    </row>
    <row r="57" spans="1:7" x14ac:dyDescent="0.3">
      <c r="A57" s="1"/>
      <c r="B57" t="s">
        <v>103</v>
      </c>
      <c r="C57" s="16"/>
    </row>
    <row r="58" spans="1:7" x14ac:dyDescent="0.3">
      <c r="A58" s="1"/>
      <c r="C58" s="16" t="s">
        <v>104</v>
      </c>
    </row>
    <row r="59" spans="1:7" x14ac:dyDescent="0.3">
      <c r="A59" s="1"/>
      <c r="C59" s="16" t="s">
        <v>105</v>
      </c>
    </row>
    <row r="60" spans="1:7" x14ac:dyDescent="0.3">
      <c r="A60" s="1"/>
      <c r="C60" s="16" t="s">
        <v>106</v>
      </c>
    </row>
    <row r="61" spans="1:7" x14ac:dyDescent="0.3">
      <c r="A61" s="1"/>
      <c r="C61" s="16" t="s">
        <v>108</v>
      </c>
    </row>
    <row r="62" spans="1:7" x14ac:dyDescent="0.3">
      <c r="A62" s="1"/>
      <c r="C62" s="16" t="s">
        <v>110</v>
      </c>
    </row>
    <row r="63" spans="1:7" x14ac:dyDescent="0.3">
      <c r="A63" s="1"/>
      <c r="C63" s="16" t="s">
        <v>109</v>
      </c>
    </row>
    <row r="64" spans="1:7" x14ac:dyDescent="0.3">
      <c r="A64" s="1"/>
      <c r="C64" s="16" t="s">
        <v>107</v>
      </c>
    </row>
    <row r="65" spans="2:14" ht="21" customHeight="1" x14ac:dyDescent="0.3">
      <c r="B65" s="19" t="s">
        <v>75</v>
      </c>
    </row>
    <row r="66" spans="2:14" ht="21" customHeight="1" x14ac:dyDescent="0.3">
      <c r="B66" s="59" t="s">
        <v>227</v>
      </c>
    </row>
    <row r="67" spans="2:14" ht="15" thickBot="1" x14ac:dyDescent="0.35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5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[Table("InvCkdRequest")]
	public class InvCkdRequest: FullAuditedEntity&lt;long&gt;, IEntity&lt;long&gt;	
	{
		public const int MaxCkdReqNoLength = 50;
		public const int MaxStatusLength = 10;
		public const int MaxIsActiveLength = 1;
		[StringLength(MaxCkdReqNoLength)]
		public virtual string CkdReqNo { get; set; }
		public virtual DateTime? IssueDate { get; set; }
		public virtual DateTime? ReqDate { get; set; }
		public virtual DateTime? PeriodDate { get; set; }
		public virtual long? PeriodId { get; set; }
		[StringLength(MaxStatusLength)]
		public virtual string Status { get; set; }
		[StringLength(MaxIsActiveLength)]
		public virtual string IsActive { get; set; }
	}
}
</v>
      </c>
      <c r="D68" s="48" t="str">
        <f>A.Backend!O7</f>
        <v xml:space="preserve">		public const string Pages_Inventory_CKD_CkdRequest = "Pages.Inventory.CKD.CkdRequest";
		public const string Pages_Inventory_CKD_CkdRequest_CreateEdit = "Pages.Inventory.CKD.CkdRequest.CreateEdit";
		public const string Pages_Inventory_CKD_CkdRequest_Delete = "Pages.Inventory.CKD.CkdRequest.Delete";
</v>
      </c>
      <c r="E68" s="48" t="str">
        <f>A.Backend!N7</f>
        <v xml:space="preserve">		var perInvCkdRequest = PARENTS.CreateChildPermission(AppPermissions.Pages_Inventory_CKD_CkdRequest, L( "InventoryCKDCkdRequest"), multiTenancySides: MultiTenancySides.Tenant);
		perInvCkdRequest.CreateChildPermission(AppPermissions.Pages_Inventory_CKD_CkdRequest_CreateEdit, L( "InventoryCKDCkdRequestCreateEdit"), multiTenancySides: MultiTenancySides.Tenant);
		perInvCkdRequest.CreateChildPermission(AppPermissions.Pages_Inventory_CKD_CkdRequest_Delete, L( "InventoryCKDCkdRequestDelete"), multiTenancySides: MultiTenancySides.Tenant);</v>
      </c>
      <c r="F68" s="48" t="str">
        <f>A.Backend!K7</f>
        <v>public virtual DbSet&lt;InvCkdRequest&gt; InvCkdRequests { get; set; }</v>
      </c>
      <c r="G68" s="48" t="str">
        <f ca="1">A.Backend!L7</f>
        <v xml:space="preserve">namespace prod.Inventory.CKD
{
	public class InvCkdRequestConsts	
	{
		public const int MaxCkdReqNoLength = 50;
		public const int MaxStatusLength = 10;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InvCkdRequestDto : EntityDto&lt;long?&gt;	
	{
		public virtual string CkdReqNo { get; set; }
		public virtual DateTime? IssueDate { get; set; }
		public virtual DateTime? ReqDate { get; set; }
		public virtual DateTime? PeriodDate { get; set; }
		public virtual long? PeriodId { get; set; }
		public virtual string Status { get; set; }
		public virtual string IsActive { get; set; }
	}
	public class CreateOrEditInvCkdRequestDto : EntityDto&lt;long?&gt;	
	{
		[StringLength(InvCkdRequestConsts.MaxCkdReqNoLength)]
		public virtual string CkdReqNo { get; set; }
		public virtual DateTime? IssueDate { get; set; }
		public virtual DateTime? ReqDate { get; set; }
		public virtual DateTime? PeriodDate { get; set; }
		public virtual long? PeriodId { get; set; }
		[StringLength(InvCkdRequestConsts.MaxStatusLength)]
		public virtual string Status { get; set; }
		[StringLength(InvCkdRequestConsts.MaxIsActiveLength)]
		public virtual string IsActive { get; set; }
	}
	public class GetInvCkdRequestInput : PagedAndSortedResultRequestDto	
	{
		public virtual string CkdReqNo { get; set; }
		public virtual string Status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InvCkdRequestExportInput{
		public virtual string CkdReqNo { get; set; }
		public virtual DateTime? IssueDate { get; set; }
		public virtual DateTime? ReqDate { get; set; }
		public virtual DateTime? PeriodDate { get; set; }
		public virtual long? PeriodId { get; set; }
		public virtual string Status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IInvCkdRequestAppService : IApplicationService
	{
		Task&lt;PagedResultDto&lt;InvCkdRequestDto&gt;&gt; GetAll(GetInvCkdRequestInput input);
		Task CreateOrEdit(CreateOrEditInvCkdRequestDto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IInvCkdRequestExcelExporter : IApplicationService
	{
		FileDto ExportToFile(List&lt;InvCkdRequestDto&gt; invckdrequest);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InvCkdRequestExcelExporter : NpoiExcelExporterBase, IInvCkdRequestExcelExporter
    {
        public InvCkdRequestExcelExporter(ITempFileCacheManager tempFileCacheManager) : base(tempFileCacheManager) { }
        public FileDto ExportToFile(List&lt;InvCkdRequestDto&gt; ckdrequest)
        {
            return CreateExcelPackage(
				"InventoryCKDCkdRequest.xlsx",
				excelPackage =&gt;
				 {
					var sheet = excelPackage.CreateSheet("CkdRequest");
					AddHeader(
								sheet,
								("CkdReqNo"),
								("IssueDate"),
								("ReqDate"),
								("PeriodDate"),
								("PeriodId"),
								("Status"),
								("IsActive"),
							   );
					AddObjects(
						 sheet, 1, ckdrequest,                                       
								_ =&gt; _.CkdReqNo,
								_ =&gt; _.IssueDate,
								_ =&gt; _.ReqDate,
								_ =&gt; _.PeriodDate,
								_ =&gt; _.PeriodId,
								_ =&gt; _.Status,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[AbpAuthorize(AppPermissions.Pages_Inventory_CKD_CkdRequest)]
    public class InvCkdRequestAppService : vovinaAppServiceBase, IInvCkdRequestAppService
    {
        private readonly IDapperRepository&lt;InvCkdRequest, long&gt; _dapperRepo;
        private readonly IRepository&lt;InvCkdRequest, long&gt; _repo;
        private readonly IInvCkdRequestExcelExporter _calendarListExcelExporter;
        public InvCkdRequestAppService(IRepository&lt;InvCkdRequest,long&gt; repo, 
                                         IDapperRepository&lt;InvCkdRequest,long&gt; dapperRepo,
                                        IInvCkdRequestExcelExporter calendarListExcelExporter
            )
        {
            _repo = repo;
            _dapperRepo = dapperRepo;
            _calendarListExcelExporter = calendarListExcelExporter;
        }
        [AbpAuthorize(AppPermissions.Pages_Inventory_CKD_CkdRequest_CreateEdit)]
        public async Task CreateOrEdit(CreateOrEditInvCkdRequestDto input)
        {
            if (input.Id == null) await Create(input);
            else await Update(input);
        }
        //CREATE
        private async Task Create(CreateOrEditInvCkdRequestDto input)
        {          
            var mainObj = ObjectMapper.Map&lt;InvCkdRequest&gt;(input);
            await CurrentUnitOfWork.GetDbContext&lt;vovinaDbContext&gt;().AddAsync(mainObj);
        }
        // EDIT
        private async Task Update(CreateOrEditInvCkdRequestDto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[AbpAuthorize(AppPermissions.Pages_Inventory_CKD_CkdRequest_Delete)]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Task&lt;PagedResultDto&lt;InvCkdRequestDto&gt;&gt; GetAll(GetInvCkdRequestInput input)
        {
            var filtered = _repo.GetAll()
				.WhereIf(!string.IsNullOrWhiteSpace(input.CkdReqNo), e =&gt; e.CkdReqNo.Contains(input.CkdReqNo))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InvCkdRequestDto
                        {
							Id = o.Id,
							CkdReqNo = o.CkdReqNo,
							IssueDate = o.IssueDate,
							ReqDate = o.ReqDate,
							PeriodDate = o.PeriodDate,
							PeriodId = o.PeriodId,
							Status = o.Status,
							IsActive = o.IsActive,
                        };
            var totalCount = await filtered.CountAsync();
			var paged = system.PageBy(input);
            return new PagedResultDto&lt;InvCkdRequestDto&gt;(
                totalCount,
                 await paged.ToListAsync()
            );
        }
        public async Task&lt;FileDto&gt; GetCkdRequestToExcel(InvCkdRequestExportInput input)
        {
            var query = from o in _repo.GetAll()
                        select new InvCkdRequestDto
                        {
							Id = o.Id,
							CkdReqNo = o.CkdReqNo,
							IssueDate = o.IssueDate,
							ReqDate = o.ReqDate,
							PeriodDate = o.PeriodDate,
							PeriodId = o.PeriodId,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_dapperRepo.ExecuteAsync(InvCkdRequestConsts.SP_MST_WPT_CALENDAR_GENERATE);
       // }
    }
}</v>
      </c>
      <c r="N68" s="58" t="str">
        <f>A.Backend!U7</f>
        <v xml:space="preserve">  configuration.CreateMap&lt;InvCkdRequestDto, InvCkdRequest&gt;();
  configuration.CreateMap&lt;InvCkdRequest, InvCkdRequestDto&gt;();
  configuration.CreateMap&lt;CreateOrEditInvCkdRequestDto, InvCkdRequest&gt;();</v>
      </c>
    </row>
    <row r="69" spans="2:14" s="15" customFormat="1" ht="21.75" customHeight="1" x14ac:dyDescent="0.3">
      <c r="C69" s="60"/>
      <c r="H69" s="61"/>
      <c r="I69" s="61"/>
      <c r="M69" s="61"/>
    </row>
    <row r="70" spans="2:14" s="15" customFormat="1" ht="21.75" customHeight="1" x14ac:dyDescent="0.3"/>
    <row r="71" spans="2:14" s="15" customFormat="1" ht="21.75" customHeight="1" x14ac:dyDescent="0.3"/>
    <row r="72" spans="2:14" x14ac:dyDescent="0.3">
      <c r="B72" s="1" t="s">
        <v>70</v>
      </c>
    </row>
    <row r="73" spans="2:14" ht="21" x14ac:dyDescent="0.4">
      <c r="B73" t="str">
        <f>B.Frontend!B8</f>
        <v>ckdrequest</v>
      </c>
      <c r="C73" s="66" t="str">
        <f>"create folder " &amp;B73</f>
        <v>create folder ckdrequest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3">
      <c r="B74" s="56" t="s">
        <v>225</v>
      </c>
      <c r="C74" s="28" t="str">
        <f>B.Frontend!H14</f>
        <v>ckdrequest.component.ts</v>
      </c>
      <c r="D74" s="28" t="str">
        <f>B.Frontend!I14</f>
        <v>ckdrequest.component.html</v>
      </c>
      <c r="E74" s="28" t="str">
        <f>B.Frontend!J14</f>
        <v>ckdrequest.component.less</v>
      </c>
      <c r="F74" s="28" t="str">
        <f>B.Frontend!K14</f>
        <v>create-or-edit-ckdrequest-modal.component.html</v>
      </c>
      <c r="G74" s="28" t="str">
        <f>B.Frontend!L14</f>
        <v>create-or-edit-ckdrequest-modal.component.ts</v>
      </c>
      <c r="H74" s="28" t="str">
        <f>B.Frontend!M14</f>
        <v>create-or-edit-ckdrequest-modal.component.less</v>
      </c>
      <c r="I74" s="28" t="str">
        <f>B.Frontend!N14</f>
        <v>ckdrequest.module.ts</v>
      </c>
      <c r="J74" s="28" t="str">
        <f>B.Frontend!O14</f>
        <v>ckdrequest-routing.module.ts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3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InvCkdRequestDto, InvCkdRequestServiceProxy } from '@shared/service-proxies/service-proxies';
import { finalize } from 'rxjs/internal/operators/finalize';
import { CreateOrEditCkdRequestModalComponent } from './create-or-edit-ckdrequest-modal.component';
import { DatePipe } from '@angular/common';
import { FileDownloadService } from '@shared/utils/file-download.service';
import ceil from 'lodash-es/ceil';
import { Paginator } from 'primeng/paginator';
@Component({
    templateUrl: './ckdrequest.component.html',
    styleUrls: ['./ckdrequest.component.less'],
})
export class CkdRequestComponent extends AppComponentBase implements OnInit {
    @ViewChild('createOrEditModalCkdRequest', { static: true }) createOrEditModalCkdRequest:| CreateOrEditCkdRequestModalComponent|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InvCkdRequestDto = new InvCkdRequestDto();
    saveSelectedRow: InvCkdRequestDto = new InvCkdRequestDto();
    datas: InvCkdRequestDto = new InvCkdRequestDto();
    isLoading: boolean = false;
    dataParams: GridParams | undefined;
    rowData: any[] = [];
    gridApi!: GridApi;
    rowSelection = 'multiple';
    filter: string = '';
	pipe = new DatePipe('en-US');
	frameworkComponents: FrameworkComponent;
    	ckdReqNo : string = '' ; 
	issueDate
	reqDate
	periodDate
	periodId
	status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InvCkdRequestServiceProxy,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this.l('Ckd Req No'),headerTooltip: this.l('Ckd Req No'),field: 'ckdReqNo',flex: 1},
			{headerName: this.l('Issue Date'),headerTooltip: this.l('Issue Date'),field: 'issueDate',flex: 1},
			{headerName: this.l('Req Date'),headerTooltip: this.l('Req Date'),field: 'reqDate',flex: 1},
			{headerName: this.l('Period Date'),headerTooltip: this.l('Period Date'),field: 'periodDate',flex: 1},
			{headerName: this.l('Period Id'),headerTooltip: this.l('Period Id'),field: 'periodId',flex: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this.ckdReqNo,
			this.issueDate,
			this.reqDate,
			this.periodDate,
			this.periodId,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this.ckdReqNo = '',
		this.issueDate = '',
		this.reqDate = '',
		this.periodDate = '',
		this.periodId = '',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this.ckdReqNo,
			this.issueDate,
			this.reqDate,
			this.periodDate,
			this.periodId,
			this.status,
			this.isActive,
			'',
            this.paginationParams.skipCount,
            this.paginationParams.pageSize
        );
    }
    onChangeRowSelection(params: { api: { getSelectedRows: () =&gt; InvCkdRequestDto[] } }) {
        this.saveSelectedRow = params.api.getSelectedRows()[0] ?? new InvCkdRequestDto();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InvCkdRequestDto):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this._service.getCkdRequestToExcel(
			this.ckdReqNo,
			this.issueDate,
			this.reqDate,
			this.periodDate,
			this.periodId,
			this.status,
			this.isActive,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Ckd Request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[(ngModel)]='ckdReqNo' name='ckdReqNo'
									class='form-control' [placeholder]="l('Ckd Req No')"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(click)="createOrEditModalCkdRequest.show()"&gt;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(click)="createOrEditModalCkdRequest.show(selectedRow)"&gt;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&lt;create-or-edit-ckdrequest-modal
    #createOrEditModalCkdRequest
    (modalSave)="callBackDataGrid(dataParams)"
    (modalClose)="onChangeRowSelection(dataParams)"
&gt;
&lt;/create-or-edit-ckdrequest-modal&gt;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#createOrEditModalCkdRequest="bs-modal"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CkdRequest')}}&lt;/h3&gt;
                    &lt;h3 *ngIf="!rowdata.id"&gt;{{('Create New CkdRequest')}}&lt;/h3&gt;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title'&gt;Ckd Req No&lt;/label&gt;
						&lt;input type='text' class='col-md-10 form-control input-text' name='CkdReqNo' [(ngModel)]='rowdata.ckdReqNo'&gt;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CreateOrEditInvCkdRequestDto, InvCkdRequestServiceProxy } from '@shared/service-proxies/service-proxies';
import { BsDatepickerDirective } from 'ngx-bootstrap/datepicker';
@Component({
    selector: 'create-or-edit-ckdrequest-modal',
    templateUrl: './create-or-edit-ckdrequest-modal.component.html',
    styleUrls: ['./create-or-edit-ckdrequest-modal.component.less']
    })
export class CreateOrEditCkdRequestModalComponent extends AppComponentBase {
    @ViewChild('createOrEditModalCkdRequest',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CreateOrEditInvCkdRequestDto = new CreateOrEditInvCkdRequestDto();
    active: boolean = false;
    saving: boolean = false;
    _isActive: boolean;
    constructor(
        injector: Injector,
        private _mstwptCkdRequestService: InvCkdRequestServiceProxy,
    ) 
    {
        super(injector);
    }
    show(rowdata?: CreateOrEditInvCkdRequestDto): void {
        if (!rowdata) this.rowdata = new CreateOrEditInvCkdRequestDto();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this._mstwptCkdRequestService.createOrEdit(this.rowdata)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CkdRequestRoutingModule } from './ckdrequest-routing.module';
import { CkdRequestComponent } from './ckdrequest.component';
import { CreateOrEditCkdRequestModalComponent } from './create-or-edit-ckdrequest-modal.component';
@NgModule({
    declarations: [
       CkdRequestComponent, 
        CreateOrEditCkdRequestModalComponent
    ],
    imports: [
        AppSharedModule, CkdRequestRoutingModule]
})
export class CkdRequestModule {}</v>
      </c>
      <c r="J75" s="46" t="str">
        <f>B.Frontend!O10</f>
        <v>import {NgModule} from '@angular/core';
import {RouterModule, Routes} from '@angular/router';
import { CkdRequestComponent } from './ckdrequest.component';
const routes: Routes = [{
    path: '',
    component: CkdRequestComponent,
    pathMatch: 'full'
}];
@NgModule({
    imports: [RouterModule.forChild(routes)],
    exports: [RouterModule],
})
export class CkdRequestRoutingModule {}</v>
      </c>
      <c r="K75" s="46" t="str">
        <f>B.Frontend!P10</f>
        <v xml:space="preserve"> new AppMenuItem("CkdRequest", "Pages.Inventory.CKD.CkdRequest", "flaticon-book",   "/app/main/inventory/ckd/ckdrequest"),</v>
      </c>
      <c r="L75" s="47" t="str">
        <f>B.Frontend!Q10</f>
        <v>{
    path: 'inventory/ckd/ckdrequest',
    loadChildren: () =&gt; import('./inventory/ckd/ckdrequest/ckdrequest.module').then(m =&gt; m.CkdRequestModule),
    data: { permission: 'Pages.Inventory.CKD.CkdRequest' }
},</v>
      </c>
      <c r="M75" s="45" t="str">
        <f>B.Frontend!R10</f>
        <v>ApiServiceProxies.InvCkdRequestServiceProxy,</v>
      </c>
    </row>
    <row r="77" spans="2:14" x14ac:dyDescent="0.3">
      <c r="B77" s="1" t="s">
        <v>72</v>
      </c>
    </row>
    <row r="79" spans="2:14" x14ac:dyDescent="0.3">
      <c r="B79" s="1" t="s">
        <v>369</v>
      </c>
      <c r="C79" s="1" t="s">
        <v>396</v>
      </c>
    </row>
    <row r="80" spans="2:14" x14ac:dyDescent="0.3">
      <c r="C80" s="1" t="s">
        <v>370</v>
      </c>
      <c r="D80" s="1" t="s">
        <v>372</v>
      </c>
      <c r="E80" s="1" t="s">
        <v>373</v>
      </c>
      <c r="F80" s="1" t="s">
        <v>375</v>
      </c>
      <c r="G80" s="1" t="s">
        <v>376</v>
      </c>
    </row>
    <row r="81" spans="2:27" x14ac:dyDescent="0.3">
      <c r="B81" s="1" t="s">
        <v>371</v>
      </c>
      <c r="C81" t="s">
        <v>378</v>
      </c>
      <c r="E81" t="s">
        <v>374</v>
      </c>
      <c r="F81" t="s">
        <v>377</v>
      </c>
    </row>
    <row r="82" spans="2:27" x14ac:dyDescent="0.3">
      <c r="B82" t="s">
        <v>379</v>
      </c>
    </row>
    <row r="83" spans="2:27" x14ac:dyDescent="0.3">
      <c r="B83" s="1" t="s">
        <v>380</v>
      </c>
      <c r="C83" s="1" t="s">
        <v>397</v>
      </c>
    </row>
    <row r="84" spans="2:27" x14ac:dyDescent="0.3">
      <c r="C84" t="s">
        <v>381</v>
      </c>
      <c r="D84" t="s">
        <v>382</v>
      </c>
      <c r="E84" t="s">
        <v>383</v>
      </c>
      <c r="F84" t="s">
        <v>384</v>
      </c>
      <c r="G84" t="s">
        <v>385</v>
      </c>
    </row>
    <row r="85" spans="2:27" x14ac:dyDescent="0.3">
      <c r="B85" s="1" t="s">
        <v>386</v>
      </c>
      <c r="C85" s="1" t="s">
        <v>398</v>
      </c>
    </row>
    <row r="86" spans="2:27" x14ac:dyDescent="0.3">
      <c r="C86" t="s">
        <v>387</v>
      </c>
      <c r="D86" t="s">
        <v>388</v>
      </c>
      <c r="E86" t="s">
        <v>389</v>
      </c>
      <c r="F86" t="s">
        <v>390</v>
      </c>
      <c r="G86" t="s">
        <v>391</v>
      </c>
      <c r="H86" t="s">
        <v>392</v>
      </c>
      <c r="I86" t="s">
        <v>393</v>
      </c>
      <c r="J86" t="s">
        <v>394</v>
      </c>
      <c r="K86" t="s">
        <v>395</v>
      </c>
      <c r="L86" t="s">
        <v>385</v>
      </c>
    </row>
    <row r="87" spans="2:27" ht="28.2" customHeight="1" x14ac:dyDescent="0.3">
      <c r="B87" s="68" t="s">
        <v>399</v>
      </c>
      <c r="C87" s="1" t="s">
        <v>400</v>
      </c>
    </row>
    <row r="88" spans="2:27" x14ac:dyDescent="0.3">
      <c r="C88" s="1" t="s">
        <v>376</v>
      </c>
      <c r="D88" s="1" t="s">
        <v>401</v>
      </c>
      <c r="E88" s="1" t="s">
        <v>402</v>
      </c>
      <c r="F88" s="1" t="s">
        <v>403</v>
      </c>
      <c r="G88" s="1" t="s">
        <v>404</v>
      </c>
      <c r="H88" s="1" t="s">
        <v>405</v>
      </c>
      <c r="I88" s="1" t="s">
        <v>406</v>
      </c>
      <c r="J88" s="1" t="s">
        <v>407</v>
      </c>
      <c r="K88" s="1" t="s">
        <v>408</v>
      </c>
      <c r="L88" s="1" t="s">
        <v>409</v>
      </c>
      <c r="M88" s="1" t="s">
        <v>410</v>
      </c>
      <c r="N88" s="1" t="s">
        <v>411</v>
      </c>
      <c r="O88" s="1" t="s">
        <v>412</v>
      </c>
      <c r="P88" s="1" t="s">
        <v>413</v>
      </c>
      <c r="Q88" s="1" t="s">
        <v>389</v>
      </c>
      <c r="R88" s="1" t="s">
        <v>414</v>
      </c>
      <c r="S88" s="1" t="s">
        <v>415</v>
      </c>
      <c r="T88" s="1" t="s">
        <v>416</v>
      </c>
      <c r="U88" s="1" t="s">
        <v>417</v>
      </c>
      <c r="V88" s="1" t="s">
        <v>418</v>
      </c>
      <c r="W88" s="1" t="s">
        <v>419</v>
      </c>
      <c r="X88" s="1" t="s">
        <v>420</v>
      </c>
      <c r="Y88" s="1" t="s">
        <v>387</v>
      </c>
      <c r="Z88" s="1" t="s">
        <v>388</v>
      </c>
      <c r="AA88" s="1" t="s">
        <v>421</v>
      </c>
    </row>
    <row r="89" spans="2:27" x14ac:dyDescent="0.3">
      <c r="D89" t="s">
        <v>422</v>
      </c>
      <c r="E89" t="s">
        <v>423</v>
      </c>
      <c r="H89" t="s">
        <v>424</v>
      </c>
      <c r="I89" t="s">
        <v>425</v>
      </c>
      <c r="J89" t="s">
        <v>426</v>
      </c>
      <c r="K89" t="s">
        <v>427</v>
      </c>
      <c r="R89" t="s">
        <v>429</v>
      </c>
      <c r="S89" t="s">
        <v>428</v>
      </c>
      <c r="X89" t="s">
        <v>430</v>
      </c>
      <c r="AA89" t="s">
        <v>431</v>
      </c>
    </row>
    <row r="90" spans="2:27" ht="28.8" x14ac:dyDescent="0.3">
      <c r="B90" s="68" t="s">
        <v>433</v>
      </c>
      <c r="C90" s="1" t="s">
        <v>432</v>
      </c>
    </row>
    <row r="91" spans="2:27" x14ac:dyDescent="0.3">
      <c r="C91" s="1" t="s">
        <v>376</v>
      </c>
      <c r="D91" s="1" t="s">
        <v>401</v>
      </c>
      <c r="E91" s="1" t="s">
        <v>403</v>
      </c>
      <c r="F91" s="1" t="s">
        <v>404</v>
      </c>
      <c r="G91" s="1" t="s">
        <v>405</v>
      </c>
      <c r="H91" s="1" t="s">
        <v>406</v>
      </c>
      <c r="I91" s="1" t="s">
        <v>410</v>
      </c>
      <c r="J91" s="1" t="s">
        <v>411</v>
      </c>
      <c r="K91" s="1" t="s">
        <v>412</v>
      </c>
      <c r="L91" s="1" t="s">
        <v>413</v>
      </c>
      <c r="M91" s="1" t="s">
        <v>389</v>
      </c>
      <c r="N91" s="1" t="s">
        <v>414</v>
      </c>
      <c r="O91" s="1" t="s">
        <v>415</v>
      </c>
      <c r="P91" s="1" t="s">
        <v>409</v>
      </c>
      <c r="Q91" s="1" t="s">
        <v>416</v>
      </c>
      <c r="R91" s="1" t="s">
        <v>417</v>
      </c>
      <c r="S91" s="1" t="s">
        <v>418</v>
      </c>
      <c r="T91" s="1" t="s">
        <v>419</v>
      </c>
      <c r="U91" s="1" t="s">
        <v>420</v>
      </c>
    </row>
    <row r="92" spans="2:27" x14ac:dyDescent="0.3">
      <c r="G92" t="s">
        <v>424</v>
      </c>
      <c r="H92" t="s">
        <v>425</v>
      </c>
      <c r="N92" t="s">
        <v>429</v>
      </c>
      <c r="O92" t="s">
        <v>428</v>
      </c>
      <c r="U92" t="s">
        <v>430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7"/>
  <sheetViews>
    <sheetView workbookViewId="0">
      <pane xSplit="1" topLeftCell="B1" activePane="topRight" state="frozen"/>
      <selection pane="topRight" activeCell="A9" sqref="A9:A15"/>
    </sheetView>
  </sheetViews>
  <sheetFormatPr defaultColWidth="9.21875" defaultRowHeight="14.4" x14ac:dyDescent="0.3"/>
  <cols>
    <col min="1" max="1" width="20.77734375" style="7" customWidth="1"/>
    <col min="2" max="2" width="20.44140625" style="8" customWidth="1"/>
    <col min="3" max="3" width="19.44140625" style="7" customWidth="1"/>
    <col min="4" max="4" width="23.44140625" style="7" customWidth="1"/>
    <col min="5" max="5" width="14.44140625" style="7" customWidth="1"/>
    <col min="6" max="6" width="14.77734375" style="7" customWidth="1"/>
    <col min="7" max="7" width="17.21875" style="7" bestFit="1" customWidth="1"/>
    <col min="8" max="8" width="15" style="7" customWidth="1"/>
    <col min="9" max="9" width="16" style="7" customWidth="1"/>
    <col min="10" max="10" width="15.77734375" style="7" customWidth="1"/>
    <col min="11" max="11" width="16" style="7" customWidth="1"/>
    <col min="12" max="12" width="16.77734375" style="7" customWidth="1"/>
    <col min="13" max="13" width="17.44140625" style="7" customWidth="1"/>
    <col min="14" max="14" width="16.21875" style="7" customWidth="1"/>
    <col min="15" max="15" width="14.77734375" style="7" customWidth="1"/>
    <col min="16" max="16" width="16" style="7" customWidth="1"/>
    <col min="17" max="17" width="15.77734375" style="7" customWidth="1"/>
    <col min="18" max="18" width="19.44140625" style="7" customWidth="1"/>
    <col min="19" max="19" width="20.44140625" style="7" customWidth="1"/>
    <col min="20" max="20" width="17" style="7" customWidth="1"/>
    <col min="21" max="21" width="14" style="7" customWidth="1"/>
    <col min="22" max="22" width="15.21875" style="7" customWidth="1"/>
    <col min="23" max="23" width="27.77734375" style="8" customWidth="1"/>
    <col min="24" max="16384" width="9.21875" style="7"/>
  </cols>
  <sheetData>
    <row r="1" spans="1:23" s="10" customFormat="1" ht="14.25" customHeight="1" x14ac:dyDescent="0.3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3">
      <c r="A2" s="1" t="s">
        <v>12</v>
      </c>
      <c r="B2" s="27" t="s">
        <v>349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3">
      <c r="A3" s="1" t="s">
        <v>5</v>
      </c>
      <c r="B3" s="27" t="s">
        <v>366</v>
      </c>
      <c r="C3" s="9" t="s">
        <v>41</v>
      </c>
      <c r="D3" s="9" t="s">
        <v>42</v>
      </c>
      <c r="E3" s="9" t="s">
        <v>37</v>
      </c>
      <c r="F3" s="10" t="str">
        <f>"J"&amp;COUNTA($A:$A)</f>
        <v>J15</v>
      </c>
      <c r="G3" s="4" t="s">
        <v>54</v>
      </c>
      <c r="H3" s="9" t="str">
        <f>"I"&amp;COUNTA($A:$A)</f>
        <v>I15</v>
      </c>
      <c r="I3" s="9" t="str">
        <f>REPT(CHAR(9),2)&amp;"[Required]"&amp;"
"</f>
        <v xml:space="preserve">		[Required]
</v>
      </c>
      <c r="J3" s="10" t="str">
        <f>"L"&amp;COUNTA($A:$A)</f>
        <v>L15</v>
      </c>
      <c r="K3" s="5" t="s">
        <v>53</v>
      </c>
      <c r="L3" s="10" t="str">
        <f>"M"&amp;COUNTA($A:$A)</f>
        <v>M15</v>
      </c>
      <c r="M3" s="10" t="str">
        <f>"N"&amp;COUNTA($A:$A)</f>
        <v>N15</v>
      </c>
      <c r="N3" s="10" t="str">
        <f>"O"&amp;COUNTA($A:$A)</f>
        <v>O15</v>
      </c>
      <c r="O3" s="10" t="str">
        <f>"P"&amp;COUNTA($A:$A)</f>
        <v>P15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InvCkdRequestExportInput{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T15</v>
      </c>
      <c r="V3" s="10" t="str">
        <f>"V"&amp;COUNTA($A:$A)</f>
        <v>V15</v>
      </c>
      <c r="W3" s="9" t="str">
        <f>"W"&amp;COUNTA($A:$A)</f>
        <v>W15</v>
      </c>
    </row>
    <row r="4" spans="1:23" s="10" customFormat="1" ht="33" customHeight="1" x14ac:dyDescent="0.3">
      <c r="A4" s="1" t="s">
        <v>233</v>
      </c>
      <c r="B4" s="65" t="s">
        <v>320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3">
      <c r="A5" s="1" t="s">
        <v>234</v>
      </c>
      <c r="B5" s="65" t="s">
        <v>367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.05" customHeight="1" x14ac:dyDescent="0.3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InvCkdRequest: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InvCkdRequestConsts	
	{
</v>
      </c>
      <c r="F6" s="10" t="str">
        <f>REPT(CHAR(9),1)&amp;"public class "&amp;B3&amp;"Dto"&amp;K3&amp;REPT(CHAR(9),1)&amp;"
"&amp;REPT(CHAR(9),1)&amp;C3</f>
        <v xml:space="preserve">	public class InvCkdRequestDto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CreateOrEditInvCkdRequestDto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GetInvCkdRequestInput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.05" customHeight="1" x14ac:dyDescent="0.3">
      <c r="A7" s="1" t="s">
        <v>13</v>
      </c>
      <c r="B7" s="9" t="str">
        <f>B3</f>
        <v>InvCkdRequest</v>
      </c>
      <c r="C7" s="10" t="str">
        <f>REPT(CHAR(9),1)&amp;"[Table("""&amp;B7&amp;""")]"&amp;"
"</f>
        <v xml:space="preserve">	[Table("InvCkdRequest")]
</v>
      </c>
      <c r="D7" s="10"/>
      <c r="E7" s="10"/>
      <c r="F7" s="10"/>
      <c r="G7" s="10"/>
      <c r="H7" s="10"/>
      <c r="I7" s="10"/>
      <c r="J7" t="str">
        <f ca="1">SUBSTITUTE(SUBSTITUTE((B1&amp;C6&amp;C7&amp;K17&amp;D6&amp;I17&amp;E3&amp;J17&amp;""&amp;REPT(CHAR(9),1)&amp;D3&amp;D3),"WorkingPattern",$Q$3),"Master",$B$4)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[Table("InvCkdRequest")]
	public class InvCkdRequest: FullAuditedEntity&lt;long&gt;, IEntity&lt;long&gt;	
	{
		public const int MaxCkdReqNoLength = 50;
		public const int MaxStatusLength = 10;
		public const int MaxIsActiveLength = 1;
		[StringLength(MaxCkdReqNoLength)]
		public virtual string CkdReqNo { get; set; }
		public virtual DateTime? IssueDate { get; set; }
		public virtual DateTime? ReqDate { get; set; }
		public virtual DateTime? PeriodDate { get; set; }
		public virtual long? PeriodId { get; set; }
		[StringLength(MaxStatusLength)]
		public virtual string Status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DbSet&lt;InvCkdRequest&gt; InvCkdRequests { get; set; }</v>
      </c>
      <c r="L7" t="str">
        <f ca="1">SUBSTITUTE(SUBSTITUTE((C6&amp;E6&amp;I17&amp;"
"&amp;REPT(CHAR(9),2)&amp;"// Define Store Name: Format SP_ + &lt;Store Name&gt; = &lt;Store Name&gt;
"&amp;E3&amp;REPT(CHAR(9),1)&amp;D3&amp;D3),"WorkingPattern",$Q$3),"Master",$B$4)</f>
        <v xml:space="preserve">namespace prod.Inventory.CKD
{
	public class InvCkdRequestConsts	
	{
		public const int MaxCkdReqNoLength = 50;
		public const int MaxStatusLength = 10;
		public const int MaxIsActiveLength = 1;
		// Define Store Name: Format SP_ + &lt;Store Name&gt; = &lt;Store Name&gt;
	}
}
</v>
      </c>
      <c r="M7" t="str">
        <f ca="1">SUBSTITUTE(SUBSTITUTE((C1&amp;"namespace "&amp;B6&amp;".Dto"&amp;E3&amp;C3&amp;F6&amp;M17&amp;E3&amp;REPT(CHAR(9),1)&amp;D3&amp;G6&amp;N17&amp;REPT(CHAR(9),1)&amp;D3&amp;H6&amp;O17&amp;"
"&amp;REPT(CHAR(9),1)&amp;D3&amp;D3),"WorkingPattern",$Q$3),"Master",$B$4)</f>
        <v xml:space="preserve">using Abp.Application.Services.Dto;
using System;
using System.ComponentModel.DataAnnotations;
namespace prod.Inventory.CKD.Dto
{
	public class InvCkdRequestDto : EntityDto&lt;long?&gt;	
	{
		public virtual string CkdReqNo { get; set; }
		public virtual DateTime? IssueDate { get; set; }
		public virtual DateTime? ReqDate { get; set; }
		public virtual DateTime? PeriodDate { get; set; }
		public virtual long? PeriodId { get; set; }
		public virtual string Status { get; set; }
		public virtual string IsActive { get; set; }
	}
	public class CreateOrEditInvCkdRequestDto : EntityDto&lt;long?&gt;	
	{
		[StringLength(InvCkdRequestConsts.MaxCkdReqNoLength)]
		public virtual string CkdReqNo { get; set; }
		public virtual DateTime? IssueDate { get; set; }
		public virtual DateTime? ReqDate { get; set; }
		public virtual DateTime? PeriodDate { get; set; }
		public virtual long? PeriodId { get; set; }
		[StringLength(InvCkdRequestConsts.MaxStatusLength)]
		public virtual string Status { get; set; }
		[StringLength(InvCkdRequestConsts.MaxIsActiveLength)]
		public virtual string IsActive { get; set; }
	}
	public class GetInvCkdRequestInput : PagedAndSortedResultRequestDto	
	{
		public virtual string CkdReqNo { get; set; }
		public virtual string Status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perInvCkdRequest = PARENTS.CreateChildPermission(AppPermissions.Pages_Inventory_CKD_CkdRequest, L( "InventoryCKDCkdRequest"), multiTenancySides: MultiTenancySides.Tenant);
		perInvCkdRequest.CreateChildPermission(AppPermissions.Pages_Inventory_CKD_CkdRequest_CreateEdit, L( "InventoryCKDCkdRequestCreateEdit"), multiTenancySides: MultiTenancySides.Tenant);
		perInvCkdRequest.CreateChildPermission(AppPermissions.Pages_Inventory_CKD_CkdRequest_Delete, L( "InventoryCKDCkdRequestDelete"),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Pages_Inventory_CKD_CkdRequest = "Pages.Inventory.CKD.CkdRequest";
		public const string Pages_Inventory_CKD_CkdRequest_CreateEdit = "Pages.Inventory.CKD.CkdRequest.CreateEdit";
		public const string Pages_Inventory_CKD_CkdRequest_Delete = "Pages.Inventory.CKD.CkdRequest.Delete";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IInvCkdRequestAppService : IApplicationService
	{
		Task&lt;PagedResultDto&lt;InvCkdRequestDto&gt;&gt; GetAll(GetInvCkdRequestInput input);
		Task CreateOrEdit(CreateOrEditInvCkdRequestDto input);
		Task Delete(EntityDto input);
	}
}
</v>
      </c>
      <c r="Q7" t="str">
        <f ca="1">SUBSTITUTE(SUBSTITUTE(SUBSTITUTE(SUBSTITUTE(SUBSTITUTE(SUBSTITUTE(E1,"MstWptCalendar",$B$3),"&lt;PROPERTIES&gt;",P17),"Calendar",$B$5),"WorkingPattern",$Q$3),"Master",$B$4),"&lt;PARAMS_SEARCH&gt;",$W$17)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[AbpAuthorize(AppPermissions.Pages_Inventory_CKD_CkdRequest)]
    public class InvCkdRequestAppService : vovinaAppServiceBase, IInvCkdRequestAppService
    {
        private readonly IDapperRepository&lt;InvCkdRequest, long&gt; _dapperRepo;
        private readonly IRepository&lt;InvCkdRequest, long&gt; _repo;
        private readonly IInvCkdRequestExcelExporter _calendarListExcelExporter;
        public InvCkdRequestAppService(IRepository&lt;InvCkdRequest,long&gt; repo, 
                                         IDapperRepository&lt;InvCkdRequest,long&gt; dapperRepo,
                                        IInvCkdRequestExcelExporter calendarListExcelExporter
            )
        {
            _repo = repo;
            _dapperRepo = dapperRepo;
            _calendarListExcelExporter = calendarListExcelExporter;
        }
        [AbpAuthorize(AppPermissions.Pages_Inventory_CKD_CkdRequest_CreateEdit)]
        public async Task CreateOrEdit(CreateOrEditInvCkdRequestDto input)
        {
            if (input.Id == null) await Create(input);
            else await Update(input);
        }
        //CREATE
        private async Task Create(CreateOrEditInvCkdRequestDto input)
        {          
            var mainObj = ObjectMapper.Map&lt;InvCkdRequest&gt;(input);
            await CurrentUnitOfWork.GetDbContext&lt;vovinaDbContext&gt;().AddAsync(mainObj);
        }
        // EDIT
        private async Task Update(CreateOrEditInvCkdRequestDto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[AbpAuthorize(AppPermissions.Pages_Inventory_CKD_CkdRequest_Delete)]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Task&lt;PagedResultDto&lt;InvCkdRequestDto&gt;&gt; GetAll(GetInvCkdRequestInput input)
        {
            var filtered = _repo.GetAll()
				.WhereIf(!string.IsNullOrWhiteSpace(input.CkdReqNo), e =&gt; e.CkdReqNo.Contains(input.CkdReqNo))
				.WhereIf(!string.IsNullOrWhiteSpace(input.Status), e =&gt; e.Status.Contains(input.Status))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InvCkdRequestDto
                        {
							Id = o.Id,
							CkdReqNo = o.CkdReqNo,
							IssueDate = o.IssueDate,
							ReqDate = o.ReqDate,
							PeriodDate = o.PeriodDate,
							PeriodId = o.PeriodId,
							Status = o.Status,
							IsActive = o.IsActive,
                        };
            var totalCount = await filtered.CountAsync();
			var paged = system.PageBy(input);
            return new PagedResultDto&lt;InvCkdRequestDto&gt;(
                totalCount,
                 await paged.ToListAsync()
            );
        }
        public async Task&lt;FileDto&gt; GetCkdRequestToExcel(InvCkdRequestExportInput input)
        {
            var query = from o in _repo.GetAll()
                        select new InvCkdRequestDto
                        {
							Id = o.Id,
							CkdReqNo = o.CkdReqNo,
							IssueDate = o.IssueDate,
							ReqDate = o.ReqDate,
							PeriodDate = o.PeriodDate,
							PeriodId = o.PeriodId,
							Status = o.Status,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_dapperRepo.ExecuteAsync(InvCkdRequestConsts.SP_MST_WPT_CALENDAR_GENERATE);
       // }
    }
}</v>
      </c>
      <c r="R7" t="str">
        <f ca="1">SUBSTITUTE(SUBSTITUTE((C1&amp;"namespace "&amp;B6&amp;".Dto"&amp;E3&amp;C3&amp;R3&amp;M17&amp;E3&amp;REPT(CHAR(9),1)&amp;D3&amp;D3),"WorkingPattern",$Q$3),"Master",$B$4)</f>
        <v xml:space="preserve">using Abp.Application.Services.Dto;
using System;
using System.ComponentModel.DataAnnotations;
namespace prod.Inventory.CKD.Dto
{
	public class InvCkdRequestExportInput{
		public virtual string CkdReqNo { get; set; }
		public virtual DateTime? IssueDate { get; set; }
		public virtual DateTime? ReqDate { get; set; }
		public virtual DateTime? PeriodDate { get; set; }
		public virtual long? PeriodId { get; set; }
		public virtual string Status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IInvCkdRequestExcelExporter : IApplicationService
	{
		FileDto ExportToFile(List&lt;InvCkdRequestDto&gt; invckdrequest);
	}
}
</v>
      </c>
      <c r="T7" s="26" t="str">
        <f ca="1">SUBSTITUTE(SUBSTITUTE(SUBSTITUTE(SUBSTITUTE(SUBSTITUTE(SUBSTITUTE(SUBSTITUTE(T1,"MstWptCalendar",$B$3),"&lt;PROPERTIES1&gt;",V17),"&lt;PROPERTIES&gt;",T17),"Calendar",$B$5),"calendar",LOWER(B5)),"WorkingPattern",$Q$3),"Master",$B$4)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InvCkdRequestExcelExporter : NpoiExcelExporterBase, IInvCkdRequestExcelExporter
    {
        public InvCkdRequestExcelExporter(ITempFileCacheManager tempFileCacheManager) : base(tempFileCacheManager) { }
        public FileDto ExportToFile(List&lt;InvCkdRequestDto&gt; ckdrequest)
        {
            return CreateExcelPackage(
				"InventoryCKDCkdRequest.xlsx",
				excelPackage =&gt;
				 {
					var sheet = excelPackage.CreateSheet("CkdRequest");
					AddHeader(
								sheet,
								("CkdReqNo"),
								("IssueDate"),
								("ReqDate"),
								("PeriodDate"),
								("PeriodId"),
								("Status"),
								("IsActive"),
							   );
					AddObjects(
						 sheet, 1, ckdrequest,                                       
								_ =&gt; _.CkdReqNo,
								_ =&gt; _.IssueDate,
								_ =&gt; _.ReqDate,
								_ =&gt; _.PeriodDate,
								_ =&gt; _.PeriodId,
								_ =&gt; _.Status,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configuration.CreateMap&lt;InvCkdRequestDto, InvCkdRequest&gt;();
  configuration.CreateMap&lt;InvCkdRequest, InvCkdRequestDto&gt;();
  configuration.CreateMap&lt;CreateOrEditInvCkdRequestDto, InvCkdRequest&gt;();</v>
      </c>
      <c r="V7" s="26"/>
      <c r="W7" s="26"/>
    </row>
    <row r="8" spans="1:23" s="2" customFormat="1" x14ac:dyDescent="0.3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3">
      <c r="A9" t="s">
        <v>362</v>
      </c>
      <c r="B9" t="s">
        <v>363</v>
      </c>
      <c r="C9" t="s">
        <v>1</v>
      </c>
      <c r="D9" t="str">
        <f t="shared" ref="D9" si="0">SUBSTITUTE(PROPER(A9),"_","")</f>
        <v>CkdReqNo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50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MaxCkdReqNoLength = 50;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[StringLength(MaxCkdReqNoLength)]
		public virtual string CkdReqNo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CkdReqNo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[StringLength(InvCkdRequestConsts.MaxCkdReqNoLength)]
		public virtual string CkdReqNo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CkdReqNo { get; set; }
</v>
      </c>
      <c r="P9" t="str">
        <f t="shared" ref="P9" si="9">REPT(CHAR(9),7)&amp;D9&amp;" = o." &amp;D9 &amp;","</f>
        <v xml:space="preserve">							CkdReqNo = o.CkdReqNo,</v>
      </c>
      <c r="T9" s="63" t="str">
        <f t="shared" ref="T9" si="10">REPT(CHAR(9),8)&amp;"("""&amp;D9&amp;"""),"</f>
        <v xml:space="preserve">								("CkdReqNo"),</v>
      </c>
      <c r="V9" s="64" t="str">
        <f t="shared" ref="V9" si="11">REPT(CHAR(9),8)&amp;"_ =&gt; _."&amp;D9&amp;","</f>
        <v xml:space="preserve">								_ =&gt; _.CkdReqNo,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.WhereIf(!string.IsNullOrWhiteSpace(input.CkdReqNo), e =&gt; e.CkdReqNo.Contains(input.CkdReqNo))</v>
      </c>
    </row>
    <row r="10" spans="1:23" customFormat="1" ht="18.75" customHeight="1" x14ac:dyDescent="0.3">
      <c r="A10" t="s">
        <v>364</v>
      </c>
      <c r="B10" t="s">
        <v>359</v>
      </c>
      <c r="C10" t="s">
        <v>1</v>
      </c>
      <c r="D10" t="str">
        <f t="shared" ref="D10:D11" si="13">SUBSTITUTE(PROPER(A10),"_","")</f>
        <v>IssueDate</v>
      </c>
      <c r="E10" t="str">
        <f t="shared" ref="E10:E11" si="14">IFERROR(LEFT(B10, FIND("(",B10)-1),B10)</f>
        <v>DATE</v>
      </c>
      <c r="F10" s="6"/>
      <c r="G10" t="str">
        <f t="shared" ref="G10:G11" si="15">IFERROR(MID(B10,FIND("(",B10) +1, FIND(")",B10) - FIND("(",B10) - 1),"")</f>
        <v/>
      </c>
      <c r="H10" t="str">
        <f>+VLOOKUP(E10,'Data Type Mapping'!A:B,2,)</f>
        <v>DateTime?</v>
      </c>
      <c r="I10" t="str">
        <f t="shared" ref="I10:I11" si="16">IF(H10="string",REPT(CHAR(9),2)&amp;"public const int Max"&amp;D10&amp;"Length = "&amp;G10&amp;";"&amp;$E$3,"" )</f>
        <v/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DateTime? IssueDate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DateTime? IssueDate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DateTime? IssueDate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/>
      </c>
      <c r="P10" t="str">
        <f t="shared" ref="P10:P11" si="22">REPT(CHAR(9),7)&amp;D10&amp;" = o." &amp;D10 &amp;","</f>
        <v xml:space="preserve">							IssueDate = o.IssueDate,</v>
      </c>
      <c r="T10" s="63" t="str">
        <f t="shared" ref="T10:T11" si="23">REPT(CHAR(9),8)&amp;"("""&amp;D10&amp;"""),"</f>
        <v xml:space="preserve">								("IssueDate"),</v>
      </c>
      <c r="V10" s="64" t="str">
        <f t="shared" ref="V10:V11" si="24">REPT(CHAR(9),8)&amp;"_ =&gt; _."&amp;D10&amp;","</f>
        <v xml:space="preserve">								_ =&gt; _.IssueDate,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1" spans="1:23" customFormat="1" ht="18.75" customHeight="1" x14ac:dyDescent="0.3">
      <c r="A11" t="s">
        <v>365</v>
      </c>
      <c r="B11" t="s">
        <v>359</v>
      </c>
      <c r="C11" t="s">
        <v>1</v>
      </c>
      <c r="D11" t="str">
        <f t="shared" si="13"/>
        <v>ReqDate</v>
      </c>
      <c r="E11" t="str">
        <f t="shared" si="14"/>
        <v>DATE</v>
      </c>
      <c r="F11" s="6"/>
      <c r="G11" t="str">
        <f t="shared" si="15"/>
        <v/>
      </c>
      <c r="H11" t="str">
        <f>+VLOOKUP(E11,'Data Type Mapping'!A:B,2,)</f>
        <v>DateTime?</v>
      </c>
      <c r="I11" t="str">
        <f t="shared" si="16"/>
        <v/>
      </c>
      <c r="J11" t="str">
        <f t="shared" si="17"/>
        <v xml:space="preserve">		public virtual DateTime? ReqDate { get; set; }
</v>
      </c>
      <c r="K11" s="6"/>
      <c r="L11" t="str">
        <f t="shared" si="18"/>
        <v/>
      </c>
      <c r="M11" t="str">
        <f t="shared" si="19"/>
        <v xml:space="preserve">		public virtual DateTime? ReqDate { get; set; }
</v>
      </c>
      <c r="N11" t="str">
        <f t="shared" si="20"/>
        <v xml:space="preserve">		public virtual DateTime? ReqDate { get; set; }
</v>
      </c>
      <c r="O11" t="str">
        <f t="shared" si="21"/>
        <v/>
      </c>
      <c r="P11" t="str">
        <f t="shared" si="22"/>
        <v xml:space="preserve">							ReqDate = o.ReqDate,</v>
      </c>
      <c r="T11" s="63" t="str">
        <f t="shared" si="23"/>
        <v xml:space="preserve">								("ReqDate"),</v>
      </c>
      <c r="V11" s="64" t="str">
        <f t="shared" si="24"/>
        <v xml:space="preserve">								_ =&gt; _.ReqDate,</v>
      </c>
      <c r="W11" s="63" t="str">
        <f t="shared" si="25"/>
        <v/>
      </c>
    </row>
    <row r="12" spans="1:23" customFormat="1" ht="18.75" customHeight="1" x14ac:dyDescent="0.3">
      <c r="A12" t="s">
        <v>360</v>
      </c>
      <c r="B12" t="s">
        <v>359</v>
      </c>
      <c r="C12" t="s">
        <v>1</v>
      </c>
      <c r="D12" t="str">
        <f t="shared" ref="D12:D15" si="26">SUBSTITUTE(PROPER(A12),"_","")</f>
        <v>PeriodDate</v>
      </c>
      <c r="E12" t="str">
        <f t="shared" ref="E12:E15" si="27">IFERROR(LEFT(B12, FIND("(",B12)-1),B12)</f>
        <v>DATE</v>
      </c>
      <c r="F12" s="6"/>
      <c r="G12" t="str">
        <f t="shared" ref="G12:G15" si="28">IFERROR(MID(B12,FIND("(",B12) +1, FIND(")",B12) - FIND("(",B12) - 1),"")</f>
        <v/>
      </c>
      <c r="H12" t="str">
        <f>+VLOOKUP(E12,'Data Type Mapping'!A:B,2,)</f>
        <v>DateTime?</v>
      </c>
      <c r="I12" t="str">
        <f t="shared" ref="I12:I15" si="29">IF(H12="string",REPT(CHAR(9),2)&amp;"public const int Max"&amp;D12&amp;"Length = "&amp;G12&amp;";"&amp;$E$3,"" )</f>
        <v/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DateTime? PeriodDate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DateTime? PeriodDate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DateTime? PeriodDate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/>
      </c>
      <c r="P12" t="str">
        <f t="shared" ref="P12:P15" si="35">REPT(CHAR(9),7)&amp;D12&amp;" = o." &amp;D12 &amp;","</f>
        <v xml:space="preserve">							PeriodDate = o.PeriodDate,</v>
      </c>
      <c r="T12" s="63" t="str">
        <f t="shared" ref="T12:T15" si="36">REPT(CHAR(9),8)&amp;"("""&amp;D12&amp;"""),"</f>
        <v xml:space="preserve">								("PeriodDate"),</v>
      </c>
      <c r="V12" s="64" t="str">
        <f t="shared" ref="V12:V15" si="37">REPT(CHAR(9),8)&amp;"_ =&gt; _."&amp;D12&amp;","</f>
        <v xml:space="preserve">								_ =&gt; _.PeriodDate,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3" spans="1:23" customFormat="1" ht="18.75" customHeight="1" x14ac:dyDescent="0.3">
      <c r="A13" t="s">
        <v>351</v>
      </c>
      <c r="B13" t="s">
        <v>0</v>
      </c>
      <c r="C13" t="s">
        <v>1</v>
      </c>
      <c r="D13" t="str">
        <f t="shared" si="26"/>
        <v>PeriodId</v>
      </c>
      <c r="E13" t="str">
        <f t="shared" si="27"/>
        <v>bigint</v>
      </c>
      <c r="F13" s="6"/>
      <c r="G13" t="str">
        <f t="shared" si="28"/>
        <v/>
      </c>
      <c r="H13" t="str">
        <f>+VLOOKUP(E13,'Data Type Mapping'!A:B,2,)</f>
        <v>long?</v>
      </c>
      <c r="I13" t="str">
        <f t="shared" si="29"/>
        <v/>
      </c>
      <c r="J13" t="str">
        <f t="shared" si="30"/>
        <v xml:space="preserve">		public virtual long? PeriodId { get; set; }
</v>
      </c>
      <c r="K13" s="6"/>
      <c r="L13" t="str">
        <f t="shared" si="31"/>
        <v/>
      </c>
      <c r="M13" t="str">
        <f t="shared" si="32"/>
        <v xml:space="preserve">		public virtual long? PeriodId { get; set; }
</v>
      </c>
      <c r="N13" t="str">
        <f t="shared" si="33"/>
        <v xml:space="preserve">		public virtual long? PeriodId { get; set; }
</v>
      </c>
      <c r="O13" t="str">
        <f t="shared" si="34"/>
        <v/>
      </c>
      <c r="P13" t="str">
        <f t="shared" si="35"/>
        <v xml:space="preserve">							PeriodId = o.PeriodId,</v>
      </c>
      <c r="T13" s="63" t="str">
        <f t="shared" si="36"/>
        <v xml:space="preserve">								("PeriodId"),</v>
      </c>
      <c r="V13" s="64" t="str">
        <f t="shared" si="37"/>
        <v xml:space="preserve">								_ =&gt; _.PeriodId,</v>
      </c>
      <c r="W13" s="63" t="str">
        <f t="shared" si="38"/>
        <v/>
      </c>
    </row>
    <row r="14" spans="1:23" customFormat="1" ht="18.75" customHeight="1" x14ac:dyDescent="0.3">
      <c r="A14" t="s">
        <v>350</v>
      </c>
      <c r="B14" t="s">
        <v>358</v>
      </c>
      <c r="C14" t="s">
        <v>1</v>
      </c>
      <c r="D14" t="str">
        <f t="shared" si="26"/>
        <v>Status</v>
      </c>
      <c r="E14" t="str">
        <f t="shared" si="27"/>
        <v>VARCHAR</v>
      </c>
      <c r="F14" s="6"/>
      <c r="G14" t="str">
        <f t="shared" si="28"/>
        <v>10</v>
      </c>
      <c r="H14" t="str">
        <f>+VLOOKUP(E14,'Data Type Mapping'!A:B,2,)</f>
        <v>string</v>
      </c>
      <c r="I14" t="str">
        <f t="shared" si="29"/>
        <v xml:space="preserve">		public const int MaxStatusLength = 10;
</v>
      </c>
      <c r="J14" t="str">
        <f t="shared" si="30"/>
        <v xml:space="preserve">		[StringLength(MaxStatusLength)]
		public virtual string Status { get; set; }
</v>
      </c>
      <c r="K14" s="6"/>
      <c r="L14" t="str">
        <f t="shared" si="31"/>
        <v/>
      </c>
      <c r="M14" t="str">
        <f t="shared" si="32"/>
        <v xml:space="preserve">		public virtual string Status { get; set; }
</v>
      </c>
      <c r="N14" t="str">
        <f t="shared" si="33"/>
        <v xml:space="preserve">		[StringLength(InvCkdRequestConsts.MaxStatusLength)]
		public virtual string Status { get; set; }
</v>
      </c>
      <c r="O14" t="str">
        <f t="shared" si="34"/>
        <v xml:space="preserve">		public virtual string Status { get; set; }
</v>
      </c>
      <c r="P14" t="str">
        <f t="shared" si="35"/>
        <v xml:space="preserve">							Status = o.Status,</v>
      </c>
      <c r="T14" s="63" t="str">
        <f t="shared" si="36"/>
        <v xml:space="preserve">								("Status"),</v>
      </c>
      <c r="V14" s="64" t="str">
        <f t="shared" si="37"/>
        <v xml:space="preserve">								_ =&gt; _.Status,</v>
      </c>
      <c r="W14" s="63" t="str">
        <f t="shared" si="38"/>
        <v xml:space="preserve">				.WhereIf(!string.IsNullOrWhiteSpace(input.Status), e =&gt; e.Status.Contains(input.Status))</v>
      </c>
    </row>
    <row r="15" spans="1:23" customFormat="1" ht="18.75" customHeight="1" x14ac:dyDescent="0.3">
      <c r="A15" t="s">
        <v>319</v>
      </c>
      <c r="B15" t="s">
        <v>361</v>
      </c>
      <c r="C15" t="s">
        <v>1</v>
      </c>
      <c r="D15" t="str">
        <f t="shared" si="26"/>
        <v>IsActive</v>
      </c>
      <c r="E15" t="str">
        <f t="shared" si="27"/>
        <v>VARCHAR</v>
      </c>
      <c r="F15" s="6"/>
      <c r="G15" t="str">
        <f t="shared" si="28"/>
        <v>1</v>
      </c>
      <c r="H15" t="str">
        <f>+VLOOKUP(E15,'Data Type Mapping'!A:B,2,)</f>
        <v>string</v>
      </c>
      <c r="I15" t="str">
        <f t="shared" si="29"/>
        <v xml:space="preserve">		public const int MaxIsActiveLength = 1;
</v>
      </c>
      <c r="J15" t="str">
        <f t="shared" si="30"/>
        <v xml:space="preserve">		[StringLength(MaxIsActiveLength)]
		public virtual string IsActive { get; set; }
</v>
      </c>
      <c r="K15" s="6"/>
      <c r="L15" t="str">
        <f t="shared" si="31"/>
        <v/>
      </c>
      <c r="M15" t="str">
        <f t="shared" si="32"/>
        <v xml:space="preserve">		public virtual string IsActive { get; set; }
</v>
      </c>
      <c r="N15" t="str">
        <f t="shared" si="33"/>
        <v xml:space="preserve">		[StringLength(InvCkdRequestConsts.MaxIsActiveLength)]
		public virtual string IsActive { get; set; }
</v>
      </c>
      <c r="O15" t="str">
        <f t="shared" si="34"/>
        <v xml:space="preserve">		public virtual string IsActive { get; set; }
</v>
      </c>
      <c r="P15" t="str">
        <f t="shared" si="35"/>
        <v xml:space="preserve">							IsActive = o.IsActive,</v>
      </c>
      <c r="T15" s="63" t="str">
        <f t="shared" si="36"/>
        <v xml:space="preserve">								("IsActive"),</v>
      </c>
      <c r="V15" s="64" t="str">
        <f t="shared" si="37"/>
        <v xml:space="preserve">								_ =&gt; _.IsActive,</v>
      </c>
      <c r="W15" s="63" t="str">
        <f t="shared" si="38"/>
        <v xml:space="preserve">				.WhereIf(!string.IsNullOrWhiteSpace(input.IsActive), e =&gt; e.IsActive.Contains(input.IsActive))</v>
      </c>
    </row>
    <row r="17" spans="8:23" ht="45.75" customHeight="1" x14ac:dyDescent="0.3">
      <c r="H17" s="11"/>
      <c r="I17" s="31" t="str">
        <f ca="1">TEXTJOIN2("
", TRUE,INDIRECT( $H$1):INDIRECT( $H$3))</f>
        <v xml:space="preserve">		public const int MaxCkdReqNoLength = 50;
		public const int MaxStatusLength = 10;
		public const int MaxIsActiveLength = 1;
</v>
      </c>
      <c r="J17" s="30" t="str">
        <f ca="1">TEXTJOIN2("
", TRUE,INDIRECT( $F$1):INDIRECT( $F$3))</f>
        <v xml:space="preserve">		[StringLength(MaxCkdReqNoLength)]
		public virtual string CkdReqNo { get; set; }
		public virtual DateTime? IssueDate { get; set; }
		public virtual DateTime? ReqDate { get; set; }
		public virtual DateTime? PeriodDate { get; set; }
		public virtual long? PeriodId { get; set; }
		[StringLength(MaxStatusLength)]
		public virtual string Status { get; set; }
		[StringLength(MaxIsActiveLength)]
		public virtual string IsActive { get; set; }
</v>
      </c>
      <c r="K17" s="32" t="str">
        <f ca="1">TEXTJOIN2("
", TRUE,INDIRECT( $J$1):INDIRECT( $J$3))</f>
        <v/>
      </c>
      <c r="L17" s="12" t="s">
        <v>57</v>
      </c>
      <c r="M17" s="33" t="str">
        <f ca="1">TEXTJOIN2("
",TRUE,INDIRECT( $L$1):INDIRECT($L$3))</f>
        <v xml:space="preserve">		public virtual string CkdReqNo { get; set; }
		public virtual DateTime? IssueDate { get; set; }
		public virtual DateTime? ReqDate { get; set; }
		public virtual DateTime? PeriodDate { get; set; }
		public virtual long? PeriodId { get; set; }
		public virtual string Status { get; set; }
		public virtual string IsActive { get; set; }
</v>
      </c>
      <c r="N17" s="30" t="str">
        <f ca="1">TEXTJOIN2("
",TRUE,INDIRECT( $M$1):INDIRECT($M$3))</f>
        <v xml:space="preserve">		[StringLength(InvCkdRequestConsts.MaxCkdReqNoLength)]
		public virtual string CkdReqNo { get; set; }
		public virtual DateTime? IssueDate { get; set; }
		public virtual DateTime? ReqDate { get; set; }
		public virtual DateTime? PeriodDate { get; set; }
		public virtual long? PeriodId { get; set; }
		[StringLength(InvCkdRequestConsts.MaxStatusLength)]
		public virtual string Status { get; set; }
		[StringLength(InvCkdRequestConsts.MaxIsActiveLength)]
		public virtual string IsActive { get; set; }
</v>
      </c>
      <c r="O17" s="30" t="str">
        <f ca="1">TEXTJOIN2("
",TRUE,INDIRECT( $N$1):INDIRECT($N$3))</f>
        <v xml:space="preserve">		public virtual string CkdReqNo { get; set; }
		public virtual string Status { get; set; }
		public virtual string IsActive { get; set; }
</v>
      </c>
      <c r="P17" s="8" t="str">
        <f ca="1">TEXTJOIN2("
",TRUE,INDIRECT( $O$1):INDIRECT($O$3))</f>
        <v xml:space="preserve">							CkdReqNo = o.CkdReqNo,
							IssueDate = o.IssueDate,
							ReqDate = o.ReqDate,
							PeriodDate = o.PeriodDate,
							PeriodId = o.PeriodId,
							Status = o.Status,
							IsActive = o.IsActive,</v>
      </c>
      <c r="T17" s="8" t="str">
        <f ca="1">TEXTJOIN2("
",TRUE,INDIRECT( $T$2):INDIRECT($T$3))</f>
        <v xml:space="preserve">								("CkdReqNo"),
								("IssueDate"),
								("ReqDate"),
								("PeriodDate"),
								("PeriodId"),
								("Status"),
								("IsActive"),</v>
      </c>
      <c r="V17" s="8" t="str">
        <f ca="1">TEXTJOIN2("
",TRUE,INDIRECT( $V$2):INDIRECT($V$3))</f>
        <v xml:space="preserve">								_ =&gt; _.CkdReqNo,
								_ =&gt; _.IssueDate,
								_ =&gt; _.ReqDate,
								_ =&gt; _.PeriodDate,
								_ =&gt; _.PeriodId,
								_ =&gt; _.Status,
								_ =&gt; _.IsActive,</v>
      </c>
      <c r="W17" s="8" t="str">
        <f ca="1">TEXTJOIN2("
",TRUE,INDIRECT( $W$2):INDIRECT($W$3))</f>
        <v xml:space="preserve">				.WhereIf(!string.IsNullOrWhiteSpace(input.CkdReqNo), e =&gt; e.CkdReqNo.Contains(input.CkdReqNo))
				.WhereIf(!string.IsNullOrWhiteSpace(input.Status), e =&gt; e.Status.Contains(input.Status))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3"/>
  <sheetViews>
    <sheetView workbookViewId="0">
      <selection activeCell="H13" sqref="H13"/>
    </sheetView>
  </sheetViews>
  <sheetFormatPr defaultColWidth="8.77734375" defaultRowHeight="14.4" x14ac:dyDescent="0.3"/>
  <cols>
    <col min="1" max="1" width="17.77734375" customWidth="1"/>
    <col min="2" max="2" width="15.44140625" customWidth="1"/>
    <col min="3" max="3" width="16.77734375" customWidth="1"/>
    <col min="4" max="7" width="15.21875" customWidth="1"/>
    <col min="8" max="8" width="24.44140625" customWidth="1"/>
    <col min="9" max="9" width="26.21875" customWidth="1"/>
    <col min="10" max="10" width="22.21875" customWidth="1"/>
    <col min="11" max="11" width="25.77734375" customWidth="1"/>
    <col min="12" max="12" width="23.77734375" customWidth="1"/>
    <col min="13" max="13" width="23.44140625" customWidth="1"/>
    <col min="14" max="15" width="20.44140625" customWidth="1"/>
    <col min="16" max="16" width="25.77734375" customWidth="1"/>
    <col min="17" max="18" width="25.44140625" customWidth="1"/>
    <col min="19" max="19" width="24" customWidth="1"/>
    <col min="20" max="20" width="19.21875" customWidth="1"/>
    <col min="21" max="21" width="19.77734375" customWidth="1"/>
    <col min="22" max="22" width="13.77734375" customWidth="1"/>
  </cols>
  <sheetData>
    <row r="1" spans="1:22" x14ac:dyDescent="0.3">
      <c r="A1" s="38" t="s">
        <v>208</v>
      </c>
      <c r="B1" s="39" t="s">
        <v>368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">
      <c r="A6" s="38" t="s">
        <v>220</v>
      </c>
      <c r="B6" s="41" t="str">
        <f>A.Backend!B3</f>
        <v>InvCkdRequest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">
      <c r="A7" s="38" t="s">
        <v>211</v>
      </c>
      <c r="B7" s="40" t="str">
        <f>A.Backend!B5</f>
        <v>CkdRequest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">
      <c r="A8" s="38" t="s">
        <v>209</v>
      </c>
      <c r="B8" s="40" t="str">
        <f>LOWER(B7)</f>
        <v>ckdrequest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3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InvCkdRequestDto, InvCkdRequestServiceProxy } from '@shared/service-proxies/service-proxies';
import { finalize } from 'rxjs/internal/operators/finalize';
import { CreateOrEditCkdRequestModalComponent } from './create-or-edit-ckdrequest-modal.component';
import { DatePipe } from '@angular/common';
import { FileDownloadService } from '@shared/utils/file-download.service';
import ceil from 'lodash-es/ceil';
import { Paginator } from 'primeng/paginator';
@Component({
    templateUrl: './ckdrequest.component.html',
    styleUrls: ['./ckdrequest.component.less'],
})
export class CkdRequestComponent extends AppComponentBase implements OnInit {
    @ViewChild('createOrEditModalCkdRequest', { static: true }) createOrEditModalCkdRequest:| CreateOrEditCkdRequestModalComponent|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InvCkdRequestDto = new InvCkdRequestDto();
    saveSelectedRow: InvCkdRequestDto = new InvCkdRequestDto();
    datas: InvCkdRequestDto = new InvCkdRequestDto();
    isLoading: boolean = false;
    dataParams: GridParams | undefined;
    rowData: any[] = [];
    gridApi!: GridApi;
    rowSelection = 'multiple';
    filter: string = '';
	pipe = new DatePipe('en-US');
	frameworkComponents: FrameworkComponent;
    	ckdReqNo : string = '' ; 
	issueDate
	reqDate
	periodDate
	periodId
	status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InvCkdRequestServiceProxy,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this.l('Ckd Req No'),headerTooltip: this.l('Ckd Req No'),field: 'ckdReqNo',flex: 1},
			{headerName: this.l('Issue Date'),headerTooltip: this.l('Issue Date'),field: 'issueDate',flex: 1},
			{headerName: this.l('Req Date'),headerTooltip: this.l('Req Date'),field: 'reqDate',flex: 1},
			{headerName: this.l('Period Date'),headerTooltip: this.l('Period Date'),field: 'periodDate',flex: 1},
			{headerName: this.l('Period Id'),headerTooltip: this.l('Period Id'),field: 'periodId',flex: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this.ckdReqNo,
			this.issueDate,
			this.reqDate,
			this.periodDate,
			this.periodId,
			this.status,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this.ckdReqNo = '',
		this.issueDate = '',
		this.reqDate = '',
		this.periodDate = '',
		this.periodId = '',
		this.status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this.ckdReqNo,
			this.issueDate,
			this.reqDate,
			this.periodDate,
			this.periodId,
			this.status,
			this.isActive,
			'',
            this.paginationParams.skipCount,
            this.paginationParams.pageSize
        );
    }
    onChangeRowSelection(params: { api: { getSelectedRows: () =&gt; InvCkdRequestDto[] } }) {
        this.saveSelectedRow = params.api.getSelectedRows()[0] ?? new InvCkdRequestDto();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InvCkdRequestDto):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this._service.getCkdRequestToExcel(
			this.ckdReqNo,
			this.issueDate,
			this.reqDate,
			this.periodDate,
			this.periodId,
			this.status,
			this.isActive,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Ckd Request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[(ngModel)]='ckdReqNo' name='ckdReqNo'
									class='form-control' [placeholder]="l('Ckd Req No')"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(click)="createOrEditModalCkdRequest.show()"&gt;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(click)="createOrEditModalCkdRequest.show(selectedRow)"&gt;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&lt;create-or-edit-ckdrequest-modal
    #createOrEditModalCkdRequest
    (modalSave)="callBackDataGrid(dataParams)"
    (modalClose)="onChangeRowSelection(dataParams)"
&gt;
&lt;/create-or-edit-ckdrequest-modal&gt;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#createOrEditModalCkdRequest="bs-modal"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CkdRequest')}}&lt;/h3&gt;
                    &lt;h3 *ngIf="!rowdata.id"&gt;{{('Create New CkdRequest')}}&lt;/h3&gt;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title'&gt;Ckd Req No&lt;/label&gt;
						&lt;input type='text' class='col-md-10 form-control input-text' name='CkdReqNo' [(ngModel)]='rowdata.ckdReqNo'&gt;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CreateOrEditInvCkdRequestDto, InvCkdRequestServiceProxy } from '@shared/service-proxies/service-proxies';
import { BsDatepickerDirective } from 'ngx-bootstrap/datepicker';
@Component({
    selector: 'create-or-edit-ckdrequest-modal',
    templateUrl: './create-or-edit-ckdrequest-modal.component.html',
    styleUrls: ['./create-or-edit-ckdrequest-modal.component.less']
    })
export class CreateOrEditCkdRequestModalComponent extends AppComponentBase {
    @ViewChild('createOrEditModalCkdRequest',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CreateOrEditInvCkdRequestDto = new CreateOrEditInvCkdRequestDto();
    active: boolean = false;
    saving: boolean = false;
    _isActive: boolean;
    constructor(
        injector: Injector,
        private _mstwptCkdRequestService: InvCkdRequestServiceProxy,
    ) 
    {
        super(injector);
    }
    show(rowdata?: CreateOrEditInvCkdRequestDto): void {
        if (!rowdata) this.rowdata = new CreateOrEditInvCkdRequestDto();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this._mstwptCkdRequestService.createOrEdit(this.rowdata)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CkdRequestRoutingModule } from './ckdrequest-routing.module';
import { CkdRequestComponent } from './ckdrequest.component';
import { CreateOrEditCkdRequestModalComponent } from './create-or-edit-ckdrequest-modal.component';
@NgModule({
    declarations: [
       CkdRequestComponent, 
        CreateOrEditCkdRequestModalComponent
    ],
    imports: [
        AppSharedModule, CkdRequestRoutingModule]
})
export class CkdRequestModule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CkdRequestComponent } from './ckdrequest.component';
const routes: Routes = [{
    path: '',
    component: CkdRequestComponent,
    pathMatch: 'full'
}];
@NgModule({
    imports: [RouterModule.forChild(routes)],
    exports: [RouterModule],
})
export class CkdRequestRoutingModule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AppMenuItem("CkdRequest", "Pages.Inventory.CKD.CkdRequest", "flaticon-book",   "/app/main/inventory/ckd/ckdrequest"),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'inventory/ckd/ckdrequest',
    loadChildren: () =&gt; import('./inventory/ckd/ckdrequest/ckdrequest.module').then(m =&gt; m.CkdRequestModule),
    data: { permission: 'Pages.Inventory.CKD.CkdRequest' }
},</v>
      </c>
      <c r="R10" s="47" t="str">
        <f>SUBSTITUTE(R9,"MstWptCalendar",$B$6)</f>
        <v>ApiServiceProxies.InvCkdRequestServiceProxy,</v>
      </c>
      <c r="S10" s="28"/>
      <c r="T10" s="28"/>
      <c r="U10" s="28"/>
      <c r="V10" s="28"/>
    </row>
    <row r="11" spans="1:22" x14ac:dyDescent="0.3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3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H21</v>
      </c>
      <c r="I12" s="28" t="str">
        <f>"I"&amp;COUNTA($A:$A)</f>
        <v>I21</v>
      </c>
      <c r="J12" s="28"/>
      <c r="K12" s="28" t="str">
        <f>"K"&amp;COUNTA($A:$A)</f>
        <v>K21</v>
      </c>
      <c r="L12" s="28" t="str">
        <f>"L"&amp;COUNTA($A:$A)</f>
        <v>L21</v>
      </c>
      <c r="M12" s="28"/>
      <c r="N12" s="28"/>
      <c r="O12" s="28"/>
      <c r="P12" s="28"/>
      <c r="Q12" s="28"/>
      <c r="R12" s="28"/>
      <c r="S12" s="28" t="str">
        <f>"S"&amp;COUNTA($A:$A)</f>
        <v>S21</v>
      </c>
      <c r="T12" s="28" t="str">
        <f>"T"&amp;COUNTA($A:$A)</f>
        <v>T21</v>
      </c>
      <c r="U12" s="28" t="str">
        <f>"U"&amp;COUNTA($A:$A)</f>
        <v>U21</v>
      </c>
      <c r="V12" s="28" t="str">
        <f>"V"&amp;COUNTA($A:$A)</f>
        <v>V21</v>
      </c>
    </row>
    <row r="13" spans="1:22" ht="17.25" customHeight="1" x14ac:dyDescent="0.3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this.l('Ckd Req No'),headerTooltip: this.l('Ckd Req No'),field: 'ckdReqNo',flex: 1},
			{headerName: this.l('Issue Date'),headerTooltip: this.l('Issue Date'),field: 'issueDate',flex: 1},
			{headerName: this.l('Req Date'),headerTooltip: this.l('Req Date'),field: 'reqDate',flex: 1},
			{headerName: this.l('Period Date'),headerTooltip: this.l('Period Date'),field: 'periodDate',flex: 1},
			{headerName: this.l('Period Id'),headerTooltip: this.l('Period Id'),field: 'periodId',flex: 1},
			{headerName: this.l('Status'),headerTooltip: this.l('Status'),field: 'status',flex: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[(ngModel)]='ckdReqNo' name='ckdReqNo'
									class='form-control' [placeholder]="l('Ckd Req No')"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title'&gt;Ckd Req No&lt;/label&gt;
						&lt;input type='text' class='col-md-10 form-control input-text' name='CkdReqNo' [(ngModel)]='rowdata.ckdReqNo'&gt;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ckdReqNo : string = '' ; 
	issueDate
	reqDate
	periodDate
	periodId
	status : string = '' ; 
	isActive : string = '' ; </v>
      </c>
      <c r="T13" s="62" t="str">
        <f ca="1">TEXTJOIN2("
",TRUE,INDIRECT(T11):INDIRECT(T12))</f>
        <v xml:space="preserve">			this.ckdReqNo,
			this.issueDate,
			this.reqDate,
			this.periodDate,
			this.periodId,
			this.status,
			this.isActive,</v>
      </c>
      <c r="U13" s="62" t="str">
        <f ca="1">TEXTJOIN2("
",TRUE,INDIRECT(U11):INDIRECT(U12))</f>
        <v xml:space="preserve">		this.ckdReqNo = '',
		this.issueDate = '',
		this.reqDate = '',
		this.periodDate = '',
		this.periodId = '',
		this.status = '',
		this.isActive = '',</v>
      </c>
      <c r="V13" s="28" t="str">
        <f ca="1">TEXTJOIN2("
",TRUE,INDIRECT(V11):INDIRECT(V12))</f>
        <v>isActive</v>
      </c>
    </row>
    <row r="14" spans="1:22" x14ac:dyDescent="0.3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ckdrequest.component.ts</v>
      </c>
      <c r="I14" s="37" t="str">
        <f>B8&amp;".component.html"</f>
        <v>ckdrequest.component.html</v>
      </c>
      <c r="J14" s="36" t="str">
        <f>B8&amp;".component.less"</f>
        <v>ckdrequest.component.less</v>
      </c>
      <c r="K14" s="37" t="str">
        <f>"create-or-edit-"&amp;B8&amp;"-modal.component.html"</f>
        <v>create-or-edit-ckdrequest-modal.component.html</v>
      </c>
      <c r="L14" s="37" t="str">
        <f>"create-or-edit-"&amp;B8&amp;"-modal.component.ts"</f>
        <v>create-or-edit-ckdrequest-modal.component.ts</v>
      </c>
      <c r="M14" s="37" t="str">
        <f>"create-or-edit-"&amp;B8&amp;"-modal.component.less"</f>
        <v>create-or-edit-ckdrequest-modal.component.less</v>
      </c>
      <c r="N14" s="37" t="str">
        <f>B8&amp;".module.ts"</f>
        <v>ckdrequest.module.ts</v>
      </c>
      <c r="O14" s="37" t="str">
        <f>B8&amp;"-routing.module.ts"</f>
        <v>ckdrequest-routing.module.ts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3">
      <c r="A15" t="s">
        <v>362</v>
      </c>
      <c r="B15" s="28" t="str">
        <f t="shared" ref="B15" si="0">SUBSTITUTE(PROPER(A15),"_","")</f>
        <v>CkdReqNo</v>
      </c>
      <c r="C15" s="28" t="str">
        <f t="shared" ref="C15" si="1">SUBSTITUTE(PROPER(A15),"_"," ")</f>
        <v>Ckd Req No</v>
      </c>
      <c r="D15" s="28" t="str">
        <f t="shared" ref="D15" si="2">LOWER(LEFT(B15,1))&amp;RIGHT(B15,LEN(B15) - 1)</f>
        <v>ckdReqNo</v>
      </c>
      <c r="E15" s="28" t="str">
        <f>A.Backend!H9</f>
        <v>string</v>
      </c>
      <c r="F15" s="28" t="str">
        <f>A.Backend!G9</f>
        <v>50</v>
      </c>
      <c r="G15" s="28" t="str">
        <f t="shared" ref="G15:G21" si="3">IF(E15="string"," : string = '' ; ",IF(OR(E15="DateTime",E15="TimeSpan")," : any ;",IF(E15="int"," : number = 0 ;","")))</f>
        <v xml:space="preserve"> : string = '' ; </v>
      </c>
      <c r="H15" s="35" t="str">
        <f t="shared" ref="H15:H21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this.l('Ckd Req No'),headerTooltip: this.l('Ckd Req No'),field: 'ckdReqNo',flex: 1},</v>
      </c>
      <c r="I15" s="35" t="str">
        <f t="shared" ref="I15:I21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[(ngModel)]='ckdReqNo' name='ckdReqNo'
									class='form-control' [placeholder]="l('Ckd Req No')"
									type='text' (keyup.enter)='searchDatas()'&gt;
								&lt;/div&gt;</v>
      </c>
      <c r="J15" s="28"/>
      <c r="K15" s="35" t="str">
        <f t="shared" ref="K15:K21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title'&gt;Ckd Req No&lt;/label&gt;
						&lt;input type='text' class='col-md-10 form-control input-text' name='CkdReqNo' [(ngModel)]='rowdata.ckdReqNo'&gt;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ckdReqNo : string = '' ; </v>
      </c>
      <c r="T15" s="28" t="str">
        <f>REPT(CHAR(9),3)&amp;"this."&amp;D15&amp;","</f>
        <v xml:space="preserve">			this.ckdReqNo,</v>
      </c>
      <c r="U15" s="28" t="str">
        <f>IF(E15="int",REPT(CHAR(9),2)&amp;"this."&amp;D15&amp;" = 0,",REPT(CHAR(9),2)&amp;"this."&amp;D15&amp;" = '',")</f>
        <v xml:space="preserve">		this.ckdReqNo = '',</v>
      </c>
      <c r="V15" s="28" t="str">
        <f t="shared" ref="V15:V21" si="8">IF(AND(E15="string",F15="1"),D15,"")</f>
        <v/>
      </c>
    </row>
    <row r="16" spans="1:22" ht="18" customHeight="1" x14ac:dyDescent="0.3">
      <c r="A16" t="s">
        <v>364</v>
      </c>
      <c r="B16" s="28" t="str">
        <f t="shared" ref="B16" si="9">SUBSTITUTE(PROPER(A16),"_","")</f>
        <v>IssueDate</v>
      </c>
      <c r="C16" s="28" t="str">
        <f t="shared" ref="C16" si="10">SUBSTITUTE(PROPER(A16),"_"," ")</f>
        <v>Issue Date</v>
      </c>
      <c r="D16" s="28" t="str">
        <f t="shared" ref="D16" si="11">LOWER(LEFT(B16,1))&amp;RIGHT(B16,LEN(B16) - 1)</f>
        <v>issueDate</v>
      </c>
      <c r="E16" s="28" t="str">
        <f>A.Backend!H10</f>
        <v>DateTime?</v>
      </c>
      <c r="F16" s="28" t="str">
        <f>A.Backend!G10</f>
        <v/>
      </c>
      <c r="G16" s="28" t="str">
        <f t="shared" si="3"/>
        <v/>
      </c>
      <c r="H16" s="35" t="str">
        <f t="shared" si="4"/>
        <v xml:space="preserve">			{headerName: this.l('Issue Date'),headerTooltip: this.l('Issue Date'),field: 'issueDate',flex: 1},</v>
      </c>
      <c r="I16" s="35" t="str">
        <f t="shared" si="5"/>
        <v/>
      </c>
      <c r="J16" s="28"/>
      <c r="K16" s="35" t="str">
        <f t="shared" si="6"/>
        <v/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1" si="13">REPT(CHAR(9),1)&amp;D16&amp;G16</f>
        <v xml:space="preserve">	issueDate</v>
      </c>
      <c r="T16" s="28" t="str">
        <f t="shared" ref="T16:T21" si="14">REPT(CHAR(9),3)&amp;"this."&amp;D16&amp;","</f>
        <v xml:space="preserve">			this.issueDate,</v>
      </c>
      <c r="U16" s="28" t="str">
        <f t="shared" ref="U16:U21" si="15">IF(E16="int",REPT(CHAR(9),2)&amp;"this."&amp;D16&amp;" = 0,",REPT(CHAR(9),2)&amp;"this."&amp;D16&amp;" = '',")</f>
        <v xml:space="preserve">		this.issueDate = '',</v>
      </c>
      <c r="V16" s="28" t="str">
        <f t="shared" si="8"/>
        <v/>
      </c>
    </row>
    <row r="17" spans="1:22" ht="18" customHeight="1" x14ac:dyDescent="0.3">
      <c r="A17" t="s">
        <v>365</v>
      </c>
      <c r="B17" s="28" t="str">
        <f>SUBSTITUTE(PROPER(A17),"_","")</f>
        <v>ReqDate</v>
      </c>
      <c r="C17" s="28" t="str">
        <f>SUBSTITUTE(PROPER(A17),"_"," ")</f>
        <v>Req Date</v>
      </c>
      <c r="D17" s="28" t="str">
        <f>LOWER(LEFT(B17,1))&amp;RIGHT(B17,LEN(B17) - 1)</f>
        <v>reqDate</v>
      </c>
      <c r="E17" s="28" t="str">
        <f>A.Backend!H11</f>
        <v>DateTime?</v>
      </c>
      <c r="F17" s="28" t="str">
        <f>A.Backend!G11</f>
        <v/>
      </c>
      <c r="G17" s="28" t="str">
        <f t="shared" si="3"/>
        <v/>
      </c>
      <c r="H17" s="35" t="str">
        <f t="shared" si="4"/>
        <v xml:space="preserve">			{headerName: this.l('Req Date'),headerTooltip: this.l('Req Date'),field: 'reqDate',flex: 1},</v>
      </c>
      <c r="I17" s="35" t="str">
        <f t="shared" si="5"/>
        <v/>
      </c>
      <c r="J17" s="28"/>
      <c r="K17" s="35" t="str">
        <f t="shared" si="6"/>
        <v/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reqDate</v>
      </c>
      <c r="T17" s="28" t="str">
        <f t="shared" si="14"/>
        <v xml:space="preserve">			this.reqDate,</v>
      </c>
      <c r="U17" s="28" t="str">
        <f t="shared" si="15"/>
        <v xml:space="preserve">		this.reqDate = '',</v>
      </c>
      <c r="V17" s="28" t="str">
        <f t="shared" si="8"/>
        <v/>
      </c>
    </row>
    <row r="18" spans="1:22" ht="15" customHeight="1" x14ac:dyDescent="0.3">
      <c r="A18" t="s">
        <v>360</v>
      </c>
      <c r="B18" s="28" t="str">
        <f t="shared" ref="B18:B21" si="16">SUBSTITUTE(PROPER(A18),"_","")</f>
        <v>PeriodDate</v>
      </c>
      <c r="C18" s="28" t="str">
        <f t="shared" ref="C18:C21" si="17">SUBSTITUTE(PROPER(A18),"_"," ")</f>
        <v>Period Date</v>
      </c>
      <c r="D18" s="28" t="str">
        <f t="shared" ref="D18:D21" si="18">LOWER(LEFT(B18,1))&amp;RIGHT(B18,LEN(B18) - 1)</f>
        <v>periodDate</v>
      </c>
      <c r="E18" s="28" t="str">
        <f>A.Backend!H12</f>
        <v>DateTime?</v>
      </c>
      <c r="F18" s="28" t="str">
        <f>A.Backend!G12</f>
        <v/>
      </c>
      <c r="G18" s="28" t="str">
        <f t="shared" si="3"/>
        <v/>
      </c>
      <c r="H18" s="35" t="str">
        <f t="shared" si="4"/>
        <v xml:space="preserve">			{headerName: this.l('Period Date'),headerTooltip: this.l('Period Date'),field: 'periodDate',flex: 1},</v>
      </c>
      <c r="I18" s="35" t="str">
        <f t="shared" si="5"/>
        <v/>
      </c>
      <c r="J18" s="28"/>
      <c r="K18" s="35" t="str">
        <f t="shared" si="6"/>
        <v/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periodDate</v>
      </c>
      <c r="T18" s="28" t="str">
        <f t="shared" si="14"/>
        <v xml:space="preserve">			this.periodDate,</v>
      </c>
      <c r="U18" s="28" t="str">
        <f t="shared" si="15"/>
        <v xml:space="preserve">		this.periodDate = '',</v>
      </c>
      <c r="V18" s="28" t="str">
        <f t="shared" si="8"/>
        <v/>
      </c>
    </row>
    <row r="19" spans="1:22" ht="18" customHeight="1" x14ac:dyDescent="0.3">
      <c r="A19" t="s">
        <v>351</v>
      </c>
      <c r="B19" s="28" t="str">
        <f t="shared" si="16"/>
        <v>PeriodId</v>
      </c>
      <c r="C19" s="28" t="str">
        <f t="shared" si="17"/>
        <v>Period Id</v>
      </c>
      <c r="D19" s="28" t="str">
        <f t="shared" si="18"/>
        <v>periodId</v>
      </c>
      <c r="E19" s="28" t="str">
        <f>A.Backend!H13</f>
        <v>long?</v>
      </c>
      <c r="F19" s="28" t="str">
        <f>A.Backend!G13</f>
        <v/>
      </c>
      <c r="G19" s="28" t="str">
        <f t="shared" si="3"/>
        <v/>
      </c>
      <c r="H19" s="35" t="str">
        <f t="shared" si="4"/>
        <v xml:space="preserve">			{headerName: this.l('Period Id'),headerTooltip: this.l('Period Id'),field: 'periodId',flex: 1},</v>
      </c>
      <c r="I19" s="35" t="str">
        <f t="shared" si="5"/>
        <v/>
      </c>
      <c r="J19" s="28"/>
      <c r="K19" s="35" t="str">
        <f t="shared" si="6"/>
        <v/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periodId</v>
      </c>
      <c r="T19" s="28" t="str">
        <f t="shared" si="14"/>
        <v xml:space="preserve">			this.periodId,</v>
      </c>
      <c r="U19" s="28" t="str">
        <f t="shared" si="15"/>
        <v xml:space="preserve">		this.periodId = '',</v>
      </c>
      <c r="V19" s="28" t="str">
        <f t="shared" si="8"/>
        <v/>
      </c>
    </row>
    <row r="20" spans="1:22" ht="15" customHeight="1" x14ac:dyDescent="0.3">
      <c r="A20" t="s">
        <v>350</v>
      </c>
      <c r="B20" s="28" t="str">
        <f t="shared" si="16"/>
        <v>Status</v>
      </c>
      <c r="C20" s="28" t="str">
        <f t="shared" si="17"/>
        <v>Status</v>
      </c>
      <c r="D20" s="28" t="str">
        <f t="shared" si="18"/>
        <v>status</v>
      </c>
      <c r="E20" s="28" t="str">
        <f>A.Backend!H14</f>
        <v>string</v>
      </c>
      <c r="F20" s="28" t="str">
        <f>A.Backend!G14</f>
        <v>10</v>
      </c>
      <c r="G20" s="28" t="str">
        <f t="shared" si="3"/>
        <v xml:space="preserve"> : string = '' ; </v>
      </c>
      <c r="H20" s="35" t="str">
        <f t="shared" si="4"/>
        <v xml:space="preserve">			{headerName: this.l('Status'),headerTooltip: this.l('Status'),field: 'status',flex: 1},</v>
      </c>
      <c r="I20" s="35" t="str">
        <f t="shared" si="5"/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20" s="28"/>
      <c r="K20" s="35" t="str">
        <f t="shared" si="6"/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status : string = '' ; </v>
      </c>
      <c r="T20" s="28" t="str">
        <f t="shared" si="14"/>
        <v xml:space="preserve">			this.status,</v>
      </c>
      <c r="U20" s="28" t="str">
        <f t="shared" si="15"/>
        <v xml:space="preserve">		this.status = '',</v>
      </c>
      <c r="V20" s="28" t="str">
        <f t="shared" si="8"/>
        <v/>
      </c>
    </row>
    <row r="21" spans="1:22" ht="18" customHeight="1" x14ac:dyDescent="0.3">
      <c r="A21" t="s">
        <v>319</v>
      </c>
      <c r="B21" s="28" t="str">
        <f t="shared" si="16"/>
        <v>IsActive</v>
      </c>
      <c r="C21" s="28" t="str">
        <f t="shared" si="17"/>
        <v>Is Active</v>
      </c>
      <c r="D21" s="28" t="str">
        <f t="shared" si="18"/>
        <v>isActive</v>
      </c>
      <c r="E21" s="28" t="str">
        <f>A.Backend!H15</f>
        <v>string</v>
      </c>
      <c r="F21" s="28" t="str">
        <f>A.Backend!G15</f>
        <v>1</v>
      </c>
      <c r="G21" s="28" t="str">
        <f t="shared" si="3"/>
        <v xml:space="preserve"> : string = '' ; </v>
      </c>
      <c r="H21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1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1" s="28"/>
      <c r="K21" s="35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isActive : string = '' ; </v>
      </c>
      <c r="T21" s="28" t="str">
        <f t="shared" si="14"/>
        <v xml:space="preserve">			this.isActive,</v>
      </c>
      <c r="U21" s="28" t="str">
        <f t="shared" si="15"/>
        <v xml:space="preserve">		this.isActive = '',</v>
      </c>
      <c r="V21" s="28" t="str">
        <f t="shared" si="8"/>
        <v>isActive</v>
      </c>
    </row>
    <row r="23" spans="1:22" ht="17.25" customHeight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77734375" defaultRowHeight="14.4" x14ac:dyDescent="0.3"/>
  <cols>
    <col min="1" max="1" width="22.44140625" bestFit="1" customWidth="1"/>
    <col min="2" max="2" width="29.77734375" bestFit="1" customWidth="1"/>
  </cols>
  <sheetData>
    <row r="1" spans="1:2" x14ac:dyDescent="0.3">
      <c r="A1" s="1" t="s">
        <v>16</v>
      </c>
      <c r="B1" s="1" t="s">
        <v>17</v>
      </c>
    </row>
    <row r="2" spans="1:2" x14ac:dyDescent="0.3">
      <c r="A2" t="s">
        <v>19</v>
      </c>
      <c r="B2" t="s">
        <v>32</v>
      </c>
    </row>
    <row r="3" spans="1:2" x14ac:dyDescent="0.3">
      <c r="A3" t="s">
        <v>18</v>
      </c>
      <c r="B3" t="s">
        <v>32</v>
      </c>
    </row>
    <row r="4" spans="1:2" x14ac:dyDescent="0.3">
      <c r="A4" t="s">
        <v>20</v>
      </c>
      <c r="B4" t="s">
        <v>21</v>
      </c>
    </row>
    <row r="5" spans="1:2" x14ac:dyDescent="0.3">
      <c r="A5" t="s">
        <v>22</v>
      </c>
      <c r="B5" t="s">
        <v>34</v>
      </c>
    </row>
    <row r="6" spans="1:2" x14ac:dyDescent="0.3">
      <c r="A6" t="s">
        <v>23</v>
      </c>
      <c r="B6" t="s">
        <v>357</v>
      </c>
    </row>
    <row r="7" spans="1:2" x14ac:dyDescent="0.3">
      <c r="A7" t="s">
        <v>24</v>
      </c>
      <c r="B7" t="s">
        <v>352</v>
      </c>
    </row>
    <row r="8" spans="1:2" x14ac:dyDescent="0.3">
      <c r="A8" t="s">
        <v>4</v>
      </c>
      <c r="B8" t="s">
        <v>352</v>
      </c>
    </row>
    <row r="9" spans="1:2" x14ac:dyDescent="0.3">
      <c r="A9" t="s">
        <v>0</v>
      </c>
      <c r="B9" t="s">
        <v>353</v>
      </c>
    </row>
    <row r="10" spans="1:2" x14ac:dyDescent="0.3">
      <c r="A10" t="s">
        <v>25</v>
      </c>
      <c r="B10" t="s">
        <v>356</v>
      </c>
    </row>
    <row r="11" spans="1:2" x14ac:dyDescent="0.3">
      <c r="A11" t="s">
        <v>26</v>
      </c>
      <c r="B11" t="s">
        <v>356</v>
      </c>
    </row>
    <row r="12" spans="1:2" x14ac:dyDescent="0.3">
      <c r="A12" t="s">
        <v>27</v>
      </c>
      <c r="B12" t="s">
        <v>356</v>
      </c>
    </row>
    <row r="13" spans="1:2" x14ac:dyDescent="0.3">
      <c r="A13" t="s">
        <v>28</v>
      </c>
      <c r="B13" t="s">
        <v>356</v>
      </c>
    </row>
    <row r="14" spans="1:2" x14ac:dyDescent="0.3">
      <c r="A14" t="s">
        <v>29</v>
      </c>
      <c r="B14" t="s">
        <v>356</v>
      </c>
    </row>
    <row r="15" spans="1:2" x14ac:dyDescent="0.3">
      <c r="A15" t="s">
        <v>30</v>
      </c>
      <c r="B15" t="s">
        <v>356</v>
      </c>
    </row>
    <row r="16" spans="1:2" x14ac:dyDescent="0.3">
      <c r="A16" t="s">
        <v>31</v>
      </c>
      <c r="B16" t="s">
        <v>354</v>
      </c>
    </row>
    <row r="17" spans="1:2" x14ac:dyDescent="0.3">
      <c r="A17" t="s">
        <v>3</v>
      </c>
      <c r="B17" t="s">
        <v>354</v>
      </c>
    </row>
    <row r="18" spans="1:2" x14ac:dyDescent="0.3">
      <c r="A18" t="s">
        <v>33</v>
      </c>
      <c r="B18" t="s">
        <v>354</v>
      </c>
    </row>
    <row r="19" spans="1:2" x14ac:dyDescent="0.3">
      <c r="A19" t="s">
        <v>2</v>
      </c>
      <c r="B19" t="s">
        <v>354</v>
      </c>
    </row>
    <row r="20" spans="1:2" x14ac:dyDescent="0.3">
      <c r="A20" t="s">
        <v>263</v>
      </c>
      <c r="B20" t="s">
        <v>355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7734375" defaultRowHeight="15.6" x14ac:dyDescent="0.3"/>
  <cols>
    <col min="1" max="1" width="14.21875" customWidth="1"/>
    <col min="2" max="2" width="71.77734375" style="20" customWidth="1"/>
  </cols>
  <sheetData>
    <row r="2" spans="1:2" x14ac:dyDescent="0.3">
      <c r="A2" s="22" t="s">
        <v>190</v>
      </c>
      <c r="B2" s="23" t="s">
        <v>187</v>
      </c>
    </row>
    <row r="3" spans="1:2" x14ac:dyDescent="0.3">
      <c r="B3" s="20" t="s">
        <v>112</v>
      </c>
    </row>
    <row r="4" spans="1:2" x14ac:dyDescent="0.3">
      <c r="B4" s="20" t="s">
        <v>113</v>
      </c>
    </row>
    <row r="5" spans="1:2" x14ac:dyDescent="0.3">
      <c r="B5" s="20" t="s">
        <v>114</v>
      </c>
    </row>
    <row r="6" spans="1:2" x14ac:dyDescent="0.3">
      <c r="B6" s="20" t="s">
        <v>115</v>
      </c>
    </row>
    <row r="7" spans="1:2" x14ac:dyDescent="0.3">
      <c r="B7" s="20" t="s">
        <v>116</v>
      </c>
    </row>
    <row r="8" spans="1:2" x14ac:dyDescent="0.3">
      <c r="B8" s="20" t="s">
        <v>117</v>
      </c>
    </row>
    <row r="9" spans="1:2" x14ac:dyDescent="0.3">
      <c r="B9" s="20" t="s">
        <v>118</v>
      </c>
    </row>
    <row r="10" spans="1:2" x14ac:dyDescent="0.3">
      <c r="B10" s="20" t="s">
        <v>119</v>
      </c>
    </row>
    <row r="11" spans="1:2" x14ac:dyDescent="0.3">
      <c r="B11" s="20" t="s">
        <v>120</v>
      </c>
    </row>
    <row r="12" spans="1:2" x14ac:dyDescent="0.3">
      <c r="B12" s="20" t="s">
        <v>121</v>
      </c>
    </row>
    <row r="13" spans="1:2" x14ac:dyDescent="0.3">
      <c r="B13" s="20" t="s">
        <v>122</v>
      </c>
    </row>
    <row r="14" spans="1:2" x14ac:dyDescent="0.3">
      <c r="B14" s="20" t="s">
        <v>123</v>
      </c>
    </row>
    <row r="15" spans="1:2" x14ac:dyDescent="0.3">
      <c r="B15" s="20" t="s">
        <v>124</v>
      </c>
    </row>
    <row r="16" spans="1:2" x14ac:dyDescent="0.3">
      <c r="B16" s="20" t="s">
        <v>125</v>
      </c>
    </row>
    <row r="17" spans="1:3" x14ac:dyDescent="0.3">
      <c r="B17" s="20" t="s">
        <v>126</v>
      </c>
    </row>
    <row r="18" spans="1:3" x14ac:dyDescent="0.3">
      <c r="B18" s="20" t="s">
        <v>127</v>
      </c>
      <c r="C18" t="s">
        <v>189</v>
      </c>
    </row>
    <row r="19" spans="1:3" x14ac:dyDescent="0.3">
      <c r="B19" s="20" t="s">
        <v>128</v>
      </c>
    </row>
    <row r="20" spans="1:3" x14ac:dyDescent="0.3">
      <c r="B20" s="20" t="s">
        <v>129</v>
      </c>
    </row>
    <row r="21" spans="1:3" x14ac:dyDescent="0.3">
      <c r="B21" s="20" t="s">
        <v>130</v>
      </c>
    </row>
    <row r="22" spans="1:3" x14ac:dyDescent="0.3">
      <c r="B22" s="20" t="s">
        <v>131</v>
      </c>
      <c r="C22" t="s">
        <v>194</v>
      </c>
    </row>
    <row r="23" spans="1:3" x14ac:dyDescent="0.3">
      <c r="B23" s="20" t="s">
        <v>132</v>
      </c>
    </row>
    <row r="24" spans="1:3" x14ac:dyDescent="0.3">
      <c r="B24" s="20" t="s">
        <v>133</v>
      </c>
    </row>
    <row r="25" spans="1:3" x14ac:dyDescent="0.3">
      <c r="B25" s="20" t="s">
        <v>134</v>
      </c>
    </row>
    <row r="26" spans="1:3" x14ac:dyDescent="0.3">
      <c r="A26" s="22" t="s">
        <v>191</v>
      </c>
      <c r="B26" s="23" t="s">
        <v>188</v>
      </c>
    </row>
    <row r="27" spans="1:3" x14ac:dyDescent="0.3">
      <c r="B27" s="20" t="s">
        <v>135</v>
      </c>
    </row>
    <row r="28" spans="1:3" x14ac:dyDescent="0.3">
      <c r="B28" s="21" t="s">
        <v>136</v>
      </c>
    </row>
    <row r="29" spans="1:3" x14ac:dyDescent="0.3">
      <c r="B29" s="20" t="s">
        <v>137</v>
      </c>
    </row>
    <row r="30" spans="1:3" x14ac:dyDescent="0.3">
      <c r="B30" s="20" t="s">
        <v>138</v>
      </c>
    </row>
    <row r="31" spans="1:3" x14ac:dyDescent="0.3">
      <c r="B31" s="20" t="s">
        <v>139</v>
      </c>
    </row>
    <row r="32" spans="1:3" x14ac:dyDescent="0.3">
      <c r="B32" s="20" t="s">
        <v>140</v>
      </c>
    </row>
    <row r="33" spans="2:2" x14ac:dyDescent="0.3">
      <c r="B33" s="20" t="s">
        <v>141</v>
      </c>
    </row>
    <row r="34" spans="2:2" x14ac:dyDescent="0.3">
      <c r="B34" s="20" t="s">
        <v>142</v>
      </c>
    </row>
    <row r="35" spans="2:2" x14ac:dyDescent="0.3">
      <c r="B35" s="20" t="s">
        <v>143</v>
      </c>
    </row>
    <row r="36" spans="2:2" x14ac:dyDescent="0.3">
      <c r="B36" s="20" t="s">
        <v>144</v>
      </c>
    </row>
    <row r="37" spans="2:2" x14ac:dyDescent="0.3">
      <c r="B37" s="20" t="s">
        <v>145</v>
      </c>
    </row>
    <row r="38" spans="2:2" x14ac:dyDescent="0.3">
      <c r="B38" s="20" t="s">
        <v>146</v>
      </c>
    </row>
    <row r="39" spans="2:2" x14ac:dyDescent="0.3">
      <c r="B39" s="20" t="s">
        <v>147</v>
      </c>
    </row>
    <row r="40" spans="2:2" x14ac:dyDescent="0.3">
      <c r="B40" s="20" t="s">
        <v>148</v>
      </c>
    </row>
    <row r="41" spans="2:2" x14ac:dyDescent="0.3">
      <c r="B41" s="20" t="s">
        <v>149</v>
      </c>
    </row>
    <row r="42" spans="2:2" x14ac:dyDescent="0.3">
      <c r="B42" s="20" t="s">
        <v>150</v>
      </c>
    </row>
    <row r="43" spans="2:2" x14ac:dyDescent="0.3">
      <c r="B43" s="21" t="s">
        <v>151</v>
      </c>
    </row>
    <row r="44" spans="2:2" x14ac:dyDescent="0.3">
      <c r="B44" s="20" t="s">
        <v>137</v>
      </c>
    </row>
    <row r="45" spans="2:2" x14ac:dyDescent="0.3">
      <c r="B45" s="20" t="s">
        <v>152</v>
      </c>
    </row>
    <row r="46" spans="2:2" x14ac:dyDescent="0.3">
      <c r="B46" s="20" t="s">
        <v>153</v>
      </c>
    </row>
    <row r="47" spans="2:2" x14ac:dyDescent="0.3">
      <c r="B47" s="20" t="s">
        <v>154</v>
      </c>
    </row>
    <row r="48" spans="2:2" x14ac:dyDescent="0.3">
      <c r="B48" s="20" t="s">
        <v>155</v>
      </c>
    </row>
    <row r="49" spans="2:2" x14ac:dyDescent="0.3">
      <c r="B49" s="20" t="s">
        <v>138</v>
      </c>
    </row>
    <row r="50" spans="2:2" x14ac:dyDescent="0.3">
      <c r="B50" s="20" t="s">
        <v>139</v>
      </c>
    </row>
    <row r="51" spans="2:2" x14ac:dyDescent="0.3">
      <c r="B51" s="20" t="s">
        <v>140</v>
      </c>
    </row>
    <row r="52" spans="2:2" x14ac:dyDescent="0.3">
      <c r="B52" s="20" t="s">
        <v>141</v>
      </c>
    </row>
    <row r="53" spans="2:2" x14ac:dyDescent="0.3">
      <c r="B53" s="20" t="s">
        <v>142</v>
      </c>
    </row>
    <row r="54" spans="2:2" x14ac:dyDescent="0.3">
      <c r="B54" s="20" t="s">
        <v>143</v>
      </c>
    </row>
    <row r="55" spans="2:2" x14ac:dyDescent="0.3">
      <c r="B55" s="20" t="s">
        <v>144</v>
      </c>
    </row>
    <row r="56" spans="2:2" x14ac:dyDescent="0.3">
      <c r="B56" s="20" t="s">
        <v>156</v>
      </c>
    </row>
    <row r="57" spans="2:2" x14ac:dyDescent="0.3">
      <c r="B57" s="20" t="s">
        <v>157</v>
      </c>
    </row>
    <row r="58" spans="2:2" x14ac:dyDescent="0.3">
      <c r="B58" s="20" t="s">
        <v>145</v>
      </c>
    </row>
    <row r="59" spans="2:2" x14ac:dyDescent="0.3">
      <c r="B59" s="20" t="s">
        <v>146</v>
      </c>
    </row>
    <row r="60" spans="2:2" x14ac:dyDescent="0.3">
      <c r="B60" s="20" t="s">
        <v>158</v>
      </c>
    </row>
    <row r="61" spans="2:2" x14ac:dyDescent="0.3">
      <c r="B61" s="20" t="s">
        <v>159</v>
      </c>
    </row>
    <row r="62" spans="2:2" x14ac:dyDescent="0.3">
      <c r="B62" s="20" t="s">
        <v>160</v>
      </c>
    </row>
    <row r="63" spans="2:2" x14ac:dyDescent="0.3">
      <c r="B63" s="20" t="s">
        <v>155</v>
      </c>
    </row>
    <row r="64" spans="2:2" x14ac:dyDescent="0.3">
      <c r="B64" s="20" t="s">
        <v>147</v>
      </c>
    </row>
    <row r="65" spans="2:2" x14ac:dyDescent="0.3">
      <c r="B65" s="20" t="s">
        <v>148</v>
      </c>
    </row>
    <row r="66" spans="2:2" x14ac:dyDescent="0.3">
      <c r="B66" s="20" t="s">
        <v>161</v>
      </c>
    </row>
    <row r="67" spans="2:2" x14ac:dyDescent="0.3">
      <c r="B67" s="20" t="s">
        <v>155</v>
      </c>
    </row>
    <row r="68" spans="2:2" x14ac:dyDescent="0.3">
      <c r="B68" s="20" t="s">
        <v>149</v>
      </c>
    </row>
    <row r="69" spans="2:2" x14ac:dyDescent="0.3">
      <c r="B69" s="20" t="s">
        <v>162</v>
      </c>
    </row>
    <row r="70" spans="2:2" x14ac:dyDescent="0.3">
      <c r="B70" s="21" t="s">
        <v>163</v>
      </c>
    </row>
    <row r="71" spans="2:2" x14ac:dyDescent="0.3">
      <c r="B71" s="20" t="s">
        <v>137</v>
      </c>
    </row>
    <row r="72" spans="2:2" x14ac:dyDescent="0.3">
      <c r="B72" s="20" t="s">
        <v>138</v>
      </c>
    </row>
    <row r="73" spans="2:2" x14ac:dyDescent="0.3">
      <c r="B73" s="20" t="s">
        <v>139</v>
      </c>
    </row>
    <row r="74" spans="2:2" x14ac:dyDescent="0.3">
      <c r="B74" s="20" t="s">
        <v>140</v>
      </c>
    </row>
    <row r="75" spans="2:2" x14ac:dyDescent="0.3">
      <c r="B75" s="20" t="s">
        <v>144</v>
      </c>
    </row>
    <row r="76" spans="2:2" x14ac:dyDescent="0.3">
      <c r="B76" s="20" t="s">
        <v>146</v>
      </c>
    </row>
    <row r="77" spans="2:2" x14ac:dyDescent="0.3">
      <c r="B77" s="20" t="s">
        <v>147</v>
      </c>
    </row>
    <row r="78" spans="2:2" x14ac:dyDescent="0.3">
      <c r="B78" s="20" t="s">
        <v>148</v>
      </c>
    </row>
    <row r="79" spans="2:2" x14ac:dyDescent="0.3">
      <c r="B79" s="20" t="s">
        <v>149</v>
      </c>
    </row>
    <row r="80" spans="2:2" x14ac:dyDescent="0.3">
      <c r="B80" s="20" t="s">
        <v>162</v>
      </c>
    </row>
    <row r="81" spans="1:2" x14ac:dyDescent="0.3">
      <c r="B81" s="21" t="s">
        <v>164</v>
      </c>
    </row>
    <row r="82" spans="1:2" x14ac:dyDescent="0.3">
      <c r="B82" s="21" t="s">
        <v>165</v>
      </c>
    </row>
    <row r="83" spans="1:2" x14ac:dyDescent="0.3">
      <c r="B83" s="21" t="s">
        <v>166</v>
      </c>
    </row>
    <row r="84" spans="1:2" x14ac:dyDescent="0.3">
      <c r="B84" s="21" t="s">
        <v>167</v>
      </c>
    </row>
    <row r="85" spans="1:2" x14ac:dyDescent="0.3">
      <c r="B85" s="21" t="s">
        <v>168</v>
      </c>
    </row>
    <row r="86" spans="1:2" x14ac:dyDescent="0.3">
      <c r="B86" s="21" t="s">
        <v>169</v>
      </c>
    </row>
    <row r="87" spans="1:2" x14ac:dyDescent="0.3">
      <c r="B87" s="21" t="s">
        <v>170</v>
      </c>
    </row>
    <row r="88" spans="1:2" x14ac:dyDescent="0.3">
      <c r="A88" s="22" t="s">
        <v>192</v>
      </c>
      <c r="B88" s="24" t="s">
        <v>171</v>
      </c>
    </row>
    <row r="89" spans="1:2" x14ac:dyDescent="0.3">
      <c r="B89" s="20" t="s">
        <v>172</v>
      </c>
    </row>
    <row r="90" spans="1:2" x14ac:dyDescent="0.3">
      <c r="B90" s="20" t="s">
        <v>173</v>
      </c>
    </row>
    <row r="91" spans="1:2" x14ac:dyDescent="0.3">
      <c r="B91" s="20" t="s">
        <v>174</v>
      </c>
    </row>
    <row r="92" spans="1:2" x14ac:dyDescent="0.3">
      <c r="B92" s="20" t="s">
        <v>175</v>
      </c>
    </row>
    <row r="93" spans="1:2" x14ac:dyDescent="0.3">
      <c r="B93" s="20" t="s">
        <v>176</v>
      </c>
    </row>
    <row r="94" spans="1:2" x14ac:dyDescent="0.3">
      <c r="B94" s="20" t="s">
        <v>177</v>
      </c>
    </row>
    <row r="95" spans="1:2" x14ac:dyDescent="0.3">
      <c r="B95" s="20" t="s">
        <v>178</v>
      </c>
    </row>
    <row r="96" spans="1:2" x14ac:dyDescent="0.3">
      <c r="B96" s="20" t="s">
        <v>179</v>
      </c>
    </row>
    <row r="97" spans="2:2" x14ac:dyDescent="0.3">
      <c r="B97" s="20" t="s">
        <v>180</v>
      </c>
    </row>
    <row r="98" spans="2:2" x14ac:dyDescent="0.3">
      <c r="B98" s="20" t="s">
        <v>181</v>
      </c>
    </row>
    <row r="99" spans="2:2" x14ac:dyDescent="0.3">
      <c r="B99" s="20" t="s">
        <v>182</v>
      </c>
    </row>
    <row r="100" spans="2:2" x14ac:dyDescent="0.3">
      <c r="B100" s="20" t="s">
        <v>183</v>
      </c>
    </row>
    <row r="101" spans="2:2" x14ac:dyDescent="0.3">
      <c r="B101" s="20" t="s">
        <v>184</v>
      </c>
    </row>
    <row r="102" spans="2:2" x14ac:dyDescent="0.3">
      <c r="B102" s="20" t="s">
        <v>185</v>
      </c>
    </row>
    <row r="103" spans="2:2" x14ac:dyDescent="0.3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2023-05-15T11:28:31Z</dcterms:modified>
</cp:coreProperties>
</file>
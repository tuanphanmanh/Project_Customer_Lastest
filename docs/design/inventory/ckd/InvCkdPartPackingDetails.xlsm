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ProdNew\docs\design\inventory\ckd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3" i="1" l="1"/>
  <c r="G13" i="1"/>
  <c r="F19" i="5" s="1"/>
  <c r="E13" i="1"/>
  <c r="H13" i="1" s="1"/>
  <c r="E19" i="5" s="1"/>
  <c r="D13" i="1"/>
  <c r="V13" i="1" s="1"/>
  <c r="G19" i="5" l="1"/>
  <c r="V19" i="5"/>
  <c r="W13" i="1"/>
  <c r="J13" i="1"/>
  <c r="I13" i="1"/>
  <c r="O13" i="1"/>
  <c r="N13" i="1"/>
  <c r="M13" i="1"/>
  <c r="P13" i="1"/>
  <c r="T13" i="1"/>
  <c r="C25" i="5"/>
  <c r="B25" i="5"/>
  <c r="D25" i="5" s="1"/>
  <c r="T25" i="5" s="1"/>
  <c r="C24" i="5"/>
  <c r="B24" i="5"/>
  <c r="D24" i="5" s="1"/>
  <c r="T24" i="5" s="1"/>
  <c r="C23" i="5"/>
  <c r="B23" i="5"/>
  <c r="D23" i="5" s="1"/>
  <c r="T23" i="5" s="1"/>
  <c r="C22" i="5"/>
  <c r="B22" i="5"/>
  <c r="D22" i="5" s="1"/>
  <c r="T22" i="5" s="1"/>
  <c r="C21" i="5"/>
  <c r="B21" i="5"/>
  <c r="D21" i="5" s="1"/>
  <c r="T21" i="5" s="1"/>
  <c r="C20" i="5"/>
  <c r="B20" i="5"/>
  <c r="D20" i="5" s="1"/>
  <c r="T20" i="5" s="1"/>
  <c r="C19" i="5"/>
  <c r="B19" i="5"/>
  <c r="D19" i="5" s="1"/>
  <c r="T19" i="5" s="1"/>
  <c r="C18" i="5"/>
  <c r="B18" i="5"/>
  <c r="D18" i="5" s="1"/>
  <c r="T18" i="5" s="1"/>
  <c r="H19" i="5" l="1"/>
  <c r="K19" i="5"/>
  <c r="U19" i="5"/>
  <c r="S19" i="5"/>
  <c r="I19" i="5"/>
  <c r="B7" i="5"/>
  <c r="B6" i="5"/>
  <c r="B2" i="5"/>
  <c r="B8" i="5" l="1"/>
  <c r="B3" i="5"/>
  <c r="C26" i="5"/>
  <c r="B26" i="5"/>
  <c r="D26" i="5" s="1"/>
  <c r="T26" i="5" s="1"/>
  <c r="L20" i="1"/>
  <c r="G20" i="1"/>
  <c r="F26" i="5" s="1"/>
  <c r="E20" i="1"/>
  <c r="H20" i="1" s="1"/>
  <c r="E26" i="5" s="1"/>
  <c r="D20" i="1"/>
  <c r="T20" i="1" s="1"/>
  <c r="G19" i="1"/>
  <c r="F25" i="5" s="1"/>
  <c r="H19" i="1"/>
  <c r="E25" i="5" s="1"/>
  <c r="D19" i="1"/>
  <c r="T19" i="1" s="1"/>
  <c r="L18" i="1"/>
  <c r="G18" i="1"/>
  <c r="F24" i="5" s="1"/>
  <c r="H18" i="1"/>
  <c r="E24" i="5" s="1"/>
  <c r="D18" i="1"/>
  <c r="V18" i="1" s="1"/>
  <c r="L17" i="1"/>
  <c r="G17" i="1"/>
  <c r="F23" i="5" s="1"/>
  <c r="H17" i="1"/>
  <c r="E23" i="5" s="1"/>
  <c r="D17" i="1"/>
  <c r="T17" i="1" s="1"/>
  <c r="L16" i="1"/>
  <c r="G16" i="1"/>
  <c r="F22" i="5" s="1"/>
  <c r="H16" i="1"/>
  <c r="E22" i="5" s="1"/>
  <c r="D16" i="1"/>
  <c r="V16" i="1" s="1"/>
  <c r="G15" i="1"/>
  <c r="F21" i="5" s="1"/>
  <c r="E15" i="1"/>
  <c r="H15" i="1" s="1"/>
  <c r="E21" i="5" s="1"/>
  <c r="D15" i="1"/>
  <c r="T15" i="1" s="1"/>
  <c r="V26" i="5" l="1"/>
  <c r="U26" i="5"/>
  <c r="K26" i="5"/>
  <c r="I26" i="5"/>
  <c r="H26" i="5"/>
  <c r="G26" i="5"/>
  <c r="S26" i="5" s="1"/>
  <c r="K22" i="5"/>
  <c r="H22" i="5"/>
  <c r="G22" i="5"/>
  <c r="S22" i="5" s="1"/>
  <c r="I22" i="5"/>
  <c r="V22" i="5"/>
  <c r="U22" i="5"/>
  <c r="V24" i="5"/>
  <c r="U24" i="5"/>
  <c r="K24" i="5"/>
  <c r="I24" i="5"/>
  <c r="H24" i="5"/>
  <c r="G24" i="5"/>
  <c r="S24" i="5" s="1"/>
  <c r="U23" i="5"/>
  <c r="I23" i="5"/>
  <c r="H23" i="5"/>
  <c r="K23" i="5"/>
  <c r="G23" i="5"/>
  <c r="S23" i="5" s="1"/>
  <c r="V23" i="5"/>
  <c r="V25" i="5"/>
  <c r="U25" i="5"/>
  <c r="K25" i="5"/>
  <c r="I25" i="5"/>
  <c r="H25" i="5"/>
  <c r="G25" i="5"/>
  <c r="S25" i="5" s="1"/>
  <c r="K21" i="5"/>
  <c r="I21" i="5"/>
  <c r="G21" i="5"/>
  <c r="S21" i="5" s="1"/>
  <c r="V21" i="5"/>
  <c r="H21" i="5"/>
  <c r="U21" i="5"/>
  <c r="L25" i="5"/>
  <c r="L23" i="5"/>
  <c r="L24" i="5"/>
  <c r="L22" i="5"/>
  <c r="L21" i="5"/>
  <c r="L26" i="5"/>
  <c r="M20" i="1"/>
  <c r="M19" i="1"/>
  <c r="I19" i="1"/>
  <c r="P16" i="1"/>
  <c r="I20" i="1"/>
  <c r="W16" i="1"/>
  <c r="N19" i="1"/>
  <c r="V19" i="1"/>
  <c r="N20" i="1"/>
  <c r="V20" i="1"/>
  <c r="J19" i="1"/>
  <c r="O19" i="1"/>
  <c r="W19" i="1"/>
  <c r="J20" i="1"/>
  <c r="O20" i="1"/>
  <c r="W20" i="1"/>
  <c r="P19" i="1"/>
  <c r="P20" i="1"/>
  <c r="P18" i="1"/>
  <c r="W18" i="1"/>
  <c r="O18" i="1"/>
  <c r="J18" i="1"/>
  <c r="N18" i="1"/>
  <c r="I18" i="1"/>
  <c r="M18" i="1"/>
  <c r="M17" i="1"/>
  <c r="N17" i="1"/>
  <c r="I17" i="1"/>
  <c r="W17" i="1"/>
  <c r="O17" i="1"/>
  <c r="J17" i="1"/>
  <c r="M15" i="1"/>
  <c r="N15" i="1"/>
  <c r="I15" i="1"/>
  <c r="W15" i="1"/>
  <c r="O15" i="1"/>
  <c r="J15" i="1"/>
  <c r="M16" i="1"/>
  <c r="T16" i="1"/>
  <c r="T18" i="1"/>
  <c r="V15" i="1"/>
  <c r="V17" i="1"/>
  <c r="I16" i="1"/>
  <c r="N16" i="1"/>
  <c r="P17" i="1"/>
  <c r="P15" i="1"/>
  <c r="J16" i="1"/>
  <c r="O16" i="1"/>
  <c r="C17" i="5"/>
  <c r="B17" i="5"/>
  <c r="D17" i="5" s="1"/>
  <c r="T17" i="5" s="1"/>
  <c r="C16" i="5"/>
  <c r="B16" i="5"/>
  <c r="D16" i="5" s="1"/>
  <c r="T16" i="5" s="1"/>
  <c r="B6" i="1" l="1"/>
  <c r="G14" i="1"/>
  <c r="F20" i="5" s="1"/>
  <c r="E14" i="1"/>
  <c r="H14" i="1" s="1"/>
  <c r="E20" i="5" s="1"/>
  <c r="D14" i="1"/>
  <c r="V14" i="1" s="1"/>
  <c r="K20" i="5" l="1"/>
  <c r="I20" i="5"/>
  <c r="H20" i="5"/>
  <c r="V20" i="5"/>
  <c r="U20" i="5"/>
  <c r="G20" i="5"/>
  <c r="S20" i="5" s="1"/>
  <c r="L20" i="5"/>
  <c r="L19" i="5"/>
  <c r="W14" i="1"/>
  <c r="N14" i="1"/>
  <c r="I14" i="1"/>
  <c r="M14" i="1"/>
  <c r="O14" i="1"/>
  <c r="J14" i="1"/>
  <c r="L14" i="1"/>
  <c r="P14" i="1"/>
  <c r="T14" i="1"/>
  <c r="C15" i="5"/>
  <c r="B15" i="5"/>
  <c r="D15" i="5" s="1"/>
  <c r="T15" i="5" s="1"/>
  <c r="L12" i="1"/>
  <c r="G12" i="1"/>
  <c r="F18" i="5" s="1"/>
  <c r="E12" i="1"/>
  <c r="H12" i="1" s="1"/>
  <c r="E18" i="5" s="1"/>
  <c r="D12" i="1"/>
  <c r="V12" i="1" s="1"/>
  <c r="G11" i="1"/>
  <c r="F17" i="5" s="1"/>
  <c r="E11" i="1"/>
  <c r="H11" i="1" s="1"/>
  <c r="E17" i="5" s="1"/>
  <c r="D11" i="1"/>
  <c r="T11" i="1" s="1"/>
  <c r="H18" i="5" l="1"/>
  <c r="G18" i="5"/>
  <c r="S18" i="5" s="1"/>
  <c r="V18" i="5"/>
  <c r="U18" i="5"/>
  <c r="K18" i="5"/>
  <c r="I18" i="5"/>
  <c r="V17" i="5"/>
  <c r="U17" i="5"/>
  <c r="K17" i="5"/>
  <c r="G17" i="5"/>
  <c r="S17" i="5" s="1"/>
  <c r="I17" i="5"/>
  <c r="H17" i="5"/>
  <c r="L18" i="5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F16" i="5" s="1"/>
  <c r="E10" i="1"/>
  <c r="H10" i="1" s="1"/>
  <c r="E16" i="5" s="1"/>
  <c r="D10" i="1"/>
  <c r="T10" i="1" s="1"/>
  <c r="V16" i="5" l="1"/>
  <c r="U16" i="5"/>
  <c r="K16" i="5"/>
  <c r="I16" i="5"/>
  <c r="H16" i="5"/>
  <c r="G16" i="5"/>
  <c r="S16" i="5" s="1"/>
  <c r="L16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22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22" i="1"/>
  <c r="T7" i="1" l="1"/>
  <c r="W22" i="1"/>
  <c r="G6" i="1" l="1"/>
  <c r="K13" i="5"/>
  <c r="H13" i="5"/>
  <c r="V13" i="5"/>
  <c r="L13" i="5"/>
  <c r="I13" i="5"/>
  <c r="U13" i="5"/>
  <c r="S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9" i="1" l="1"/>
  <c r="L15" i="1"/>
  <c r="L9" i="1"/>
  <c r="L10" i="1"/>
  <c r="C7" i="1"/>
  <c r="J22" i="1"/>
  <c r="O22" i="1"/>
  <c r="N22" i="1"/>
  <c r="P22" i="1"/>
  <c r="I22" i="1"/>
  <c r="Q7" i="1" l="1"/>
  <c r="M68" i="3" s="1"/>
  <c r="L7" i="1"/>
  <c r="G68" i="3" s="1"/>
  <c r="K68" i="3"/>
  <c r="J68" i="3"/>
  <c r="K22" i="1"/>
  <c r="M22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<sst xmlns="http://schemas.openxmlformats.org/spreadsheetml/2006/main" count="487" uniqueCount="378">
  <si>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</si>
  <si>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</si>
  <si>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</si>
  <si>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</si>
  <si>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</si>
  <si>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</si>
  <si>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</si>
  <si>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</si>
  <si>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</si>
  <si>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</si>
  <si>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</si>
  <si>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</si>
  <si>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</si>
  <si>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</si>
  <si>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</si>
  <si>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</si>
  <si>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</si>
  <si>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</si>
  <si>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</si>
  <si>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</si>
  <si>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</si>
  <si>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</si>
  <si>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</si>
  <si>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</si>
  <si>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</si>
  <si>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</si>
  <si>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</si>
  <si>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</si>
  <si>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</si>
  <si>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</si>
  <si>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</si>
  <si>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</si>
  <si>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</si>
  <si>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</si>
  <si>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</si>
  <si>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</si>
  <si>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</si>
  <si>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</si>
  <si>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</si>
  <si>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</si>
  <si>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</si>
  <si>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</si>
  <si>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</si>
  <si>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</si>
  <si>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</si>
  <si>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</si>
  <si>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</si>
  <si>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</si>
  <si>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</si>
  <si>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</si>
  <si>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</si>
  <si>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</si>
  <si>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</si>
  <si>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</si>
  <si>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</si>
  <si>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</si>
  <si>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</si>
  <si>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</si>
  <si>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</si>
  <si>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</si>
  <si>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</si>
  <si>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</si>
  <si>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</si>
  <si>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</si>
  <si>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</si>
  <si>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</si>
  <si>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</si>
  <si>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</si>
  <si>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</si>
  <si>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</si>
  <si>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</si>
  <si>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</si>
  <si>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</si>
  <si>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</si>
  <si>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</si>
  <si>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</si>
  <si>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</si>
  <si>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</si>
  <si>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</si>
  <si>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</si>
  <si>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</si>
  <si>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</si>
  <si>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</si>
  <si>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</si>
  <si>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</si>
  <si>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</si>
  <si>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</si>
  <si>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</si>
  <si>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</si>
  <si>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</si>
  <si>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</si>
  <si>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</si>
  <si>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</si>
  <si>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</si>
  <si>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</si>
  <si>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</si>
  <si>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</si>
  <si>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</si>
  <si>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</si>
  <si>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</si>
  <si>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</si>
  <si>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</si>
  <si>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</si>
  <si>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</si>
  <si>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</si>
  <si>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</si>
  <si>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</si>
  <si>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</si>
  <si>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</si>
  <si>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</si>
  <si>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</si>
  <si>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</si>
  <si>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</si>
  <si>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</si>
  <si>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</si>
  <si>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</si>
  <si>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</si>
  <si>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</si>
  <si>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</si>
  <si>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</si>
  <si>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</si>
  <si>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</si>
  <si>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</si>
  <si>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</si>
  <si>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</si>
  <si>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</si>
  <si>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</si>
  <si>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</si>
  <si>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</si>
  <si>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</si>
  <si>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</si>
  <si>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</si>
  <si>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</si>
  <si>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</si>
  <si>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</si>
  <si>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</si>
  <si>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</si>
  <si>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</si>
  <si>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</si>
  <si>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</si>
  <si>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</si>
  <si>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</si>
  <si>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</si>
  <si>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</si>
  <si>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</si>
  <si>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</si>
  <si>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</si>
  <si>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</si>
  <si>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</si>
  <si>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</si>
  <si>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</si>
  <si>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</si>
  <si>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</si>
  <si>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</si>
  <si>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</si>
  <si>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</si>
  <si>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</si>
  <si>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</si>
  <si>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</si>
  <si>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</si>
  <si>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</si>
  <si>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</si>
  <si>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</si>
  <si>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</si>
  <si>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</si>
  <si>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</si>
  <si>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</si>
  <si>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</si>
  <si>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</si>
  <si>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</si>
  <si>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</si>
  <si>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</si>
  <si>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</si>
  <si>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</si>
  <si>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</si>
  <si>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</si>
  <si>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</si>
  <si>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</si>
  <si>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</si>
  <si>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</si>
  <si>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</si>
  <si>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</si>
  <si>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</si>
  <si>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</si>
  <si>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</si>
  <si>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</si>
  <si>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</si>
  <si>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</si>
  <si>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</si>
  <si>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</si>
  <si>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</si>
  <si>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</si>
  <si>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</si>
  <si>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</si>
  <si>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</si>
  <si>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</si>
  <si>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</si>
  <si>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</si>
  <si>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</si>
  <si>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</si>
  <si>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</si>
  <si>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</si>
  <si>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</si>
  <si>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</si>
  <si>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</si>
  <si>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</si>
  <si>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</si>
  <si>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</si>
  <si>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</si>
  <si>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</si>
  <si>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</si>
  <si>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</si>
  <si>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</si>
  <si>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</si>
  <si>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</si>
  <si>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</si>
  <si>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</si>
  <si>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</si>
  <si>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</si>
  <si>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</si>
  <si>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</si>
  <si>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</si>
  <si>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</si>
  <si>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</si>
  <si>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</si>
  <si>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</si>
  <si>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</si>
  <si>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</si>
  <si>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</si>
  <si>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</si>
  <si>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</si>
  <si>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</si>
  <si>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</si>
  <si>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</si>
  <si>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</si>
  <si>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</si>
  <si>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</si>
  <si>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</si>
  <si>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</si>
  <si>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</si>
  <si>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</si>
  <si>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</si>
  <si>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</si>
  <si>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</si>
  <si>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</si>
  <si>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</si>
  <si>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</si>
  <si>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</si>
  <si>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</si>
  <si>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</si>
  <si>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</si>
  <si>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</si>
  <si>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</si>
  <si>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</si>
  <si>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</si>
  <si>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</si>
  <si>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</si>
  <si>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</si>
  <si>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</si>
  <si>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</si>
  <si>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</si>
  <si>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</si>
  <si>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</si>
  <si>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</si>
  <si>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</si>
  <si>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</si>
  <si>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</si>
  <si>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</si>
  <si>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</si>
  <si>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</si>
  <si>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</si>
  <si>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</si>
  <si>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</si>
  <si>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</si>
  <si>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</si>
  <si>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</si>
  <si>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</si>
  <si>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</si>
  <si>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</si>
  <si>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</si>
  <si>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</si>
  <si>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</si>
  <si>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</si>
  <si>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</si>
  <si>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</si>
  <si>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</si>
  <si>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</si>
  <si>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</si>
  <si>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</si>
  <si>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</si>
  <si>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</si>
  <si>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</si>
  <si>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</si>
  <si>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</si>
  <si>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</si>
  <si>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</si>
  <si>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</si>
  <si>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</si>
  <si>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</si>
  <si>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</si>
  <si>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</si>
  <si>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</si>
  <si>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</si>
  <si>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</si>
  <si>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</si>
  <si>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</si>
  <si>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</si>
  <si>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</si>
  <si>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</si>
  <si>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</si>
  <si>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</si>
  <si>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</si>
  <si>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</si>
  <si>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</si>
  <si>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</si>
  <si>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</si>
  <si>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</si>
  <si>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</si>
  <si>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</si>
  <si>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</si>
  <si>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</si>
  <si>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</si>
  <si>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</si>
  <si>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</si>
  <si>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</si>
  <si>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</si>
  <si>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</si>
  <si>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</si>
  <si>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</si>
  <si>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</si>
  <si>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</si>
  <si>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</si>
  <si>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</si>
  <si>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</si>
  <si>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</si>
  <si>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</si>
  <si>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</si>
  <si>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</si>
  <si>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</si>
  <si>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</si>
  <si>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</si>
  <si>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</si>
  <si>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</si>
  <si>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</si>
  <si>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</si>
  <si>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</si>
  <si>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</si>
  <si>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</si>
  <si>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</si>
  <si>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Inventory.CKD</t>
  </si>
  <si>
    <t>int?</t>
  </si>
  <si>
    <t>long?</t>
  </si>
  <si>
    <t>DateTime?</t>
  </si>
  <si>
    <t>TimeSpan?</t>
  </si>
  <si>
    <t>decimal?</t>
  </si>
  <si>
    <t>byte?</t>
  </si>
  <si>
    <t>PART_NO</t>
  </si>
  <si>
    <t>VARCHAR(10)</t>
  </si>
  <si>
    <t>DECIMAL(18,4)</t>
  </si>
  <si>
    <t>VARCHAR(1)</t>
  </si>
  <si>
    <t>PART_ID</t>
  </si>
  <si>
    <t>VARCHAR(50)</t>
  </si>
  <si>
    <t>VARCHAR(100)</t>
  </si>
  <si>
    <t>BACK_NO</t>
  </si>
  <si>
    <t>MODULE_NO</t>
  </si>
  <si>
    <t>RENBAN</t>
  </si>
  <si>
    <t>BOX_SIZE</t>
  </si>
  <si>
    <t>RE_EXPORT_CODE</t>
  </si>
  <si>
    <t>START_PACKING_MONTH</t>
  </si>
  <si>
    <t>END_PACKING_MONTH</t>
  </si>
  <si>
    <t>START_PRODUCTION_MONTH</t>
  </si>
  <si>
    <t>END_PRODUCTION_MONTH</t>
  </si>
  <si>
    <t>Date</t>
  </si>
  <si>
    <t>DateTime</t>
  </si>
  <si>
    <t>InvCkdPartPackingDetails</t>
  </si>
  <si>
    <t>PartPackingDetails</t>
  </si>
  <si>
    <t>Part Packing Details</t>
  </si>
  <si>
    <t>RE_EXPORT_CD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</si>
</sst>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Border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13" zoomScaleNormal="100" workbookViewId="0">
      <selection activeCell="C68" sqref="C68"/>
    </sheetView>
  </sheetViews>
  <sheetFormatPr defaultColWidth="8.7109375" defaultRowHeight="15" x14ac:dyDescent="0.25"/>
  <cols>
    <col min="1" max="1" width="3.42578125" customWidth="1"/>
    <col min="2" max="2" width="18.42578125" customWidth="1"/>
    <col min="3" max="5" width="26.28515625" customWidth="1"/>
    <col min="6" max="6" width="29.42578125" customWidth="1"/>
    <col min="7" max="10" width="26.28515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346</v>
      </c>
      <c r="F18" s="1" t="s">
        <v>348</v>
      </c>
      <c r="G18" t="s">
        <v>347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320</v>
      </c>
      <c r="F42" s="1" t="s">
        <v>333</v>
      </c>
      <c r="G42" t="s">
        <v>333</v>
      </c>
    </row>
    <row r="43" spans="1:8" x14ac:dyDescent="0.25">
      <c r="A43" s="1"/>
      <c r="D43" t="s">
        <v>321</v>
      </c>
      <c r="F43" s="1" t="s">
        <v>327</v>
      </c>
      <c r="G43" t="s">
        <v>334</v>
      </c>
    </row>
    <row r="44" spans="1:8" x14ac:dyDescent="0.25">
      <c r="A44" s="1"/>
      <c r="D44" t="s">
        <v>323</v>
      </c>
      <c r="F44" s="1" t="s">
        <v>328</v>
      </c>
      <c r="G44" t="s">
        <v>335</v>
      </c>
    </row>
    <row r="45" spans="1:8" x14ac:dyDescent="0.25">
      <c r="A45" s="1"/>
      <c r="D45" t="s">
        <v>322</v>
      </c>
      <c r="F45" s="1" t="s">
        <v>329</v>
      </c>
      <c r="G45" t="s">
        <v>336</v>
      </c>
    </row>
    <row r="46" spans="1:8" x14ac:dyDescent="0.25">
      <c r="A46" s="1"/>
      <c r="D46" t="s">
        <v>325</v>
      </c>
      <c r="F46" s="1" t="s">
        <v>330</v>
      </c>
      <c r="G46" t="s">
        <v>337</v>
      </c>
    </row>
    <row r="47" spans="1:8" x14ac:dyDescent="0.25">
      <c r="A47" s="1"/>
      <c r="D47" t="s">
        <v>343</v>
      </c>
      <c r="F47" s="1" t="s">
        <v>344</v>
      </c>
      <c r="G47" t="s">
        <v>345</v>
      </c>
    </row>
    <row r="48" spans="1:8" x14ac:dyDescent="0.25">
      <c r="A48" s="1"/>
      <c r="D48" t="s">
        <v>326</v>
      </c>
      <c r="F48" s="1" t="s">
        <v>331</v>
      </c>
      <c r="G48" t="s">
        <v>338</v>
      </c>
    </row>
    <row r="49" spans="1:7" x14ac:dyDescent="0.25">
      <c r="A49" s="1"/>
      <c r="D49" t="s">
        <v>324</v>
      </c>
      <c r="F49" s="1" t="s">
        <v>332</v>
      </c>
      <c r="G49" t="s">
        <v>339</v>
      </c>
    </row>
    <row r="50" spans="1:7" x14ac:dyDescent="0.25">
      <c r="A50" s="1"/>
      <c r="D50" t="s">
        <v>340</v>
      </c>
      <c r="F50" s="1" t="s">
        <v>341</v>
      </c>
      <c r="G50" t="s">
        <v>342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[Table("InvCkdPartPackingDetails")]
	public class InvCkdPartPackingDetails: FullAuditedEntity&lt;long&gt;, IEntity&lt;long&gt;	
	{
		public const int MaxPartNoLength = 50;
		public const int MaxBackNoLength = 10;
		public const int MaxModuleNoLength = 10;
		public const int MaxRenbanLength = 10;
		public const int MaxReExportCdLength = 10;
		public const int MaxIsActiveLength = 1;
		[StringLength(MaxPartNoLength)]
		public virtual string PartNo { get; set; }
		public virtual long? PartId { get; set; }
		[StringLength(MaxBackNoLength)]
		public virtual string BackNo { get; set; }
		[StringLength(MaxModuleNoLength)]
		public virtual string ModuleNo { get; set; }
		[StringLength(MaxRenbanLength)]
		public virtual string Renban { get; set; }
		public virtual int? BoxSize { get; set; }
		[StringLength(MaxReExportCdLength)]
		public virtual string ReExportCd { get; set; }
		[Column(TypeName="Date")]
		public virtual DateTime? StartPackingMonth { get; set; }
		[Column(TypeName="Date")]
		public virtual DateTime? EndPackingMonth { get; set; }
		[Column(TypeName="Date")]
		public virtual DateTime? StartProductionMonth { get; set; }
		[Column(TypeName="Date")]
		public virtual DateTime? EndProductionMonth { get; set; }
		[StringLength(MaxIsActiveLength)]
		public virtual string IsActive { get; set; }
	}
}
</v>
      </c>
      <c r="D68" s="48" t="str">
        <f>A.Backend!O7</f>
        <v xml:space="preserve">		public const string Pages_Inventory_CKD_PartPackingDetails = "Pages.Inventory.CKD.PartPackingDetails";
		public const string Pages_Inventory_CKD_PartPackingDetails_CreateEdit = "Pages.Inventory.CKD.PartPackingDetails.CreateEdit";
		public const string Pages_Inventory_CKD_PartPackingDetails_Delete = "Pages.Inventory.CKD.PartPackingDetails.Delete";
</v>
      </c>
      <c r="E68" s="48" t="str">
        <f>A.Backend!N7</f>
        <v xml:space="preserve">		var perInvCkdPartPackingDetails = PARENTS.CreateChildPermission(AppPermissions.Pages_Inventory_CKD_PartPackingDetails, L( "InventoryCKDPartPackingDetails"), multiTenancySides: MultiTenancySides.Tenant);
		perInvCkdPartPackingDetails.CreateChildPermission(AppPermissions.Pages_Inventory_CKD_PartPackingDetails_CreateEdit, L( "InventoryCKDPartPackingDetailsCreateEdit"), multiTenancySides: MultiTenancySides.Tenant);
		perInvCkdPartPackingDetails.CreateChildPermission(AppPermissions.Pages_Inventory_CKD_PartPackingDetails_Delete, L( "InventoryCKDPartPackingDetailsDelete"), multiTenancySides: MultiTenancySides.Tenant);</v>
      </c>
      <c r="F68" s="48" t="str">
        <f>A.Backend!K7</f>
        <v>public virtual DbSet&lt;InvCkdPartPackingDetails&gt; InvCkdPartPackingDetailss { get; set; }</v>
      </c>
      <c r="G68" s="48" t="str">
        <f ca="1">A.Backend!L7</f>
        <v xml:space="preserve">namespace prod.Inventory.CKD
{
	public class InvCkdPartPackingDetailsConsts	
	{
		public const int MaxPartNoLength = 50;
		public const int MaxBackNoLength = 10;
		public const int MaxModuleNoLength = 10;
		public const int MaxRenbanLength = 10;
		public const int MaxReExportCdLength = 10;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prod.Inventory.CKD.Dto
{
	public class InvCkdPartPackingDetailsDto : EntityDto&lt;long?&gt;	
	{
		public virtual string PartNo { get; set; }
		public virtual long? PartId { get; set; }
		public virtual string BackNo { get; set; }
		public virtual string ModuleNo { get; set; }
		public virtual string Renban { get; set; }
		public virtual int? BoxSize { get; set; }
		public virtual string ReExportCd { get; set; }
		public virtual DateTime? StartPackingMonth { get; set; }
		public virtual DateTime? EndPackingMonth { get; set; }
		public virtual DateTime? StartProductionMonth { get; set; }
		public virtual DateTime? EndProductionMonth { get; set; }
		public virtual string IsActive { get; set; }
	}
	public class CreateOrEditInvCkdPartPackingDetailsDto : EntityDto&lt;long?&gt;	
	{
		[StringLength(InvCkdPartPackingDetailsConsts.MaxPartNoLength)]
		public virtual string PartNo { get; set; }
		public virtual long? PartId { get; set; }
		[StringLength(InvCkdPartPackingDetailsConsts.MaxBackNoLength)]
		public virtual string BackNo { get; set; }
		[StringLength(InvCkdPartPackingDetailsConsts.MaxModuleNoLength)]
		public virtual string ModuleNo { get; set; }
		[StringLength(InvCkdPartPackingDetailsConsts.MaxRenbanLength)]
		public virtual string Renban { get; set; }
		public virtual int? BoxSize { get; set; }
		[StringLength(InvCkdPartPackingDetailsConsts.MaxReExportCdLength)]
		public virtual string ReExportCd { get; set; }
		public virtual DateTime? StartPackingMonth { get; set; }
		public virtual DateTime? EndPackingMonth { get; set; }
		public virtual DateTime? StartProductionMonth { get; set; }
		public virtual DateTime? EndProductionMonth { get; set; }
		[StringLength(InvCkdPartPackingDetailsConsts.MaxIsActiveLength)]
		public virtual string IsActive { get; set; }
	}
	public class GetInvCkdPartPackingDetailsInput : PagedAndSortedResultRequestDto	
	{
		public virtual string PartNo { get; set; }
		public virtual string BackNo { get; set; }
		public virtual string ModuleNo { get; set; }
		public virtual string Renban { get; set; }
		public virtual string ReExportCd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prod.Inventory.CKD.Dto
{
	public class InvCkdPartPackingDetailsExportInput{
		public virtual string PartNo { get; set; }
		public virtual long? PartId { get; set; }
		public virtual string BackNo { get; set; }
		public virtual string ModuleNo { get; set; }
		public virtual string Renban { get; set; }
		public virtual int? BoxSize { get; set; }
		public virtual string ReExportCd { get; set; }
		public virtual DateTime? StartPackingMonth { get; set; }
		public virtual DateTime? EndPackingMonth { get; set; }
		public virtual DateTime? StartProductionMonth { get; set; }
		public virtual DateTime? EndProductionMonth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vovina.Inventory.CKD.Dto;
namespace prod.Inventory.CKD
{
	public interface IInvCkdPartPackingDetailsAppService : IApplicationService
	{
		Task&lt;PagedResultDto&lt;InvCkdPartPackingDetailsDto&gt;&gt; GetAll(GetInvCkdPartPackingDetailsInput input);
		Task CreateOrEdit(CreateOrEditInvCkdPartPackingDetailsDto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IInvCkdPartPackingDetailsExcelExporter : IApplicationService
	{
		FileDto ExportToFile(List&lt;InvCkdPartPackingDetailsDto&gt; invckdpartpackingdetails);
	}
}
</v>
      </c>
      <c r="L68" s="48" t="str">
        <f ca="1">A.Backend!T7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InvCkdPartPackingDetailsExcelExporter : NpoiExcelExporterBase, IInvCkdPartPackingDetailsExcelExporter
    {
        public InvCkdPartPackingDetailsExcelExporter(ITempFileCacheManager tempFileCacheManager) : base(tempFileCacheManager) { }
        public FileDto ExportToFile(List&lt;InvCkdPartPackingDetailsDto&gt; partpackingdetails)
        {
            return CreateExcelPackage(
				"InventoryCKDPartPackingDetails.xlsx",
				excelPackage =&gt;
				 {
					var sheet = excelPackage.CreateSheet("PartPackingDetails");
					AddHeader(
								sheet,
								("PartNo"),
								("PartId"),
								("BackNo"),
								("ModuleNo"),
								("Renban"),
								("BoxSize"),
								("ReExportCd"),
								("StartPackingMonth"),
								("EndPackingMonth"),
								("StartProductionMonth"),
								("EndProductionMonth"),
								("IsActive"),
							   );
					AddObjects(
						 sheet, 1, partpackingdetails,                                       
								_ =&gt; _.PartNo,
								_ =&gt; _.PartId,
								_ =&gt; _.BackNo,
								_ =&gt; _.ModuleNo,
								_ =&gt; _.Renban,
								_ =&gt; _.BoxSize,
								_ =&gt; _.ReExportCd,
								_ =&gt; _.StartPackingMonth,
								_ =&gt; _.EndPackingMonth,
								_ =&gt; _.StartProductionMonth,
								_ =&gt; _.EndProductionMonth,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[AbpAuthorize(AppPermissions.Pages_Inventory_CKD_PartPackingDetails)]
    public class InvCkdPartPackingDetailsAppService : vovinaAppServiceBase, IInvCkdPartPackingDetailsAppService
    {
        private readonly IDapperRepository&lt;InvCkdPartPackingDetails, long&gt; _dapperRepo;
        private readonly IRepository&lt;InvCkdPartPackingDetails, long&gt; _repo;
        private readonly IInvCkdPartPackingDetailsExcelExporter _calendarListExcelExporter;
        public InvCkdPartPackingDetailsAppService(IRepository&lt;InvCkdPartPackingDetails,long&gt; repo, 
                                         IDapperRepository&lt;InvCkdPartPackingDetails,long&gt; dapperRepo,
                                        IInvCkdPartPackingDetailsExcelExporter calendarListExcelExporter
            )
        {
            _repo = repo;
            _dapperRepo = dapperRepo;
            _calendarListExcelExporter = calendarListExcelExporter;
        }
        [AbpAuthorize(AppPermissions.Pages_Inventory_CKD_PartPackingDetails_CreateEdit)]
        public async Task CreateOrEdit(CreateOrEditInvCkdPartPackingDetailsDto input)
        {
            if (input.Id == null) await Create(input);
            else await Update(input);
        }
        //CREATE
        private async Task Create(CreateOrEditInvCkdPartPackingDetailsDto input)
        {          
            var mainObj = ObjectMapper.Map&lt;InvCkdPartPackingDetails&gt;(input);
            await CurrentUnitOfWork.GetDbContext&lt;vovinaDbContext&gt;().AddAsync(mainObj);
        }
        // EDIT
        private async Task Update(CreateOrEditInvCkdPartPackingDetailsDto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[AbpAuthorize(AppPermissions.Pages_Inventory_CKD_PartPackingDetails_Delete)]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Task&lt;PagedResultDto&lt;InvCkdPartPackingDetailsDto&gt;&gt; GetAll(GetInvCkdPartPackingDetailsInput input)
        {
            var filtered = _repo.GetAll()
				.WhereIf(!string.IsNullOrWhiteSpace(input.PartNo), e =&gt; e.PartNo.Contains(input.PartNo))
				.WhereIf(!string.IsNullOrWhiteSpace(input.BackNo), e =&gt; e.BackNo.Contains(input.BackNo))
				.WhereIf(!string.IsNullOrWhiteSpace(input.ModuleNo), e =&gt; e.ModuleNo.Contains(input.ModuleNo))
				.WhereIf(!string.IsNullOrWhiteSpace(input.Renban), e =&gt; e.Renban.Contains(input.Renban))
				.WhereIf(!string.IsNullOrWhiteSpace(input.ReExportCd), e =&gt; e.ReExportCd.Contains(input.ReExportCd))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InvCkdPartPackingDetailsDto
                        {
							Id = o.Id,
							PartNo = o.PartNo,
							PartId = o.PartId,
							BackNo = o.BackNo,
							ModuleNo = o.ModuleNo,
							Renban = o.Renban,
							BoxSize = o.BoxSize,
							ReExportCd = o.ReExportCd,
							StartPackingMonth = o.StartPackingMonth,
							EndPackingMonth = o.EndPackingMonth,
							StartProductionMonth = o.StartProductionMonth,
							EndProductionMonth = o.EndProductionMonth,
							IsActive = o.IsActive,
                        };
            var totalCount = await filtered.CountAsync();
			var paged = system.PageBy(input);
            return new PagedResultDto&lt;InvCkdPartPackingDetailsDto&gt;(
                totalCount,
                 await paged.ToListAsync()
            );
        }
        public async Task&lt;FileDto&gt; GetPartPackingDetailsToExcel(InvCkdPartPackingDetailsExportInput input)
        {
            var query = from o in _repo.GetAll()
                        select new InvCkdPartPackingDetailsDto
                        {
							Id = o.Id,
							PartNo = o.PartNo,
							PartId = o.PartId,
							BackNo = o.BackNo,
							ModuleNo = o.ModuleNo,
							Renban = o.Renban,
							BoxSize = o.BoxSize,
							ReExportCd = o.ReExportCd,
							StartPackingMonth = o.StartPackingMonth,
							EndPackingMonth = o.EndPackingMonth,
							StartProductionMonth = o.StartProductionMonth,
							EndProductionMonth = o.EndProductionMonth,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_dapperRepo.ExecuteAsync(InvCkdPartPackingDetailsConsts.SP_MST_WPT_CALENDAR_GENERATE);
       // }
    }
}</v>
      </c>
      <c r="N68" s="58" t="str">
        <f>A.Backend!U7</f>
        <v xml:space="preserve">  configuration.CreateMap&lt;InvCkdPartPackingDetailsDto, InvCkdPartPackingDetails&gt;();
  configuration.CreateMap&lt;InvCkdPartPackingDetails, InvCkdPartPackingDetailsDto&gt;();
  configuration.CreateMap&lt;CreateOrEditInvCkdPartPackingDetailsDto, InvCkdPartPackingDetails&gt;();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partpackingdetails</v>
      </c>
      <c r="C73" s="66" t="str">
        <f>"create folder " &amp;B73</f>
        <v>create folder partpackingdetails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partpackingdetails.component.ts</v>
      </c>
      <c r="D74" s="28" t="str">
        <f>B.Frontend!I14</f>
        <v>partpackingdetails.component.html</v>
      </c>
      <c r="E74" s="28" t="str">
        <f>B.Frontend!J14</f>
        <v>partpackingdetails.component.less</v>
      </c>
      <c r="F74" s="28" t="str">
        <f>B.Frontend!K14</f>
        <v>create-or-edit-partpackingdetails-modal.component.html</v>
      </c>
      <c r="G74" s="28" t="str">
        <f>B.Frontend!L14</f>
        <v>create-or-edit-partpackingdetails-modal.component.ts</v>
      </c>
      <c r="H74" s="28" t="str">
        <f>B.Frontend!M14</f>
        <v>create-or-edit-partpackingdetails-modal.component.less</v>
      </c>
      <c r="I74" s="28" t="str">
        <f>B.Frontend!N14</f>
        <v>partpackingdetails.module.ts</v>
      </c>
      <c r="J74" s="28" t="str">
        <f>B.Frontend!O14</f>
        <v>partpackingdetails-routing.module.ts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InvCkdPartPackingDetailsDto, InvCkdPartPackingDetailsServiceProxy } from '@shared/service-proxies/service-proxies';
import { finalize } from 'rxjs/internal/operators/finalize';
import { CreateOrEditPartPackingDetailsModalComponent } from './create-or-edit-partpackingdetails-modal.component';
import { DatePipe } from '@angular/common';
import { FileDownloadService } from '@shared/utils/file-download.service';
import ceil from 'lodash-es/ceil';
import { Paginator } from 'primeng/paginator';
@Component({
    templateUrl: './partpackingdetails.component.html',
    styleUrls: ['./partpackingdetails.component.less'],
})
export class PartPackingDetailsComponent extends AppComponentBase implements OnInit {
    @ViewChild('createOrEditModalPartPackingDetails', { static: true }) createOrEditModalPartPackingDetails:| CreateOrEditPartPackingDetailsModalComponent|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InvCkdPartPackingDetailsDto = new InvCkdPartPackingDetailsDto();
    saveSelectedRow: InvCkdPartPackingDetailsDto = new InvCkdPartPackingDetailsDto();
    datas: InvCkdPartPackingDetailsDto = new InvCkdPartPackingDetailsDto();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partId
	backNo : string = '' ; 
	moduleNo : string = '' ; 
	renban : string = '' ; 
	boxSize
	reExportCode : string = '' ; 
	startPackingMonth
	endPackingMonth
	startProductionMonth
	endProductionMonth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InvCkdPartPackingDetailsServiceProxy,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Id'),headerTooltip: this.l('Part Id'),field: 'partId',flex: 1},
			{headerName: this.l('Back No'),headerTooltip: this.l('Back No'),field: 'backNo',flex: 1},
			{headerName: this.l('Module No'),headerTooltip: this.l('Module No'),field: 'moduleNo',flex: 1},
			{headerName: this.l('Renban'),headerTooltip: this.l('Renban'),field: 'renban',flex: 1},
			{headerName: this.l('Box Size'),headerTooltip: this.l('Box Size'),field: 'boxSize',flex: 1},
			{headerName: this.l('Re Export Code'),headerTooltip: this.l('Re Export Code'),field: 'reExportCode',flex: 1},
			{headerName: this.l('Start Packing Month'),headerTooltip: this.l('Start Packing Month'),field: 'startPackingMonth',flex: 1},
			{headerName: this.l('End Packing Month'),headerTooltip: this.l('End Packing Month'),field: 'endPackingMonth',flex: 1},
			{headerName: this.l('Start Production Month'),headerTooltip: this.l('Start Production Month'),field: 'startProductionMonth',flex: 1},
			{headerName: this.l('End Production Month'),headerTooltip: this.l('End Production Month'),field: 'endProductionMonth',flex: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this.partId,
			this.backNo,
			this.moduleNo,
			this.renban,
			this.boxSize,
			this.reExportCode,
			this.startPackingMonth,
			this.endPackingMonth,
			this.startProductionMonth,
			this.endProductionMonth,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this.partNo = '',
		this.partId = '',
		this.backNo = '',
		this.moduleNo = '',
		this.renban = '',
		this.boxSize = '',
		this.reExportCode = '',
		this.startPackingMonth = '',
		this.endPackingMonth = '',
		this.startProductionMonth = '',
		this.endProductionMonth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this.partId,
			this.backNo,
			this.moduleNo,
			this.renban,
			this.boxSize,
			this.reExportCode,
			this.startPackingMonth,
			this.endPackingMonth,
			this.startProductionMonth,
			this.endProductionMonth,
			this.isActive,
			'',
            this.paginationParams.skipCount,
            this.paginationParams.pageSize
        );
    }
    onChangeRowSelection(params: { api: { getSelectedRows: () =&gt; InvCkdPartPackingDetailsDto[] } }) {
        this.saveSelectedRow = params.api.getSelectedRows()[0] ?? new InvCkdPartPackingDetailsDto();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InvCkdPartPackingDetailsDto):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this._service.getPartPackingDetailsToExcel(
			this.partNo,
			this.partId,
			this.backNo,
			this.moduleNo,
			this.renban,
			this.boxSize,
			this.reExportCode,
			this.startPackingMonth,
			this.endPackingMonth,
			this.startProductionMonth,
			this.endProductionMonth,
			this.isActive,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Part Packing Details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[(ngModel)]='backNo' name='backNo'
									class='form-control' [placeholder]="l('Back No')"
									type='text' (keyup.enter)='searchDatas()'&gt;
								&lt;/div&gt;
								&lt;div class='input-search'&gt;
									&lt;input [(ngModel)]='moduleNo' name='moduleNo'
									class='form-control' [placeholder]="l('Module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[(ngModel)]='reExportCode' name='reExportCode'
									class='form-control' [placeholder]="l('Re Export Code')"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(click)="createOrEditModalPartPackingDetails.show()"&gt;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(click)="createOrEditModalPartPackingDetails.show(selectedRow)"&gt;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&lt;create-or-edit-partpackingdetails-modal
    #createOrEditModalPartPackingDetails
    (modalSave)="callBackDataGrid(dataParams)"
    (modalClose)="onChangeRowSelection(dataParams)"
&gt;
&lt;/create-or-edit-partpackingdetails-modal&gt;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#createOrEditModalPartPackingDetails="bs-modal"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PartPackingDetails')}}&lt;/h3&gt;
                    &lt;h3 *ngIf="!rowdata.id"&gt;{{('Create New PartPackingDetails')}}&lt;/h3&gt;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title'&gt;Back No&lt;/label&gt;
						&lt;input type='text' class='col-md-10 form-control input-text' name='BackNo' [(ngModel)]='rowdata.backNo'&gt;
					&lt;/div&gt;
					&lt;div class='col-md-12 form-group row'&gt;
						&lt;label class='col-md-2 form-control title'&gt;Module No&lt;/label&gt;
						&lt;input type='text' class='col-md-10 form-control input-text' name='ModuleNo' [(ngModel)]='rowdata.moduleNo'&gt;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title'&gt;Re Export Code&lt;/label&gt;
						&lt;input type='text' class='col-md-10 form-control input-text' name='ReExportCode' [(ngModel)]='rowdata.reExportCode'&gt;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CreateOrEditInvCkdPartPackingDetailsDto, InvCkdPartPackingDetailsServiceProxy } from '@shared/service-proxies/service-proxies';
import { BsDatepickerDirective } from 'ngx-bootstrap/datepicker';
@Component({
    selector: 'create-or-edit-partpackingdetails-modal',
    templateUrl: './create-or-edit-partpackingdetails-modal.component.html',
    styleUrls: ['./create-or-edit-partpackingdetails-modal.component.less']
    })
export class CreateOrEditPartPackingDetailsModalComponent extends AppComponentBase {
    @ViewChild('createOrEditModalPartPackingDetails',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CreateOrEditInvCkdPartPackingDetailsDto = new CreateOrEditInvCkdPartPackingDetailsDto();
    active: boolean = false;
    saving: boolean = false;
    _isActive: boolean;
    constructor(
        injector: Injector,
        private _mstwptPartPackingDetailsService: InvCkdPartPackingDetailsServiceProxy,
    ) 
    {
        super(injector);
    }
    show(rowdata?: CreateOrEditInvCkdPartPackingDetailsDto): void {
        if (!rowdata) this.rowdata = new CreateOrEditInvCkdPartPackingDetailsDto();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this._mstwptPartPackingDetailsService.createOrEdit(this.rowdata)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PartPackingDetailsRoutingModule } from './partpackingdetails-routing.module';
import { PartPackingDetailsComponent } from './partpackingdetails.component';
import { CreateOrEditPartPackingDetailsModalComponent } from './create-or-edit-partpackingdetails-modal.component';
@NgModule({
    declarations: [
       PartPackingDetailsComponent, 
        CreateOrEditPartPackingDetailsModalComponent
    ],
    imports: [
        AppSharedModule, PartPackingDetailsRoutingModule]
})
export class PartPackingDetailsModule {}</v>
      </c>
      <c r="J75" s="46" t="str">
        <f>B.Frontend!O10</f>
        <v>import {NgModule} from '@angular/core';
import {RouterModule, Routes} from '@angular/router';
import { PartPackingDetailsComponent } from './partpackingdetails.component';
const routes: Routes = [{
    path: '',
    component: PartPackingDetailsComponent,
    pathMatch: 'full'
}];
@NgModule({
    imports: [RouterModule.forChild(routes)],
    exports: [RouterModule],
})
export class PartPackingDetailsRoutingModule {}</v>
      </c>
      <c r="K75" s="46" t="str">
        <f>B.Frontend!P10</f>
        <v xml:space="preserve"> new AppMenuItem("PartPackingDetails", "Pages.Inventory.CKD.PartPackingDetails", "flaticon-book",   "/app/main/inventory/ckd/partpackingdetails"),</v>
      </c>
      <c r="L75" s="47" t="str">
        <f>B.Frontend!Q10</f>
        <v>{
    path: 'inventory/ckd/partpackingdetails',
    loadChildren: () =&gt; import('./inventory/ckd/partpackingdetails/partpackingdetails.module').then(m =&gt; m.PartPackingDetailsModule),
    data: { permission: 'Pages.Inventory.CKD.PartPackingDetails' }
},</v>
      </c>
      <c r="M75" s="45" t="str">
        <f>B.Frontend!R10</f>
        <v>ApiServiceProxies.InvCkdPartPackingDetailsServiceProxy,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2"/>
  <sheetViews>
    <sheetView tabSelected="1" workbookViewId="0">
      <pane xSplit="1" topLeftCell="B1" activePane="topRight" state="frozen"/>
      <selection pane="topRight" activeCell="B13" sqref="B13"/>
    </sheetView>
  </sheetViews>
  <sheetFormatPr defaultColWidth="9.28515625" defaultRowHeight="15" x14ac:dyDescent="0.25"/>
  <cols>
    <col min="1" max="1" width="20.71093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71093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71093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28515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28515625" style="7" customWidth="1"/>
    <col min="23" max="23" width="27.7109375" style="8" customWidth="1"/>
    <col min="24" max="16384" width="9.28515625" style="7"/>
  </cols>
  <sheetData>
    <row r="1" spans="1:23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vovina.Inventory.CKD.Dto;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25">
      <c r="A2" s="1" t="s">
        <v>12</v>
      </c>
      <c r="B2" s="27" t="s">
        <v>349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25">
      <c r="A3" s="1" t="s">
        <v>5</v>
      </c>
      <c r="B3" s="27" t="s">
        <v>374</v>
      </c>
      <c r="C3" s="9" t="s">
        <v>41</v>
      </c>
      <c r="D3" s="9" t="s">
        <v>42</v>
      </c>
      <c r="E3" s="9" t="s">
        <v>37</v>
      </c>
      <c r="F3" s="10" t="str">
        <f>"J"&amp;COUNTA($A:$A)</f>
        <v>J20</v>
      </c>
      <c r="G3" s="4" t="s">
        <v>54</v>
      </c>
      <c r="H3" s="9" t="str">
        <f>"I"&amp;COUNTA($A:$A)</f>
        <v>I20</v>
      </c>
      <c r="I3" s="9" t="str">
        <f>REPT(CHAR(9),2)&amp;"[Required]"&amp;"
"</f>
        <v xml:space="preserve">		[Required]
</v>
      </c>
      <c r="J3" s="10" t="str">
        <f>"L"&amp;COUNTA($A:$A)</f>
        <v>L20</v>
      </c>
      <c r="K3" s="5" t="s">
        <v>53</v>
      </c>
      <c r="L3" s="10" t="str">
        <f>"M"&amp;COUNTA($A:$A)</f>
        <v>M20</v>
      </c>
      <c r="M3" s="10" t="str">
        <f>"N"&amp;COUNTA($A:$A)</f>
        <v>N20</v>
      </c>
      <c r="N3" s="10" t="str">
        <f>"O"&amp;COUNTA($A:$A)</f>
        <v>O20</v>
      </c>
      <c r="O3" s="10" t="str">
        <f>"P"&amp;COUNTA($A:$A)</f>
        <v>P20</v>
      </c>
      <c r="Q3" s="10" t="str">
        <f>RIGHT(B2,(LEN(B2)-FIND(".",B2,1)))</f>
        <v>CKD</v>
      </c>
      <c r="R3" s="29" t="str">
        <f>REPT(CHAR(9),1)&amp;"public class "&amp;B3&amp;"ExportInput"&amp;C3</f>
        <v xml:space="preserve">	public class InvCkdPartPackingDetailsExportInput{
</v>
      </c>
      <c r="S3" s="10" t="str">
        <f>"namespace "&amp;$B$6&amp;".Exporting
"&amp;$C$3</f>
        <v xml:space="preserve">namespace prod.Inventory.CKD.Exporting
{
</v>
      </c>
      <c r="T3" s="10" t="str">
        <f>"T"&amp;COUNTA($A:$A)</f>
        <v>T20</v>
      </c>
      <c r="V3" s="10" t="str">
        <f>"V"&amp;COUNTA($A:$A)</f>
        <v>V20</v>
      </c>
      <c r="W3" s="9" t="str">
        <f>"W"&amp;COUNTA($A:$A)</f>
        <v>W20</v>
      </c>
    </row>
    <row r="4" spans="1:23" s="10" customFormat="1" ht="33" customHeight="1" x14ac:dyDescent="0.25">
      <c r="A4" s="1" t="s">
        <v>233</v>
      </c>
      <c r="B4" s="65" t="s">
        <v>320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234</v>
      </c>
      <c r="B5" s="65" t="s">
        <v>375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5.15" customHeight="1" x14ac:dyDescent="0.25">
      <c r="A6" s="1" t="s">
        <v>6</v>
      </c>
      <c r="B6" s="9" t="str">
        <f>"prod."&amp;B2</f>
        <v>prod.Inventory.CKD</v>
      </c>
      <c r="C6" s="10" t="str">
        <f>"namespace "&amp;$B$6&amp;"
"&amp;$C$3</f>
        <v xml:space="preserve">namespace prod.Inventory.CKD
{
</v>
      </c>
      <c r="D6" s="10" t="str">
        <f>REPT(CHAR(9),1)&amp;"public class "&amp;B3&amp;G3&amp;REPT(CHAR(9),1)&amp;"
"&amp;REPT(CHAR(9),1)&amp;C3</f>
        <v xml:space="preserve">	public class InvCkdPartPackingDetails: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InvCkdPartPackingDetailsConsts	
	{
</v>
      </c>
      <c r="F6" s="10" t="str">
        <f>REPT(CHAR(9),1)&amp;"public class "&amp;B3&amp;"Dto"&amp;K3&amp;REPT(CHAR(9),1)&amp;"
"&amp;REPT(CHAR(9),1)&amp;C3</f>
        <v xml:space="preserve">	public class InvCkdPartPackingDetailsDto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CreateOrEditInvCkdPartPackingDetailsDto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GetInvCkdPartPackingDetailsInput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5.15" customHeight="1" x14ac:dyDescent="0.25">
      <c r="A7" s="1" t="s">
        <v>13</v>
      </c>
      <c r="B7" s="9" t="str">
        <f>B3</f>
        <v>InvCkdPartPackingDetails</v>
      </c>
      <c r="C7" s="10" t="str">
        <f>REPT(CHAR(9),1)&amp;"[Table("""&amp;B7&amp;""")]"&amp;"
"</f>
        <v xml:space="preserve">	[Table("InvCkdPartPackingDetails")]
</v>
      </c>
      <c r="D7" s="10"/>
      <c r="E7" s="10"/>
      <c r="F7" s="10"/>
      <c r="G7" s="10"/>
      <c r="H7" s="10"/>
      <c r="I7" s="10"/>
      <c r="J7" t="str">
        <f ca="1">SUBSTITUTE(SUBSTITUTE((B1&amp;C6&amp;C7&amp;K22&amp;D6&amp;I22&amp;E3&amp;J22&amp;""&amp;REPT(CHAR(9),1)&amp;D3&amp;D3),"WorkingPattern",$Q$3),"Master",$B$4)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[Table("InvCkdPartPackingDetails")]
	public class InvCkdPartPackingDetails: FullAuditedEntity&lt;long&gt;, IEntity&lt;long&gt;	
	{
		public const int MaxPartNoLength = 50;
		public const int MaxBackNoLength = 10;
		public const int MaxModuleNoLength = 10;
		public const int MaxRenbanLength = 10;
		public const int MaxReExportCdLength = 10;
		public const int MaxIsActiveLength = 1;
		[StringLength(MaxPartNoLength)]
		public virtual string PartNo { get; set; }
		public virtual long? PartId { get; set; }
		[StringLength(MaxBackNoLength)]
		public virtual string BackNo { get; set; }
		[StringLength(MaxModuleNoLength)]
		public virtual string ModuleNo { get; set; }
		[StringLength(MaxRenbanLength)]
		public virtual string Renban { get; set; }
		public virtual int? BoxSize { get; set; }
		[StringLength(MaxReExportCdLength)]
		public virtual string ReExportCd { get; set; }
		[Column(TypeName="Date")]
		public virtual DateTime? StartPackingMonth { get; set; }
		[Column(TypeName="Date")]
		public virtual DateTime? EndPackingMonth { get; set; }
		[Column(TypeName="Date")]
		public virtual DateTime? StartProductionMonth { get; set; }
		[Column(TypeName="Date")]
		public virtual DateTime? EndProductionMonth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DbSet&lt;InvCkdPartPackingDetails&gt; InvCkdPartPackingDetailss { get; set; }</v>
      </c>
      <c r="L7" t="str">
        <f ca="1">SUBSTITUTE(SUBSTITUTE((C6&amp;E6&amp;I22&amp;"
"&amp;REPT(CHAR(9),2)&amp;"// Define Store Name: Format SP_ + &lt;Store Name&gt; = &lt;Store Name&gt;
"&amp;E3&amp;REPT(CHAR(9),1)&amp;D3&amp;D3),"WorkingPattern",$Q$3),"Master",$B$4)</f>
        <v xml:space="preserve">namespace prod.Inventory.CKD
{
	public class InvCkdPartPackingDetailsConsts	
	{
		public const int MaxPartNoLength = 50;
		public const int MaxBackNoLength = 10;
		public const int MaxModuleNoLength = 10;
		public const int MaxRenbanLength = 10;
		public const int MaxReExportCdLength = 10;
		public const int MaxIsActiveLength = 1;
		// Define Store Name: Format SP_ + &lt;Store Name&gt; = &lt;Store Name&gt;
	}
}
</v>
      </c>
      <c r="M7" t="str">
        <f ca="1">SUBSTITUTE(SUBSTITUTE((C1&amp;"namespace "&amp;B6&amp;".Dto"&amp;E3&amp;C3&amp;F6&amp;M22&amp;E3&amp;REPT(CHAR(9),1)&amp;D3&amp;G6&amp;N22&amp;REPT(CHAR(9),1)&amp;D3&amp;H6&amp;O22&amp;"
"&amp;REPT(CHAR(9),1)&amp;D3&amp;D3),"WorkingPattern",$Q$3),"Master",$B$4)</f>
        <v xml:space="preserve">using Abp.Application.Services.Dto;
using System;
using System.ComponentModel.DataAnnotations;
namespace prod.Inventory.CKD.Dto
{
	public class InvCkdPartPackingDetailsDto : EntityDto&lt;long?&gt;	
	{
		public virtual string PartNo { get; set; }
		public virtual long? PartId { get; set; }
		public virtual string BackNo { get; set; }
		public virtual string ModuleNo { get; set; }
		public virtual string Renban { get; set; }
		public virtual int? BoxSize { get; set; }
		public virtual string ReExportCd { get; set; }
		public virtual DateTime? StartPackingMonth { get; set; }
		public virtual DateTime? EndPackingMonth { get; set; }
		public virtual DateTime? StartProductionMonth { get; set; }
		public virtual DateTime? EndProductionMonth { get; set; }
		public virtual string IsActive { get; set; }
	}
	public class CreateOrEditInvCkdPartPackingDetailsDto : EntityDto&lt;long?&gt;	
	{
		[StringLength(InvCkdPartPackingDetailsConsts.MaxPartNoLength)]
		public virtual string PartNo { get; set; }
		public virtual long? PartId { get; set; }
		[StringLength(InvCkdPartPackingDetailsConsts.MaxBackNoLength)]
		public virtual string BackNo { get; set; }
		[StringLength(InvCkdPartPackingDetailsConsts.MaxModuleNoLength)]
		public virtual string ModuleNo { get; set; }
		[StringLength(InvCkdPartPackingDetailsConsts.MaxRenbanLength)]
		public virtual string Renban { get; set; }
		public virtual int? BoxSize { get; set; }
		[StringLength(InvCkdPartPackingDetailsConsts.MaxReExportCdLength)]
		public virtual string ReExportCd { get; set; }
		public virtual DateTime? StartPackingMonth { get; set; }
		public virtual DateTime? EndPackingMonth { get; set; }
		public virtual DateTime? StartProductionMonth { get; set; }
		public virtual DateTime? EndProductionMonth { get; set; }
		[StringLength(InvCkdPartPackingDetailsConsts.MaxIsActiveLength)]
		public virtual string IsActive { get; set; }
	}
	public class GetInvCkdPartPackingDetailsInput : PagedAndSortedResultRequestDto	
	{
		public virtual string PartNo { get; set; }
		public virtual string BackNo { get; set; }
		public virtual string ModuleNo { get; set; }
		public virtual string Renban { get; set; }
		public virtual string ReExportCd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perInvCkdPartPackingDetails = PARENTS.CreateChildPermission(AppPermissions.Pages_Inventory_CKD_PartPackingDetails, L( "InventoryCKDPartPackingDetails"), multiTenancySides: MultiTenancySides.Tenant);
		perInvCkdPartPackingDetails.CreateChildPermission(AppPermissions.Pages_Inventory_CKD_PartPackingDetails_CreateEdit, L( "InventoryCKDPartPackingDetailsCreateEdit"), multiTenancySides: MultiTenancySides.Tenant);
		perInvCkdPartPackingDetails.CreateChildPermission(AppPermissions.Pages_Inventory_CKD_PartPackingDetails_Delete, L( "InventoryCKDPartPackingDetailsDelete"),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Pages_Inventory_CKD_PartPackingDetails = "Pages.Inventory.CKD.PartPackingDetails";
		public const string Pages_Inventory_CKD_PartPackingDetails_CreateEdit = "Pages.Inventory.CKD.PartPackingDetails.CreateEdit";
		public const string Pages_Inventory_CKD_PartPackingDetails_Delete = "Pages.Inventory.CKD.PartPackingDetails.Delete";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
{
	public interface IInvCkdPartPackingDetailsAppService : IApplicationService
	{
		Task&lt;PagedResultDto&lt;InvCkdPartPackingDetailsDto&gt;&gt; GetAll(GetInvCkdPartPackingDetailsInput input);
		Task CreateOrEdit(CreateOrEditInvCkdPartPackingDetailsDto input);
		Task Delete(EntityDto input);
	}
}
</v>
      </c>
      <c r="Q7" t="str">
        <f ca="1">SUBSTITUTE(SUBSTITUTE(SUBSTITUTE(SUBSTITUTE(SUBSTITUTE(SUBSTITUTE(E1,"MstWptCalendar",$B$3),"&lt;PROPERTIES&gt;",P22),"Calendar",$B$5),"WorkingPattern",$Q$3),"Master",$B$4),"&lt;PARAMS_SEARCH&gt;",$W$22)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[AbpAuthorize(AppPermissions.Pages_Inventory_CKD_PartPackingDetails)]
    public class InvCkdPartPackingDetailsAppService : vovinaAppServiceBase, IInvCkdPartPackingDetailsAppService
    {
        private readonly IDapperRepository&lt;InvCkdPartPackingDetails, long&gt; _dapperRepo;
        private readonly IRepository&lt;InvCkdPartPackingDetails, long&gt; _repo;
        private readonly IInvCkdPartPackingDetailsExcelExporter _calendarListExcelExporter;
        public InvCkdPartPackingDetailsAppService(IRepository&lt;InvCkdPartPackingDetails,long&gt; repo, 
                                         IDapperRepository&lt;InvCkdPartPackingDetails,long&gt; dapperRepo,
                                        IInvCkdPartPackingDetailsExcelExporter calendarListExcelExporter
            )
        {
            _repo = repo;
            _dapperRepo = dapperRepo;
            _calendarListExcelExporter = calendarListExcelExporter;
        }
        [AbpAuthorize(AppPermissions.Pages_Inventory_CKD_PartPackingDetails_CreateEdit)]
        public async Task CreateOrEdit(CreateOrEditInvCkdPartPackingDetailsDto input)
        {
            if (input.Id == null) await Create(input);
            else await Update(input);
        }
        //CREATE
        private async Task Create(CreateOrEditInvCkdPartPackingDetailsDto input)
        {          
            var mainObj = ObjectMapper.Map&lt;InvCkdPartPackingDetails&gt;(input);
            await CurrentUnitOfWork.GetDbContext&lt;vovinaDbContext&gt;().AddAsync(mainObj);
        }
        // EDIT
        private async Task Update(CreateOrEditInvCkdPartPackingDetailsDto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[AbpAuthorize(AppPermissions.Pages_Inventory_CKD_PartPackingDetails_Delete)]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Task&lt;PagedResultDto&lt;InvCkdPartPackingDetailsDto&gt;&gt; GetAll(GetInvCkdPartPackingDetailsInput input)
        {
            var filtered = _repo.GetAll()
				.WhereIf(!string.IsNullOrWhiteSpace(input.PartNo), e =&gt; e.PartNo.Contains(input.PartNo))
				.WhereIf(!string.IsNullOrWhiteSpace(input.BackNo), e =&gt; e.BackNo.Contains(input.BackNo))
				.WhereIf(!string.IsNullOrWhiteSpace(input.ModuleNo), e =&gt; e.ModuleNo.Contains(input.ModuleNo))
				.WhereIf(!string.IsNullOrWhiteSpace(input.Renban), e =&gt; e.Renban.Contains(input.Renban))
				.WhereIf(!string.IsNullOrWhiteSpace(input.ReExportCd), e =&gt; e.ReExportCd.Contains(input.ReExportCd))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InvCkdPartPackingDetailsDto
                        {
							Id = o.Id,
							PartNo = o.PartNo,
							PartId = o.PartId,
							BackNo = o.BackNo,
							ModuleNo = o.ModuleNo,
							Renban = o.Renban,
							BoxSize = o.BoxSize,
							ReExportCd = o.ReExportCd,
							StartPackingMonth = o.StartPackingMonth,
							EndPackingMonth = o.EndPackingMonth,
							StartProductionMonth = o.StartProductionMonth,
							EndProductionMonth = o.EndProductionMonth,
							IsActive = o.IsActive,
                        };
            var totalCount = await filtered.CountAsync();
			var paged = system.PageBy(input);
            return new PagedResultDto&lt;InvCkdPartPackingDetailsDto&gt;(
                totalCount,
                 await paged.ToListAsync()
            );
        }
        public async Task&lt;FileDto&gt; GetPartPackingDetailsToExcel(InvCkdPartPackingDetailsExportInput input)
        {
            var query = from o in _repo.GetAll()
                        select new InvCkdPartPackingDetailsDto
                        {
							Id = o.Id,
							PartNo = o.PartNo,
							PartId = o.PartId,
							BackNo = o.BackNo,
							ModuleNo = o.ModuleNo,
							Renban = o.Renban,
							BoxSize = o.BoxSize,
							ReExportCd = o.ReExportCd,
							StartPackingMonth = o.StartPackingMonth,
							EndPackingMonth = o.EndPackingMonth,
							StartProductionMonth = o.StartProductionMonth,
							EndProductionMonth = o.EndProductionMonth,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_dapperRepo.ExecuteAsync(InvCkdPartPackingDetailsConsts.SP_MST_WPT_CALENDAR_GENERATE);
       // }
    }
}</v>
      </c>
      <c r="R7" t="str">
        <f ca="1">SUBSTITUTE(SUBSTITUTE((C1&amp;"namespace "&amp;B6&amp;".Dto"&amp;E3&amp;C3&amp;R3&amp;M22&amp;E3&amp;REPT(CHAR(9),1)&amp;D3&amp;D3),"WorkingPattern",$Q$3),"Master",$B$4)</f>
        <v xml:space="preserve">using Abp.Application.Services.Dto;
using System;
using System.ComponentModel.DataAnnotations;
namespace prod.Inventory.CKD.Dto
{
	public class InvCkdPartPackingDetailsExportInput{
		public virtual string PartNo { get; set; }
		public virtual long? PartId { get; set; }
		public virtual string BackNo { get; set; }
		public virtual string ModuleNo { get; set; }
		public virtual string Renban { get; set; }
		public virtual int? BoxSize { get; set; }
		public virtual string ReExportCd { get; set; }
		public virtual DateTime? StartPackingMonth { get; set; }
		public virtual DateTime? EndPackingMonth { get; set; }
		public virtual DateTime? StartProductionMonth { get; set; }
		public virtual DateTime? EndProductionMonth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IInvCkdPartPackingDetailsExcelExporter : IApplicationService
	{
		FileDto ExportToFile(List&lt;InvCkdPartPackingDetailsDto&gt; invckdpartpackingdetails);
	}
}
</v>
      </c>
      <c r="T7" s="26" t="str">
        <f ca="1">SUBSTITUTE(SUBSTITUTE(SUBSTITUTE(SUBSTITUTE(SUBSTITUTE(SUBSTITUTE(SUBSTITUTE(T1,"MstWptCalendar",$B$3),"&lt;PROPERTIES1&gt;",V22),"&lt;PROPERTIES&gt;",T22),"Calendar",$B$5),"calendar",LOWER(B5)),"WorkingPattern",$Q$3),"Master",$B$4)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InvCkdPartPackingDetailsExcelExporter : NpoiExcelExporterBase, IInvCkdPartPackingDetailsExcelExporter
    {
        public InvCkdPartPackingDetailsExcelExporter(ITempFileCacheManager tempFileCacheManager) : base(tempFileCacheManager) { }
        public FileDto ExportToFile(List&lt;InvCkdPartPackingDetailsDto&gt; partpackingdetails)
        {
            return CreateExcelPackage(
				"InventoryCKDPartPackingDetails.xlsx",
				excelPackage =&gt;
				 {
					var sheet = excelPackage.CreateSheet("PartPackingDetails");
					AddHeader(
								sheet,
								("PartNo"),
								("PartId"),
								("BackNo"),
								("ModuleNo"),
								("Renban"),
								("BoxSize"),
								("ReExportCd"),
								("StartPackingMonth"),
								("EndPackingMonth"),
								("StartProductionMonth"),
								("EndProductionMonth"),
								("IsActive"),
							   );
					AddObjects(
						 sheet, 1, partpackingdetails,                                       
								_ =&gt; _.PartNo,
								_ =&gt; _.PartId,
								_ =&gt; _.BackNo,
								_ =&gt; _.ModuleNo,
								_ =&gt; _.Renban,
								_ =&gt; _.BoxSize,
								_ =&gt; _.ReExportCd,
								_ =&gt; _.StartPackingMonth,
								_ =&gt; _.EndPackingMonth,
								_ =&gt; _.StartProductionMonth,
								_ =&gt; _.EndProductionMonth,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configuration.CreateMap&lt;InvCkdPartPackingDetailsDto, InvCkdPartPackingDetails&gt;();
  configuration.CreateMap&lt;InvCkdPartPackingDetails, InvCkdPartPackingDetailsDto&gt;();
  configuration.CreateMap&lt;CreateOrEditInvCkdPartPackingDetailsDto, InvCkdPartPackingDetails&gt;();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25">
      <c r="A9" t="s">
        <v>356</v>
      </c>
      <c r="B9" t="s">
        <v>361</v>
      </c>
      <c r="C9" t="s">
        <v>1</v>
      </c>
      <c r="D9" t="str">
        <f t="shared" ref="D9" si="0">SUBSTITUTE(PROPER(A9),"_","")</f>
        <v>PartNo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50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MaxPartNoLength = 50;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[StringLength(MaxPartNoLength)]
		public virtual string PartNo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PartNo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[StringLength(InvCkdPartPackingDetailsConsts.MaxPartNoLength)]
		public virtual string PartNo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PartNo { get; set; }
</v>
      </c>
      <c r="P9" t="str">
        <f t="shared" ref="P9" si="9">REPT(CHAR(9),7)&amp;D9&amp;" = o." &amp;D9 &amp;","</f>
        <v xml:space="preserve">							PartNo = o.PartNo,</v>
      </c>
      <c r="T9" s="63" t="str">
        <f t="shared" ref="T9" si="10">REPT(CHAR(9),8)&amp;"("""&amp;D9&amp;"""),"</f>
        <v xml:space="preserve">								("PartNo"),</v>
      </c>
      <c r="V9" s="64" t="str">
        <f t="shared" ref="V9" si="11">REPT(CHAR(9),8)&amp;"_ =&gt; _."&amp;D9&amp;","</f>
        <v xml:space="preserve">								_ =&gt; _.PartNo,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.WhereIf(!string.IsNullOrWhiteSpace(input.PartNo), e =&gt; e.PartNo.Contains(input.PartNo))</v>
      </c>
    </row>
    <row r="10" spans="1:23" customFormat="1" ht="18.75" customHeight="1" x14ac:dyDescent="0.25">
      <c r="A10" t="s">
        <v>360</v>
      </c>
      <c r="B10" t="s">
        <v>0</v>
      </c>
      <c r="C10" t="s">
        <v>1</v>
      </c>
      <c r="D10" t="str">
        <f t="shared" ref="D10:D11" si="13">SUBSTITUTE(PROPER(A10),"_","")</f>
        <v>PartId</v>
      </c>
      <c r="E10" t="str">
        <f t="shared" ref="E10:E11" si="14">IFERROR(LEFT(B10, FIND("(",B10)-1),B10)</f>
        <v>bigint</v>
      </c>
      <c r="F10" s="6"/>
      <c r="G10" t="str">
        <f t="shared" ref="G10:G11" si="15">IFERROR(MID(B10,FIND("(",B10) +1, FIND(")",B10) - FIND("(",B10) - 1),"")</f>
        <v/>
      </c>
      <c r="H10" t="str">
        <f>+VLOOKUP(E10,'Data Type Mapping'!A:B,2,)</f>
        <v>long?</v>
      </c>
      <c r="I10" t="str">
        <f t="shared" ref="I10:I11" si="16">IF(H10="string",REPT(CHAR(9),2)&amp;"public const int Max"&amp;D10&amp;"Length = "&amp;G10&amp;";"&amp;$E$3,"" )</f>
        <v/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public virtual long? PartId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long? PartId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public virtual long? PartId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/>
      </c>
      <c r="P10" t="str">
        <f t="shared" ref="P10:P11" si="22">REPT(CHAR(9),7)&amp;D10&amp;" = o." &amp;D10 &amp;","</f>
        <v xml:space="preserve">							PartId = o.PartId,</v>
      </c>
      <c r="T10" s="63" t="str">
        <f t="shared" ref="T10:T11" si="23">REPT(CHAR(9),8)&amp;"("""&amp;D10&amp;"""),"</f>
        <v xml:space="preserve">								("PartId"),</v>
      </c>
      <c r="V10" s="64" t="str">
        <f t="shared" ref="V10:V11" si="24">REPT(CHAR(9),8)&amp;"_ =&gt; _."&amp;D10&amp;","</f>
        <v xml:space="preserve">								_ =&gt; _.PartId,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/>
      </c>
    </row>
    <row r="11" spans="1:23" customFormat="1" ht="18.75" customHeight="1" x14ac:dyDescent="0.25">
      <c r="A11" t="s">
        <v>363</v>
      </c>
      <c r="B11" t="s">
        <v>357</v>
      </c>
      <c r="C11" t="s">
        <v>1</v>
      </c>
      <c r="D11" t="str">
        <f t="shared" si="13"/>
        <v>BackNo</v>
      </c>
      <c r="E11" t="str">
        <f t="shared" si="14"/>
        <v>VARCHAR</v>
      </c>
      <c r="F11" s="6"/>
      <c r="G11" t="str">
        <f t="shared" si="15"/>
        <v>10</v>
      </c>
      <c r="H11" t="str">
        <f>+VLOOKUP(E11,'Data Type Mapping'!A:B,2,)</f>
        <v>string</v>
      </c>
      <c r="I11" t="str">
        <f t="shared" si="16"/>
        <v xml:space="preserve">		public const int MaxBackNoLength = 10;
</v>
      </c>
      <c r="J11" t="str">
        <f t="shared" si="17"/>
        <v xml:space="preserve">		[StringLength(MaxBackNoLength)]
		public virtual string BackNo { get; set; }
</v>
      </c>
      <c r="K11" s="6"/>
      <c r="L11" t="str">
        <f t="shared" si="18"/>
        <v/>
      </c>
      <c r="M11" t="str">
        <f t="shared" si="19"/>
        <v xml:space="preserve">		public virtual string BackNo { get; set; }
</v>
      </c>
      <c r="N11" t="str">
        <f t="shared" si="20"/>
        <v xml:space="preserve">		[StringLength(InvCkdPartPackingDetailsConsts.MaxBackNoLength)]
		public virtual string BackNo { get; set; }
</v>
      </c>
      <c r="O11" t="str">
        <f t="shared" si="21"/>
        <v xml:space="preserve">		public virtual string BackNo { get; set; }
</v>
      </c>
      <c r="P11" t="str">
        <f t="shared" si="22"/>
        <v xml:space="preserve">							BackNo = o.BackNo,</v>
      </c>
      <c r="T11" s="63" t="str">
        <f t="shared" si="23"/>
        <v xml:space="preserve">								("BackNo"),</v>
      </c>
      <c r="V11" s="64" t="str">
        <f t="shared" si="24"/>
        <v xml:space="preserve">								_ =&gt; _.BackNo,</v>
      </c>
      <c r="W11" s="63" t="str">
        <f t="shared" si="25"/>
        <v xml:space="preserve">				.WhereIf(!string.IsNullOrWhiteSpace(input.BackNo), e =&gt; e.BackNo.Contains(input.BackNo))</v>
      </c>
    </row>
    <row r="12" spans="1:23" customFormat="1" ht="18.75" customHeight="1" x14ac:dyDescent="0.25">
      <c r="A12" t="s">
        <v>364</v>
      </c>
      <c r="B12" t="s">
        <v>357</v>
      </c>
      <c r="C12" t="s">
        <v>1</v>
      </c>
      <c r="D12" t="str">
        <f t="shared" ref="D12:D16" si="26">SUBSTITUTE(PROPER(A12),"_","")</f>
        <v>ModuleNo</v>
      </c>
      <c r="E12" t="str">
        <f t="shared" ref="E12:E15" si="27">IFERROR(LEFT(B12, FIND("(",B12)-1),B12)</f>
        <v>VARCHAR</v>
      </c>
      <c r="F12" s="6"/>
      <c r="G12" t="str">
        <f t="shared" ref="G12:G16" si="28">IFERROR(MID(B12,FIND("(",B12) +1, FIND(")",B12) - FIND("(",B12) - 1),"")</f>
        <v>10</v>
      </c>
      <c r="H12" t="str">
        <f>+VLOOKUP(E12,'Data Type Mapping'!A:B,2,)</f>
        <v>string</v>
      </c>
      <c r="I12" t="str">
        <f t="shared" ref="I12:I16" si="29">IF(H12="string",REPT(CHAR(9),2)&amp;"public const int Max"&amp;D12&amp;"Length = "&amp;G12&amp;";"&amp;$E$3,"" )</f>
        <v xml:space="preserve">		public const int MaxModuleNoLength = 10;
</v>
      </c>
      <c r="J12" t="str">
        <f t="shared" ref="J12:J16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[StringLength(MaxModuleNoLength)]
		public virtual string ModuleNo { get; set; }
</v>
      </c>
      <c r="K12" s="6"/>
      <c r="L12" t="str">
        <f t="shared" ref="L12:L16" si="31">IF(K12="","",REPT(CHAR(9),1)&amp;"[Index(nameof("&amp;IF(D12="","",""&amp;D12)&amp;")"&amp;", Name="&amp;"""IX_"&amp;$B$7&amp;"_"&amp;D12&amp;""")]")</f>
        <v/>
      </c>
      <c r="M12" t="str">
        <f t="shared" ref="M12:M16" si="32">REPT(CHAR(9),2)&amp;"public virtual "&amp;IF(OR(H12="DateTime",H12="TimeSpan"),H12&amp;"?",H12)&amp;IF(C12="?","? "," ")&amp;D12&amp;" { get; set; }" &amp; "
"</f>
        <v xml:space="preserve">		public virtual string ModuleNo { get; set; }
</v>
      </c>
      <c r="N12" t="str">
        <f t="shared" ref="N12:N16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[StringLength(InvCkdPartPackingDetailsConsts.MaxModuleNoLength)]
		public virtual string ModuleNo { get; set; }
</v>
      </c>
      <c r="O12" t="str">
        <f t="shared" ref="O12:O16" si="34">IF(OR(H12="string",H12="DateTime",H12="int"),REPT(CHAR(9),2)&amp;"public virtual "&amp;IF(OR(H12="DateTime",H12="TimeSpan"),H12&amp;"?",H12)&amp;IF(C12="?","? "," ")&amp;D12&amp;" { get; set; }"&amp;$E$3,"")</f>
        <v xml:space="preserve">		public virtual string ModuleNo { get; set; }
</v>
      </c>
      <c r="P12" t="str">
        <f t="shared" ref="P12:P16" si="35">REPT(CHAR(9),7)&amp;D12&amp;" = o." &amp;D12 &amp;","</f>
        <v xml:space="preserve">							ModuleNo = o.ModuleNo,</v>
      </c>
      <c r="T12" s="63" t="str">
        <f t="shared" ref="T12:T16" si="36">REPT(CHAR(9),8)&amp;"("""&amp;D12&amp;"""),"</f>
        <v xml:space="preserve">								("ModuleNo"),</v>
      </c>
      <c r="V12" s="64" t="str">
        <f t="shared" ref="V12:V16" si="37">REPT(CHAR(9),8)&amp;"_ =&gt; _."&amp;D12&amp;","</f>
        <v xml:space="preserve">								_ =&gt; _.ModuleNo,</v>
      </c>
      <c r="W12" s="63" t="str">
        <f t="shared" ref="W12:W16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.WhereIf(!string.IsNullOrWhiteSpace(input.ModuleNo), e =&gt; e.ModuleNo.Contains(input.ModuleNo))</v>
      </c>
    </row>
    <row r="13" spans="1:23" customFormat="1" ht="18.75" customHeight="1" x14ac:dyDescent="0.25">
      <c r="A13" t="s">
        <v>365</v>
      </c>
      <c r="B13" t="s">
        <v>357</v>
      </c>
      <c r="C13" t="s">
        <v>1</v>
      </c>
      <c r="D13" t="str">
        <f t="shared" ref="D13" si="39">SUBSTITUTE(PROPER(A13),"_","")</f>
        <v>Renban</v>
      </c>
      <c r="E13" t="str">
        <f t="shared" ref="E13" si="40">IFERROR(LEFT(B13, FIND("(",B13)-1),B13)</f>
        <v>VARCHAR</v>
      </c>
      <c r="F13" s="6"/>
      <c r="G13" t="str">
        <f t="shared" ref="G13" si="41">IFERROR(MID(B13,FIND("(",B13) +1, FIND(")",B13) - FIND("(",B13) - 1),"")</f>
        <v>10</v>
      </c>
      <c r="H13" t="str">
        <f>+VLOOKUP(E13,'Data Type Mapping'!A:B,2,)</f>
        <v>string</v>
      </c>
      <c r="I13" t="str">
        <f t="shared" ref="I13" si="42">IF(H13="string",REPT(CHAR(9),2)&amp;"public const int Max"&amp;D13&amp;"Length = "&amp;G13&amp;";"&amp;$E$3,"" )</f>
        <v xml:space="preserve">		public const int MaxRenbanLength = 10;
</v>
      </c>
      <c r="J13" t="str">
        <f t="shared" ref="J13" si="43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[StringLength(MaxRenbanLength)]
		public virtual string Renban { get; set; }
</v>
      </c>
      <c r="K13" s="6"/>
      <c r="L13" t="str">
        <f t="shared" ref="L13" si="44">IF(K13="","",REPT(CHAR(9),1)&amp;"[Index(nameof("&amp;IF(D13="","",""&amp;D13)&amp;")"&amp;", Name="&amp;"""IX_"&amp;$B$7&amp;"_"&amp;D13&amp;""")]")</f>
        <v/>
      </c>
      <c r="M13" t="str">
        <f t="shared" ref="M13" si="45">REPT(CHAR(9),2)&amp;"public virtual "&amp;IF(OR(H13="DateTime",H13="TimeSpan"),H13&amp;"?",H13)&amp;IF(C13="?","? "," ")&amp;D13&amp;" { get; set; }" &amp; "
"</f>
        <v xml:space="preserve">		public virtual string Renban { get; set; }
</v>
      </c>
      <c r="N13" t="str">
        <f t="shared" ref="N13" si="46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[StringLength(InvCkdPartPackingDetailsConsts.MaxRenbanLength)]
		public virtual string Renban { get; set; }
</v>
      </c>
      <c r="O13" t="str">
        <f t="shared" ref="O13" si="47">IF(OR(H13="string",H13="DateTime",H13="int"),REPT(CHAR(9),2)&amp;"public virtual "&amp;IF(OR(H13="DateTime",H13="TimeSpan"),H13&amp;"?",H13)&amp;IF(C13="?","? "," ")&amp;D13&amp;" { get; set; }"&amp;$E$3,"")</f>
        <v xml:space="preserve">		public virtual string Renban { get; set; }
</v>
      </c>
      <c r="P13" t="str">
        <f t="shared" ref="P13" si="48">REPT(CHAR(9),7)&amp;D13&amp;" = o." &amp;D13 &amp;","</f>
        <v xml:space="preserve">							Renban = o.Renban,</v>
      </c>
      <c r="T13" s="63" t="str">
        <f t="shared" ref="T13" si="49">REPT(CHAR(9),8)&amp;"("""&amp;D13&amp;"""),"</f>
        <v xml:space="preserve">								("Renban"),</v>
      </c>
      <c r="V13" s="64" t="str">
        <f t="shared" ref="V13" si="50">REPT(CHAR(9),8)&amp;"_ =&gt; _."&amp;D13&amp;","</f>
        <v xml:space="preserve">								_ =&gt; _.Renban,</v>
      </c>
      <c r="W13" s="63" t="str">
        <f t="shared" ref="W13" si="51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.WhereIf(!string.IsNullOrWhiteSpace(input.Renban), e =&gt; e.Renban.Contains(input.Renban))</v>
      </c>
    </row>
    <row r="14" spans="1:23" customFormat="1" ht="18.75" customHeight="1" x14ac:dyDescent="0.25">
      <c r="A14" t="s">
        <v>366</v>
      </c>
      <c r="B14" t="s">
        <v>4</v>
      </c>
      <c r="C14" t="s">
        <v>1</v>
      </c>
      <c r="D14" t="str">
        <f t="shared" si="26"/>
        <v>BoxSize</v>
      </c>
      <c r="E14" t="str">
        <f t="shared" si="27"/>
        <v>int</v>
      </c>
      <c r="F14" s="6"/>
      <c r="G14" t="str">
        <f t="shared" si="28"/>
        <v/>
      </c>
      <c r="H14" t="str">
        <f>+VLOOKUP(E14,'Data Type Mapping'!A:B,2,)</f>
        <v>int?</v>
      </c>
      <c r="I14" t="str">
        <f t="shared" si="29"/>
        <v/>
      </c>
      <c r="J14" t="str">
        <f t="shared" si="30"/>
        <v xml:space="preserve">		public virtual int? BoxSize { get; set; }
</v>
      </c>
      <c r="K14" s="6"/>
      <c r="L14" t="str">
        <f t="shared" si="31"/>
        <v/>
      </c>
      <c r="M14" t="str">
        <f t="shared" si="32"/>
        <v xml:space="preserve">		public virtual int? BoxSize { get; set; }
</v>
      </c>
      <c r="N14" t="str">
        <f t="shared" si="33"/>
        <v xml:space="preserve">		public virtual int? BoxSize { get; set; }
</v>
      </c>
      <c r="O14" t="str">
        <f t="shared" si="34"/>
        <v/>
      </c>
      <c r="P14" t="str">
        <f t="shared" si="35"/>
        <v xml:space="preserve">							BoxSize = o.BoxSize,</v>
      </c>
      <c r="T14" s="63" t="str">
        <f t="shared" si="36"/>
        <v xml:space="preserve">								("BoxSize"),</v>
      </c>
      <c r="V14" s="64" t="str">
        <f t="shared" si="37"/>
        <v xml:space="preserve">								_ =&gt; _.BoxSize,</v>
      </c>
      <c r="W14" s="63" t="str">
        <f t="shared" si="38"/>
        <v/>
      </c>
    </row>
    <row r="15" spans="1:23" customFormat="1" ht="18.75" customHeight="1" x14ac:dyDescent="0.25">
      <c r="A15" t="s">
        <v>377</v>
      </c>
      <c r="B15" t="s">
        <v>357</v>
      </c>
      <c r="C15" t="s">
        <v>1</v>
      </c>
      <c r="D15" t="str">
        <f t="shared" si="26"/>
        <v>ReExportCd</v>
      </c>
      <c r="E15" t="str">
        <f t="shared" si="27"/>
        <v>VARCHAR</v>
      </c>
      <c r="F15" s="6"/>
      <c r="G15" t="str">
        <f t="shared" si="28"/>
        <v>10</v>
      </c>
      <c r="H15" t="str">
        <f>+VLOOKUP(E15,'Data Type Mapping'!A:B,2,)</f>
        <v>string</v>
      </c>
      <c r="I15" t="str">
        <f t="shared" si="29"/>
        <v xml:space="preserve">		public const int MaxReExportCdLength = 10;
</v>
      </c>
      <c r="J15" t="str">
        <f t="shared" si="30"/>
        <v xml:space="preserve">		[StringLength(MaxReExportCdLength)]
		public virtual string ReExportCd { get; set; }
</v>
      </c>
      <c r="K15" s="6"/>
      <c r="L15" t="str">
        <f t="shared" si="31"/>
        <v/>
      </c>
      <c r="M15" t="str">
        <f t="shared" si="32"/>
        <v xml:space="preserve">		public virtual string ReExportCd { get; set; }
</v>
      </c>
      <c r="N15" t="str">
        <f t="shared" si="33"/>
        <v xml:space="preserve">		[StringLength(InvCkdPartPackingDetailsConsts.MaxReExportCdLength)]
		public virtual string ReExportCd { get; set; }
</v>
      </c>
      <c r="O15" t="str">
        <f t="shared" si="34"/>
        <v xml:space="preserve">		public virtual string ReExportCd { get; set; }
</v>
      </c>
      <c r="P15" t="str">
        <f t="shared" si="35"/>
        <v xml:space="preserve">							ReExportCd = o.ReExportCd,</v>
      </c>
      <c r="T15" s="63" t="str">
        <f t="shared" si="36"/>
        <v xml:space="preserve">								("ReExportCd"),</v>
      </c>
      <c r="V15" s="64" t="str">
        <f t="shared" si="37"/>
        <v xml:space="preserve">								_ =&gt; _.ReExportCd,</v>
      </c>
      <c r="W15" s="63" t="str">
        <f t="shared" si="38"/>
        <v xml:space="preserve">				.WhereIf(!string.IsNullOrWhiteSpace(input.ReExportCd), e =&gt; e.ReExportCd.Contains(input.ReExportCd))</v>
      </c>
    </row>
    <row r="16" spans="1:23" customFormat="1" ht="18.75" customHeight="1" x14ac:dyDescent="0.25">
      <c r="A16" t="s">
        <v>368</v>
      </c>
      <c r="B16" t="s">
        <v>362</v>
      </c>
      <c r="C16" t="s">
        <v>1</v>
      </c>
      <c r="D16" t="str">
        <f t="shared" si="26"/>
        <v>StartPackingMonth</v>
      </c>
      <c r="E16" t="s">
        <v>373</v>
      </c>
      <c r="F16" s="6" t="s">
        <v>372</v>
      </c>
      <c r="G16" t="str">
        <f t="shared" si="28"/>
        <v>100</v>
      </c>
      <c r="H16" t="str">
        <f>+VLOOKUP(E16,'Data Type Mapping'!A:B,2,)</f>
        <v>DateTime?</v>
      </c>
      <c r="I16" t="str">
        <f t="shared" si="29"/>
        <v/>
      </c>
      <c r="J16" t="str">
        <f t="shared" si="30"/>
        <v xml:space="preserve">		[Column(TypeName="Date")]
		public virtual DateTime? StartPackingMonth { get; set; }
</v>
      </c>
      <c r="K16" s="6"/>
      <c r="L16" t="str">
        <f t="shared" si="31"/>
        <v/>
      </c>
      <c r="M16" t="str">
        <f t="shared" si="32"/>
        <v xml:space="preserve">		public virtual DateTime? StartPackingMonth { get; set; }
</v>
      </c>
      <c r="N16" t="str">
        <f t="shared" si="33"/>
        <v xml:space="preserve">		public virtual DateTime? StartPackingMonth { get; set; }
</v>
      </c>
      <c r="O16" t="str">
        <f t="shared" si="34"/>
        <v/>
      </c>
      <c r="P16" t="str">
        <f t="shared" si="35"/>
        <v xml:space="preserve">							StartPackingMonth = o.StartPackingMonth,</v>
      </c>
      <c r="T16" s="63" t="str">
        <f t="shared" si="36"/>
        <v xml:space="preserve">								("StartPackingMonth"),</v>
      </c>
      <c r="V16" s="64" t="str">
        <f t="shared" si="37"/>
        <v xml:space="preserve">								_ =&gt; _.StartPackingMonth,</v>
      </c>
      <c r="W16" s="63" t="str">
        <f t="shared" si="38"/>
        <v/>
      </c>
    </row>
    <row r="17" spans="1:23" customFormat="1" ht="18.75" customHeight="1" x14ac:dyDescent="0.25">
      <c r="A17" t="s">
        <v>369</v>
      </c>
      <c r="B17" t="s">
        <v>358</v>
      </c>
      <c r="C17" t="s">
        <v>1</v>
      </c>
      <c r="D17" t="str">
        <f t="shared" ref="D17:D19" si="52">SUBSTITUTE(PROPER(A17),"_","")</f>
        <v>EndPackingMonth</v>
      </c>
      <c r="E17" t="s">
        <v>373</v>
      </c>
      <c r="F17" s="6" t="s">
        <v>372</v>
      </c>
      <c r="G17" t="str">
        <f t="shared" ref="G17:G19" si="53">IFERROR(MID(B17,FIND("(",B17) +1, FIND(")",B17) - FIND("(",B17) - 1),"")</f>
        <v>18,4</v>
      </c>
      <c r="H17" t="str">
        <f>+VLOOKUP(E17,'Data Type Mapping'!A:B,2,)</f>
        <v>DateTime?</v>
      </c>
      <c r="I17" t="str">
        <f t="shared" ref="I17:I19" si="54">IF(H17="string",REPT(CHAR(9),2)&amp;"public const int Max"&amp;D17&amp;"Length = "&amp;G17&amp;";"&amp;$E$3,"" )</f>
        <v/>
      </c>
      <c r="J17" t="str">
        <f t="shared" ref="J17:J19" si="55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[Column(TypeName="Date")]
		public virtual DateTime? EndPackingMonth { get; set; }
</v>
      </c>
      <c r="K17" s="6"/>
      <c r="L17" t="str">
        <f t="shared" ref="L17:L19" si="56">IF(K17="","",REPT(CHAR(9),1)&amp;"[Index(nameof("&amp;IF(D17="","",""&amp;D17)&amp;")"&amp;", Name="&amp;"""IX_"&amp;$B$7&amp;"_"&amp;D17&amp;""")]")</f>
        <v/>
      </c>
      <c r="M17" t="str">
        <f t="shared" ref="M17:M19" si="57">REPT(CHAR(9),2)&amp;"public virtual "&amp;IF(OR(H17="DateTime",H17="TimeSpan"),H17&amp;"?",H17)&amp;IF(C17="?","? "," ")&amp;D17&amp;" { get; set; }" &amp; "
"</f>
        <v xml:space="preserve">		public virtual DateTime? EndPackingMonth { get; set; }
</v>
      </c>
      <c r="N17" t="str">
        <f t="shared" ref="N17:N19" si="58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public virtual DateTime? EndPackingMonth { get; set; }
</v>
      </c>
      <c r="O17" t="str">
        <f t="shared" ref="O17:O19" si="59">IF(OR(H17="string",H17="DateTime",H17="int"),REPT(CHAR(9),2)&amp;"public virtual "&amp;IF(OR(H17="DateTime",H17="TimeSpan"),H17&amp;"?",H17)&amp;IF(C17="?","? "," ")&amp;D17&amp;" { get; set; }"&amp;$E$3,"")</f>
        <v/>
      </c>
      <c r="P17" t="str">
        <f t="shared" ref="P17:P19" si="60">REPT(CHAR(9),7)&amp;D17&amp;" = o." &amp;D17 &amp;","</f>
        <v xml:space="preserve">							EndPackingMonth = o.EndPackingMonth,</v>
      </c>
      <c r="T17" s="63" t="str">
        <f t="shared" ref="T17:T19" si="61">REPT(CHAR(9),8)&amp;"("""&amp;D17&amp;"""),"</f>
        <v xml:space="preserve">								("EndPackingMonth"),</v>
      </c>
      <c r="V17" s="64" t="str">
        <f t="shared" ref="V17:V19" si="62">REPT(CHAR(9),8)&amp;"_ =&gt; _."&amp;D17&amp;","</f>
        <v xml:space="preserve">								_ =&gt; _.EndPackingMonth,</v>
      </c>
      <c r="W17" s="63" t="str">
        <f t="shared" ref="W17:W19" si="63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/>
      </c>
    </row>
    <row r="18" spans="1:23" customFormat="1" ht="18.75" customHeight="1" x14ac:dyDescent="0.25">
      <c r="A18" t="s">
        <v>370</v>
      </c>
      <c r="B18" t="s">
        <v>357</v>
      </c>
      <c r="C18" t="s">
        <v>1</v>
      </c>
      <c r="D18" t="str">
        <f t="shared" si="52"/>
        <v>StartProductionMonth</v>
      </c>
      <c r="E18" t="s">
        <v>373</v>
      </c>
      <c r="F18" s="6" t="s">
        <v>372</v>
      </c>
      <c r="G18" t="str">
        <f t="shared" si="53"/>
        <v>10</v>
      </c>
      <c r="H18" t="str">
        <f>+VLOOKUP(E18,'Data Type Mapping'!A:B,2,)</f>
        <v>DateTime?</v>
      </c>
      <c r="I18" t="str">
        <f t="shared" si="54"/>
        <v/>
      </c>
      <c r="J18" t="str">
        <f t="shared" si="55"/>
        <v xml:space="preserve">		[Column(TypeName="Date")]
		public virtual DateTime? StartProductionMonth { get; set; }
</v>
      </c>
      <c r="K18" s="6"/>
      <c r="L18" t="str">
        <f t="shared" si="56"/>
        <v/>
      </c>
      <c r="M18" t="str">
        <f t="shared" si="57"/>
        <v xml:space="preserve">		public virtual DateTime? StartProductionMonth { get; set; }
</v>
      </c>
      <c r="N18" t="str">
        <f t="shared" si="58"/>
        <v xml:space="preserve">		public virtual DateTime? StartProductionMonth { get; set; }
</v>
      </c>
      <c r="O18" t="str">
        <f t="shared" si="59"/>
        <v/>
      </c>
      <c r="P18" t="str">
        <f t="shared" si="60"/>
        <v xml:space="preserve">							StartProductionMonth = o.StartProductionMonth,</v>
      </c>
      <c r="T18" s="63" t="str">
        <f t="shared" si="61"/>
        <v xml:space="preserve">								("StartProductionMonth"),</v>
      </c>
      <c r="V18" s="64" t="str">
        <f t="shared" si="62"/>
        <v xml:space="preserve">								_ =&gt; _.StartProductionMonth,</v>
      </c>
      <c r="W18" s="63" t="str">
        <f t="shared" si="63"/>
        <v/>
      </c>
    </row>
    <row r="19" spans="1:23" customFormat="1" ht="18.75" customHeight="1" x14ac:dyDescent="0.25">
      <c r="A19" t="s">
        <v>371</v>
      </c>
      <c r="B19" t="s">
        <v>357</v>
      </c>
      <c r="C19" t="s">
        <v>1</v>
      </c>
      <c r="D19" t="str">
        <f t="shared" si="52"/>
        <v>EndProductionMonth</v>
      </c>
      <c r="E19" t="s">
        <v>373</v>
      </c>
      <c r="F19" s="6" t="s">
        <v>372</v>
      </c>
      <c r="G19" t="str">
        <f t="shared" si="53"/>
        <v>10</v>
      </c>
      <c r="H19" t="str">
        <f>+VLOOKUP(E19,'Data Type Mapping'!A:B,2,)</f>
        <v>DateTime?</v>
      </c>
      <c r="I19" t="str">
        <f t="shared" si="54"/>
        <v/>
      </c>
      <c r="J19" t="str">
        <f t="shared" si="55"/>
        <v xml:space="preserve">		[Column(TypeName="Date")]
		public virtual DateTime? EndProductionMonth { get; set; }
</v>
      </c>
      <c r="K19" s="6"/>
      <c r="L19" t="str">
        <f t="shared" si="56"/>
        <v/>
      </c>
      <c r="M19" t="str">
        <f t="shared" si="57"/>
        <v xml:space="preserve">		public virtual DateTime? EndProductionMonth { get; set; }
</v>
      </c>
      <c r="N19" t="str">
        <f t="shared" si="58"/>
        <v xml:space="preserve">		public virtual DateTime? EndProductionMonth { get; set; }
</v>
      </c>
      <c r="O19" t="str">
        <f t="shared" si="59"/>
        <v/>
      </c>
      <c r="P19" t="str">
        <f t="shared" si="60"/>
        <v xml:space="preserve">							EndProductionMonth = o.EndProductionMonth,</v>
      </c>
      <c r="T19" s="63" t="str">
        <f t="shared" si="61"/>
        <v xml:space="preserve">								("EndProductionMonth"),</v>
      </c>
      <c r="V19" s="64" t="str">
        <f t="shared" si="62"/>
        <v xml:space="preserve">								_ =&gt; _.EndProductionMonth,</v>
      </c>
      <c r="W19" s="63" t="str">
        <f t="shared" si="63"/>
        <v/>
      </c>
    </row>
    <row r="20" spans="1:23" customFormat="1" ht="18.75" customHeight="1" x14ac:dyDescent="0.25">
      <c r="A20" t="s">
        <v>319</v>
      </c>
      <c r="B20" t="s">
        <v>359</v>
      </c>
      <c r="C20" t="s">
        <v>1</v>
      </c>
      <c r="D20" t="str">
        <f t="shared" ref="D20" si="64">SUBSTITUTE(PROPER(A20),"_","")</f>
        <v>IsActive</v>
      </c>
      <c r="E20" t="str">
        <f t="shared" ref="E20" si="65">IFERROR(LEFT(B20, FIND("(",B20)-1),B20)</f>
        <v>VARCHAR</v>
      </c>
      <c r="F20" s="6"/>
      <c r="G20" t="str">
        <f t="shared" ref="G20" si="66">IFERROR(MID(B20,FIND("(",B20) +1, FIND(")",B20) - FIND("(",B20) - 1),"")</f>
        <v>1</v>
      </c>
      <c r="H20" t="str">
        <f>+VLOOKUP(E20,'Data Type Mapping'!A:B,2,)</f>
        <v>string</v>
      </c>
      <c r="I20" t="str">
        <f t="shared" ref="I20" si="67">IF(H20="string",REPT(CHAR(9),2)&amp;"public const int Max"&amp;D20&amp;"Length = "&amp;G20&amp;";"&amp;$E$3,"" )</f>
        <v xml:space="preserve">		public const int MaxIsActiveLength = 1;
</v>
      </c>
      <c r="J20" t="str">
        <f t="shared" ref="J20" si="68">IF(F20="","",REPT(CHAR(9),2)&amp;"[Column(TypeName="""&amp;F20&amp;""")]"&amp;$E$3)&amp;IF(C20="Checked","",$I$3)&amp;IF(H20="string",REPT(CHAR(9),2)&amp;"[StringLength(Max"&amp;D20&amp;"Length"&amp;")]"&amp;$E$3,"")&amp;REPT(CHAR(9),2)&amp;"public virtual "&amp;H20&amp;IF(C20="?","? "," ")&amp;D20&amp;" { get; set; }" &amp; "
"</f>
        <v xml:space="preserve">		[StringLength(MaxIsActiveLength)]
		public virtual string IsActive { get; set; }
</v>
      </c>
      <c r="K20" s="6"/>
      <c r="L20" t="str">
        <f t="shared" ref="L20" si="69">IF(K20="","",REPT(CHAR(9),1)&amp;"[Index(nameof("&amp;IF(D20="","",""&amp;D20)&amp;")"&amp;", Name="&amp;"""IX_"&amp;$B$7&amp;"_"&amp;D20&amp;""")]")</f>
        <v/>
      </c>
      <c r="M20" t="str">
        <f t="shared" ref="M20" si="70">REPT(CHAR(9),2)&amp;"public virtual "&amp;IF(OR(H20="DateTime",H20="TimeSpan"),H20&amp;"?",H20)&amp;IF(C20="?","? "," ")&amp;D20&amp;" { get; set; }" &amp; "
"</f>
        <v xml:space="preserve">		public virtual string IsActive { get; set; }
</v>
      </c>
      <c r="N20" t="str">
        <f t="shared" ref="N20" si="71">IF(C20="Checked","",$I$3)&amp;IF(H20="string",REPT(CHAR(9),2)&amp;"[StringLength("&amp;$B$3&amp;"Consts.Max"&amp;D20&amp;"Length"&amp;")]"&amp;$E$3,"")&amp;REPT(CHAR(9),2)&amp;"public virtual "&amp;IF(OR(H20="DateTime",H20="TimeSpan"),H20&amp;"?",H20)&amp;IF(C20="?","? "," ")&amp;D20&amp;" { get; set; }" &amp; "
"</f>
        <v xml:space="preserve">		[StringLength(InvCkdPartPackingDetailsConsts.MaxIsActiveLength)]
		public virtual string IsActive { get; set; }
</v>
      </c>
      <c r="O20" t="str">
        <f t="shared" ref="O20" si="72">IF(OR(H20="string",H20="DateTime",H20="int"),REPT(CHAR(9),2)&amp;"public virtual "&amp;IF(OR(H20="DateTime",H20="TimeSpan"),H20&amp;"?",H20)&amp;IF(C20="?","? "," ")&amp;D20&amp;" { get; set; }"&amp;$E$3,"")</f>
        <v xml:space="preserve">		public virtual string IsActive { get; set; }
</v>
      </c>
      <c r="P20" t="str">
        <f t="shared" ref="P20" si="73">REPT(CHAR(9),7)&amp;D20&amp;" = o." &amp;D20 &amp;","</f>
        <v xml:space="preserve">							IsActive = o.IsActive,</v>
      </c>
      <c r="T20" s="63" t="str">
        <f t="shared" ref="T20" si="74">REPT(CHAR(9),8)&amp;"("""&amp;D20&amp;"""),"</f>
        <v xml:space="preserve">								("IsActive"),</v>
      </c>
      <c r="V20" s="64" t="str">
        <f t="shared" ref="V20" si="75">REPT(CHAR(9),8)&amp;"_ =&gt; _."&amp;D20&amp;","</f>
        <v xml:space="preserve">								_ =&gt; _.IsActive,</v>
      </c>
      <c r="W20" s="63" t="str">
        <f t="shared" ref="W20" si="76">IF(H20="string",REPT(CHAR(9),4)&amp;".WhereIf(!string.IsNullOrWhiteSpace(input."&amp;D20&amp;"), e =&gt; e."&amp;D20&amp;".Contains(input."&amp;D20&amp;"))",IF(H20="DateTime",REPT(CHAR(9),4)&amp;".WhereIf(input."&amp;D20&amp;".HasValue, t =&gt; t."&amp;D20&amp;" == input."&amp;D20&amp;".Value)",""))</f>
        <v xml:space="preserve">				.WhereIf(!string.IsNullOrWhiteSpace(input.IsActive), e =&gt; e.IsActive.Contains(input.IsActive))</v>
      </c>
    </row>
    <row r="22" spans="1:23" ht="45.75" customHeight="1" x14ac:dyDescent="0.25">
      <c r="H22" s="11"/>
      <c r="I22" s="31" t="str">
        <f ca="1">TEXTJOIN2("
", TRUE,INDIRECT( $H$1):INDIRECT( $H$3))</f>
        <v xml:space="preserve">		public const int MaxPartNoLength = 50;
		public const int MaxBackNoLength = 10;
		public const int MaxModuleNoLength = 10;
		public const int MaxRenbanLength = 10;
		public const int MaxReExportCdLength = 10;
		public const int MaxIsActiveLength = 1;
</v>
      </c>
      <c r="J22" s="30" t="str">
        <f ca="1">TEXTJOIN2("
", TRUE,INDIRECT( $F$1):INDIRECT( $F$3))</f>
        <v xml:space="preserve">		[StringLength(MaxPartNoLength)]
		public virtual string PartNo { get; set; }
		public virtual long? PartId { get; set; }
		[StringLength(MaxBackNoLength)]
		public virtual string BackNo { get; set; }
		[StringLength(MaxModuleNoLength)]
		public virtual string ModuleNo { get; set; }
		[StringLength(MaxRenbanLength)]
		public virtual string Renban { get; set; }
		public virtual int? BoxSize { get; set; }
		[StringLength(MaxReExportCdLength)]
		public virtual string ReExportCd { get; set; }
		[Column(TypeName="Date")]
		public virtual DateTime? StartPackingMonth { get; set; }
		[Column(TypeName="Date")]
		public virtual DateTime? EndPackingMonth { get; set; }
		[Column(TypeName="Date")]
		public virtual DateTime? StartProductionMonth { get; set; }
		[Column(TypeName="Date")]
		public virtual DateTime? EndProductionMonth { get; set; }
		[StringLength(MaxIsActiveLength)]
		public virtual string IsActive { get; set; }
</v>
      </c>
      <c r="K22" s="32" t="str">
        <f ca="1">TEXTJOIN2("
", TRUE,INDIRECT( $J$1):INDIRECT( $J$3))</f>
        <v/>
      </c>
      <c r="L22" s="12" t="s">
        <v>57</v>
      </c>
      <c r="M22" s="33" t="str">
        <f ca="1">TEXTJOIN2("
",TRUE,INDIRECT( $L$1):INDIRECT($L$3))</f>
        <v xml:space="preserve">		public virtual string PartNo { get; set; }
		public virtual long? PartId { get; set; }
		public virtual string BackNo { get; set; }
		public virtual string ModuleNo { get; set; }
		public virtual string Renban { get; set; }
		public virtual int? BoxSize { get; set; }
		public virtual string ReExportCd { get; set; }
		public virtual DateTime? StartPackingMonth { get; set; }
		public virtual DateTime? EndPackingMonth { get; set; }
		public virtual DateTime? StartProductionMonth { get; set; }
		public virtual DateTime? EndProductionMonth { get; set; }
		public virtual string IsActive { get; set; }
</v>
      </c>
      <c r="N22" s="30" t="str">
        <f ca="1">TEXTJOIN2("
",TRUE,INDIRECT( $M$1):INDIRECT($M$3))</f>
        <v xml:space="preserve">		[StringLength(InvCkdPartPackingDetailsConsts.MaxPartNoLength)]
		public virtual string PartNo { get; set; }
		public virtual long? PartId { get; set; }
		[StringLength(InvCkdPartPackingDetailsConsts.MaxBackNoLength)]
		public virtual string BackNo { get; set; }
		[StringLength(InvCkdPartPackingDetailsConsts.MaxModuleNoLength)]
		public virtual string ModuleNo { get; set; }
		[StringLength(InvCkdPartPackingDetailsConsts.MaxRenbanLength)]
		public virtual string Renban { get; set; }
		public virtual int? BoxSize { get; set; }
		[StringLength(InvCkdPartPackingDetailsConsts.MaxReExportCdLength)]
		public virtual string ReExportCd { get; set; }
		public virtual DateTime? StartPackingMonth { get; set; }
		public virtual DateTime? EndPackingMonth { get; set; }
		public virtual DateTime? StartProductionMonth { get; set; }
		public virtual DateTime? EndProductionMonth { get; set; }
		[StringLength(InvCkdPartPackingDetailsConsts.MaxIsActiveLength)]
		public virtual string IsActive { get; set; }
</v>
      </c>
      <c r="O22" s="30" t="str">
        <f ca="1">TEXTJOIN2("
",TRUE,INDIRECT( $N$1):INDIRECT($N$3))</f>
        <v xml:space="preserve">		public virtual string PartNo { get; set; }
		public virtual string BackNo { get; set; }
		public virtual string ModuleNo { get; set; }
		public virtual string Renban { get; set; }
		public virtual string ReExportCd { get; set; }
		public virtual string IsActive { get; set; }
</v>
      </c>
      <c r="P22" s="8" t="str">
        <f ca="1">TEXTJOIN2("
",TRUE,INDIRECT( $O$1):INDIRECT($O$3))</f>
        <v xml:space="preserve">							PartNo = o.PartNo,
							PartId = o.PartId,
							BackNo = o.BackNo,
							ModuleNo = o.ModuleNo,
							Renban = o.Renban,
							BoxSize = o.BoxSize,
							ReExportCd = o.ReExportCd,
							StartPackingMonth = o.StartPackingMonth,
							EndPackingMonth = o.EndPackingMonth,
							StartProductionMonth = o.StartProductionMonth,
							EndProductionMonth = o.EndProductionMonth,
							IsActive = o.IsActive,</v>
      </c>
      <c r="T22" s="8" t="str">
        <f ca="1">TEXTJOIN2("
",TRUE,INDIRECT( $T$2):INDIRECT($T$3))</f>
        <v xml:space="preserve">								("PartNo"),
								("PartId"),
								("BackNo"),
								("ModuleNo"),
								("Renban"),
								("BoxSize"),
								("ReExportCd"),
								("StartPackingMonth"),
								("EndPackingMonth"),
								("StartProductionMonth"),
								("EndProductionMonth"),
								("IsActive"),</v>
      </c>
      <c r="V22" s="8" t="str">
        <f ca="1">TEXTJOIN2("
",TRUE,INDIRECT( $V$2):INDIRECT($V$3))</f>
        <v xml:space="preserve">								_ =&gt; _.PartNo,
								_ =&gt; _.PartId,
								_ =&gt; _.BackNo,
								_ =&gt; _.ModuleNo,
								_ =&gt; _.Renban,
								_ =&gt; _.BoxSize,
								_ =&gt; _.ReExportCd,
								_ =&gt; _.StartPackingMonth,
								_ =&gt; _.EndPackingMonth,
								_ =&gt; _.StartProductionMonth,
								_ =&gt; _.EndProductionMonth,
								_ =&gt; _.IsActive,</v>
      </c>
      <c r="W22" s="8" t="str">
        <f ca="1">TEXTJOIN2("
",TRUE,INDIRECT( $W$2):INDIRECT($W$3))</f>
        <v xml:space="preserve">				.WhereIf(!string.IsNullOrWhiteSpace(input.PartNo), e =&gt; e.PartNo.Contains(input.PartNo))
				.WhereIf(!string.IsNullOrWhiteSpace(input.BackNo), e =&gt; e.BackNo.Contains(input.BackNo))
				.WhereIf(!string.IsNullOrWhiteSpace(input.ModuleNo), e =&gt; e.ModuleNo.Contains(input.ModuleNo))
				.WhereIf(!string.IsNullOrWhiteSpace(input.Renban), e =&gt; e.Renban.Contains(input.Renban))
				.WhereIf(!string.IsNullOrWhiteSpace(input.ReExportCd), e =&gt; e.ReExportCd.Contains(input.ReExportCd))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8"/>
  <sheetViews>
    <sheetView workbookViewId="0">
      <selection activeCell="B5" sqref="B4:B5"/>
    </sheetView>
  </sheetViews>
  <sheetFormatPr defaultColWidth="8.7109375" defaultRowHeight="15" x14ac:dyDescent="0.25"/>
  <cols>
    <col min="1" max="1" width="17.7109375" customWidth="1"/>
    <col min="2" max="2" width="15.42578125" customWidth="1"/>
    <col min="3" max="3" width="16.7109375" customWidth="1"/>
    <col min="4" max="7" width="15.28515625" customWidth="1"/>
    <col min="8" max="8" width="24.42578125" customWidth="1"/>
    <col min="9" max="9" width="26.28515625" customWidth="1"/>
    <col min="10" max="10" width="22.28515625" customWidth="1"/>
    <col min="11" max="11" width="25.7109375" customWidth="1"/>
    <col min="12" max="12" width="23.7109375" customWidth="1"/>
    <col min="13" max="13" width="23.42578125" customWidth="1"/>
    <col min="14" max="15" width="20.42578125" customWidth="1"/>
    <col min="16" max="16" width="25.7109375" customWidth="1"/>
    <col min="17" max="18" width="25.42578125" customWidth="1"/>
    <col min="19" max="19" width="24" customWidth="1"/>
    <col min="20" max="20" width="19.28515625" customWidth="1"/>
    <col min="21" max="21" width="19.7109375" customWidth="1"/>
    <col min="22" max="22" width="13.7109375" customWidth="1"/>
  </cols>
  <sheetData>
    <row r="1" spans="1:22" ht="30" x14ac:dyDescent="0.25">
      <c r="A1" s="38" t="s">
        <v>208</v>
      </c>
      <c r="B1" s="39" t="s">
        <v>376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CKD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ckd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InvCkdPartPackingDetails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PartPackingDetails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partpackingdetails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InvCkdPartPackingDetailsDto, InvCkdPartPackingDetailsServiceProxy } from '@shared/service-proxies/service-proxies';
import { finalize } from 'rxjs/internal/operators/finalize';
import { CreateOrEditPartPackingDetailsModalComponent } from './create-or-edit-partpackingdetails-modal.component';
import { DatePipe } from '@angular/common';
import { FileDownloadService } from '@shared/utils/file-download.service';
import ceil from 'lodash-es/ceil';
import { Paginator } from 'primeng/paginator';
@Component({
    templateUrl: './partpackingdetails.component.html',
    styleUrls: ['./partpackingdetails.component.less'],
})
export class PartPackingDetailsComponent extends AppComponentBase implements OnInit {
    @ViewChild('createOrEditModalPartPackingDetails', { static: true }) createOrEditModalPartPackingDetails:| CreateOrEditPartPackingDetailsModalComponent|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InvCkdPartPackingDetailsDto = new InvCkdPartPackingDetailsDto();
    saveSelectedRow: InvCkdPartPackingDetailsDto = new InvCkdPartPackingDetailsDto();
    datas: InvCkdPartPackingDetailsDto = new InvCkdPartPackingDetailsDto();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partId
	backNo : string = '' ; 
	moduleNo : string = '' ; 
	renban : string = '' ; 
	boxSize
	reExportCode : string = '' ; 
	startPackingMonth
	endPackingMonth
	startProductionMonth
	endProductionMonth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InvCkdPartPackingDetailsServiceProxy,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Id'),headerTooltip: this.l('Part Id'),field: 'partId',flex: 1},
			{headerName: this.l('Back No'),headerTooltip: this.l('Back No'),field: 'backNo',flex: 1},
			{headerName: this.l('Module No'),headerTooltip: this.l('Module No'),field: 'moduleNo',flex: 1},
			{headerName: this.l('Renban'),headerTooltip: this.l('Renban'),field: 'renban',flex: 1},
			{headerName: this.l('Box Size'),headerTooltip: this.l('Box Size'),field: 'boxSize',flex: 1},
			{headerName: this.l('Re Export Code'),headerTooltip: this.l('Re Export Code'),field: 'reExportCode',flex: 1},
			{headerName: this.l('Start Packing Month'),headerTooltip: this.l('Start Packing Month'),field: 'startPackingMonth',flex: 1},
			{headerName: this.l('End Packing Month'),headerTooltip: this.l('End Packing Month'),field: 'endPackingMonth',flex: 1},
			{headerName: this.l('Start Production Month'),headerTooltip: this.l('Start Production Month'),field: 'startProductionMonth',flex: 1},
			{headerName: this.l('End Production Month'),headerTooltip: this.l('End Production Month'),field: 'endProductionMonth',flex: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this.partId,
			this.backNo,
			this.moduleNo,
			this.renban,
			this.boxSize,
			this.reExportCode,
			this.startPackingMonth,
			this.endPackingMonth,
			this.startProductionMonth,
			this.endProductionMonth,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this.partNo = '',
		this.partId = '',
		this.backNo = '',
		this.moduleNo = '',
		this.renban = '',
		this.boxSize = '',
		this.reExportCode = '',
		this.startPackingMonth = '',
		this.endPackingMonth = '',
		this.startProductionMonth = '',
		this.endProductionMonth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this.partId,
			this.backNo,
			this.moduleNo,
			this.renban,
			this.boxSize,
			this.reExportCode,
			this.startPackingMonth,
			this.endPackingMonth,
			this.startProductionMonth,
			this.endProductionMonth,
			this.isActive,
			'',
            this.paginationParams.skipCount,
            this.paginationParams.pageSize
        );
    }
    onChangeRowSelection(params: { api: { getSelectedRows: () =&gt; InvCkdPartPackingDetailsDto[] } }) {
        this.saveSelectedRow = params.api.getSelectedRows()[0] ?? new InvCkdPartPackingDetailsDto();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InvCkdPartPackingDetailsDto):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this._service.getPartPackingDetailsToExcel(
			this.partNo,
			this.partId,
			this.backNo,
			this.moduleNo,
			this.renban,
			this.boxSize,
			this.reExportCode,
			this.startPackingMonth,
			this.endPackingMonth,
			this.startProductionMonth,
			this.endProductionMonth,
			this.isActive,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Part Packing Details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[(ngModel)]='backNo' name='backNo'
									class='form-control' [placeholder]="l('Back No')"
									type='text' (keyup.enter)='searchDatas()'&gt;
								&lt;/div&gt;
								&lt;div class='input-search'&gt;
									&lt;input [(ngModel)]='moduleNo' name='moduleNo'
									class='form-control' [placeholder]="l('Module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[(ngModel)]='reExportCode' name='reExportCode'
									class='form-control' [placeholder]="l('Re Export Code')"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(click)="createOrEditModalPartPackingDetails.show()"&gt;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(click)="createOrEditModalPartPackingDetails.show(selectedRow)"&gt;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&lt;create-or-edit-partpackingdetails-modal
    #createOrEditModalPartPackingDetails
    (modalSave)="callBackDataGrid(dataParams)"
    (modalClose)="onChangeRowSelection(dataParams)"
&gt;
&lt;/create-or-edit-partpackingdetails-modal&gt;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#createOrEditModalPartPackingDetails="bs-modal"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PartPackingDetails')}}&lt;/h3&gt;
                    &lt;h3 *ngIf="!rowdata.id"&gt;{{('Create New PartPackingDetails')}}&lt;/h3&gt;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title'&gt;Back No&lt;/label&gt;
						&lt;input type='text' class='col-md-10 form-control input-text' name='BackNo' [(ngModel)]='rowdata.backNo'&gt;
					&lt;/div&gt;
					&lt;div class='col-md-12 form-group row'&gt;
						&lt;label class='col-md-2 form-control title'&gt;Module No&lt;/label&gt;
						&lt;input type='text' class='col-md-10 form-control input-text' name='ModuleNo' [(ngModel)]='rowdata.moduleNo'&gt;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title'&gt;Re Export Code&lt;/label&gt;
						&lt;input type='text' class='col-md-10 form-control input-text' name='ReExportCode' [(ngModel)]='rowdata.reExportCode'&gt;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CreateOrEditInvCkdPartPackingDetailsDto, InvCkdPartPackingDetailsServiceProxy } from '@shared/service-proxies/service-proxies';
import { BsDatepickerDirective } from 'ngx-bootstrap/datepicker';
@Component({
    selector: 'create-or-edit-partpackingdetails-modal',
    templateUrl: './create-or-edit-partpackingdetails-modal.component.html',
    styleUrls: ['./create-or-edit-partpackingdetails-modal.component.less']
    })
export class CreateOrEditPartPackingDetailsModalComponent extends AppComponentBase {
    @ViewChild('createOrEditModalPartPackingDetails',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CreateOrEditInvCkdPartPackingDetailsDto = new CreateOrEditInvCkdPartPackingDetailsDto();
    active: boolean = false;
    saving: boolean = false;
    _isActive: boolean;
    constructor(
        injector: Injector,
        private _mstwptPartPackingDetailsService: InvCkdPartPackingDetailsServiceProxy,
    ) 
    {
        super(injector);
    }
    show(rowdata?: CreateOrEditInvCkdPartPackingDetailsDto): void {
        if (!rowdata) this.rowdata = new CreateOrEditInvCkdPartPackingDetailsDto();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this._mstwptPartPackingDetailsService.createOrEdit(this.rowdata)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PartPackingDetailsRoutingModule } from './partpackingdetails-routing.module';
import { PartPackingDetailsComponent } from './partpackingdetails.component';
import { CreateOrEditPartPackingDetailsModalComponent } from './create-or-edit-partpackingdetails-modal.component';
@NgModule({
    declarations: [
       PartPackingDetailsComponent, 
        CreateOrEditPartPackingDetailsModalComponent
    ],
    imports: [
        AppSharedModule, PartPackingDetailsRoutingModule]
})
export class PartPackingDetailsModule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PartPackingDetailsComponent } from './partpackingdetails.component';
const routes: Routes = [{
    path: '',
    component: PartPackingDetailsComponent,
    pathMatch: 'full'
}];
@NgModule({
    imports: [RouterModule.forChild(routes)],
    exports: [RouterModule],
})
export class PartPackingDetailsRoutingModule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AppMenuItem("PartPackingDetails", "Pages.Inventory.CKD.PartPackingDetails", "flaticon-book",   "/app/main/inventory/ckd/partpackingdetails"),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'inventory/ckd/partpackingdetails',
    loadChildren: () =&gt; import('./inventory/ckd/partpackingdetails/partpackingdetails.module').then(m =&gt; m.PartPackingDetailsModule),
    data: { permission: 'Pages.Inventory.CKD.PartPackingDetails' }
},</v>
      </c>
      <c r="R10" s="47" t="str">
        <f>SUBSTITUTE(R9,"MstWptCalendar",$B$6)</f>
        <v>ApiServiceProxies.InvCkdPartPackingDetailsServiceProxy,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H26</v>
      </c>
      <c r="I12" s="28" t="str">
        <f>"I"&amp;COUNTA($A:$A)</f>
        <v>I26</v>
      </c>
      <c r="J12" s="28"/>
      <c r="K12" s="28" t="str">
        <f>"K"&amp;COUNTA($A:$A)</f>
        <v>K26</v>
      </c>
      <c r="L12" s="28" t="str">
        <f>"L"&amp;COUNTA($A:$A)</f>
        <v>L26</v>
      </c>
      <c r="M12" s="28"/>
      <c r="N12" s="28"/>
      <c r="O12" s="28"/>
      <c r="P12" s="28"/>
      <c r="Q12" s="28"/>
      <c r="R12" s="28"/>
      <c r="S12" s="28" t="str">
        <f>"S"&amp;COUNTA($A:$A)</f>
        <v>S26</v>
      </c>
      <c r="T12" s="28" t="str">
        <f>"T"&amp;COUNTA($A:$A)</f>
        <v>T26</v>
      </c>
      <c r="U12" s="28" t="str">
        <f>"U"&amp;COUNTA($A:$A)</f>
        <v>U26</v>
      </c>
      <c r="V12" s="28" t="str">
        <f>"V"&amp;COUNTA($A:$A)</f>
        <v>V26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this.l('Part No'),headerTooltip: this.l('Part No'),field: 'partNo',flex: 1},
			{headerName: this.l('Part Id'),headerTooltip: this.l('Part Id'),field: 'partId',flex: 1},
			{headerName: this.l('Back No'),headerTooltip: this.l('Back No'),field: 'backNo',flex: 1},
			{headerName: this.l('Module No'),headerTooltip: this.l('Module No'),field: 'moduleNo',flex: 1},
			{headerName: this.l('Renban'),headerTooltip: this.l('Renban'),field: 'renban',flex: 1},
			{headerName: this.l('Box Size'),headerTooltip: this.l('Box Size'),field: 'boxSize',flex: 1},
			{headerName: this.l('Re Export Code'),headerTooltip: this.l('Re Export Code'),field: 'reExportCode',flex: 1},
			{headerName: this.l('Start Packing Month'),headerTooltip: this.l('Start Packing Month'),field: 'startPackingMonth',flex: 1},
			{headerName: this.l('End Packing Month'),headerTooltip: this.l('End Packing Month'),field: 'endPackingMonth',flex: 1},
			{headerName: this.l('Start Production Month'),headerTooltip: this.l('Start Production Month'),field: 'startProductionMonth',flex: 1},
			{headerName: this.l('End Production Month'),headerTooltip: this.l('End Production Month'),field: 'endProductionMonth',flex: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[(ngModel)]='backNo' name='backNo'
									class='form-control' [placeholder]="l('Back No')"
									type='text' (keyup.enter)='searchDatas()'&gt;
								&lt;/div&gt;
								&lt;div class='input-search'&gt;
									&lt;input [(ngModel)]='moduleNo' name='moduleNo'
									class='form-control' [placeholder]="l('Module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[(ngModel)]='reExportCode' name='reExportCode'
									class='form-control' [placeholder]="l('Re Export Code')"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title'&gt;Back No&lt;/label&gt;
						&lt;input type='text' class='col-md-10 form-control input-text' name='BackNo' [(ngModel)]='rowdata.backNo'&gt;
					&lt;/div&gt;
					&lt;div class='col-md-12 form-group row'&gt;
						&lt;label class='col-md-2 form-control title'&gt;Module No&lt;/label&gt;
						&lt;input type='text' class='col-md-10 form-control input-text' name='ModuleNo' [(ngModel)]='rowdata.moduleNo'&gt;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title'&gt;Re Export Code&lt;/label&gt;
						&lt;input type='text' class='col-md-10 form-control input-text' name='ReExportCode' [(ngModel)]='rowdata.reExportCode'&gt;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partNo : string = '' ; 
	partId
	backNo : string = '' ; 
	moduleNo : string = '' ; 
	renban : string = '' ; 
	boxSize
	reExportCode : string = '' ; 
	startPackingMonth
	endPackingMonth
	startProductionMonth
	endProductionMonth
	isActive : string = '' ; </v>
      </c>
      <c r="T13" s="62" t="str">
        <f ca="1">TEXTJOIN2("
",TRUE,INDIRECT(T11):INDIRECT(T12))</f>
        <v xml:space="preserve">			this.partNo,
			this.partId,
			this.backNo,
			this.moduleNo,
			this.renban,
			this.boxSize,
			this.reExportCode,
			this.startPackingMonth,
			this.endPackingMonth,
			this.startProductionMonth,
			this.endProductionMonth,
			this.isActive,</v>
      </c>
      <c r="U13" s="62" t="str">
        <f ca="1">TEXTJOIN2("
",TRUE,INDIRECT(U11):INDIRECT(U12))</f>
        <v xml:space="preserve">		this.partNo = '',
		this.partId = '',
		this.backNo = '',
		this.moduleNo = '',
		this.renban = '',
		this.boxSize = '',
		this.reExportCode = '',
		this.startPackingMonth = '',
		this.endPackingMonth = '',
		this.startProductionMonth = '',
		this.endProductionMonth = '',
		this.isActive = '',</v>
      </c>
      <c r="V13" s="28" t="str">
        <f ca="1">TEXTJOIN2("
",TRUE,INDIRECT(V11):INDIRECT(V12))</f>
        <v>isActive</v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partpackingdetails.component.ts</v>
      </c>
      <c r="I14" s="37" t="str">
        <f>B8&amp;".component.html"</f>
        <v>partpackingdetails.component.html</v>
      </c>
      <c r="J14" s="36" t="str">
        <f>B8&amp;".component.less"</f>
        <v>partpackingdetails.component.less</v>
      </c>
      <c r="K14" s="37" t="str">
        <f>"create-or-edit-"&amp;B8&amp;"-modal.component.html"</f>
        <v>create-or-edit-partpackingdetails-modal.component.html</v>
      </c>
      <c r="L14" s="37" t="str">
        <f>"create-or-edit-"&amp;B8&amp;"-modal.component.ts"</f>
        <v>create-or-edit-partpackingdetails-modal.component.ts</v>
      </c>
      <c r="M14" s="37" t="str">
        <f>"create-or-edit-"&amp;B8&amp;"-modal.component.less"</f>
        <v>create-or-edit-partpackingdetails-modal.component.less</v>
      </c>
      <c r="N14" s="37" t="str">
        <f>B8&amp;".module.ts"</f>
        <v>partpackingdetails.module.ts</v>
      </c>
      <c r="O14" s="37" t="str">
        <f>B8&amp;"-routing.module.ts"</f>
        <v>partpackingdetails-routing.module.ts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356</v>
      </c>
      <c r="B15" s="28" t="str">
        <f t="shared" ref="B15" si="0">SUBSTITUTE(PROPER(A15),"_","")</f>
        <v>PartNo</v>
      </c>
      <c r="C15" s="28" t="str">
        <f t="shared" ref="C15" si="1">SUBSTITUTE(PROPER(A15),"_"," ")</f>
        <v>Part No</v>
      </c>
      <c r="D15" s="28" t="str">
        <f t="shared" ref="D15" si="2">LOWER(LEFT(B15,1))&amp;RIGHT(B15,LEN(B15) - 1)</f>
        <v>partNo</v>
      </c>
      <c r="E15" s="28" t="str">
        <f>A.Backend!H9</f>
        <v>string</v>
      </c>
      <c r="F15" s="28" t="str">
        <f>A.Backend!G9</f>
        <v>50</v>
      </c>
      <c r="G15" s="28" t="str">
        <f t="shared" ref="G15:G26" si="3">IF(E15="string"," : string = '' ; ",IF(OR(E15="DateTime",E15="TimeSpan")," : any ;",IF(E15="int"," : number = 0 ;","")))</f>
        <v xml:space="preserve"> : string = '' ; </v>
      </c>
      <c r="H15" s="35" t="str">
        <f t="shared" ref="H15:H26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this.l('Part No'),headerTooltip: this.l('Part No'),field: 'partNo',flex: 1},</v>
      </c>
      <c r="I15" s="35" t="str">
        <f t="shared" ref="I15:I26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5" s="28"/>
      <c r="K15" s="35" t="str">
        <f t="shared" ref="K15:K26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5" s="56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partNo : string = '' ; </v>
      </c>
      <c r="T15" s="28" t="str">
        <f>REPT(CHAR(9),3)&amp;"this."&amp;D15&amp;","</f>
        <v xml:space="preserve">			this.partNo,</v>
      </c>
      <c r="U15" s="28" t="str">
        <f>IF(E15="int",REPT(CHAR(9),2)&amp;"this."&amp;D15&amp;" = 0,",REPT(CHAR(9),2)&amp;"this."&amp;D15&amp;" = '',")</f>
        <v xml:space="preserve">		this.partNo = '',</v>
      </c>
      <c r="V15" s="28" t="str">
        <f t="shared" ref="V15:V26" si="8">IF(AND(E15="string",F15="1"),D15,"")</f>
        <v/>
      </c>
    </row>
    <row r="16" spans="1:22" ht="18" customHeight="1" x14ac:dyDescent="0.25">
      <c r="A16" t="s">
        <v>360</v>
      </c>
      <c r="B16" s="28" t="str">
        <f t="shared" ref="B16" si="9">SUBSTITUTE(PROPER(A16),"_","")</f>
        <v>PartId</v>
      </c>
      <c r="C16" s="28" t="str">
        <f t="shared" ref="C16" si="10">SUBSTITUTE(PROPER(A16),"_"," ")</f>
        <v>Part Id</v>
      </c>
      <c r="D16" s="28" t="str">
        <f t="shared" ref="D16" si="11">LOWER(LEFT(B16,1))&amp;RIGHT(B16,LEN(B16) - 1)</f>
        <v>partId</v>
      </c>
      <c r="E16" s="28" t="str">
        <f>A.Backend!H10</f>
        <v>long?</v>
      </c>
      <c r="F16" s="28" t="str">
        <f>A.Backend!G10</f>
        <v/>
      </c>
      <c r="G16" s="28" t="str">
        <f t="shared" si="3"/>
        <v/>
      </c>
      <c r="H16" s="35" t="str">
        <f t="shared" si="4"/>
        <v xml:space="preserve">			{headerName: this.l('Part Id'),headerTooltip: this.l('Part Id'),field: 'partId',flex: 1},</v>
      </c>
      <c r="I16" s="35" t="str">
        <f t="shared" si="5"/>
        <v/>
      </c>
      <c r="J16" s="28"/>
      <c r="K16" s="35" t="str">
        <f t="shared" si="6"/>
        <v/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6" si="13">REPT(CHAR(9),1)&amp;D16&amp;G16</f>
        <v xml:space="preserve">	partId</v>
      </c>
      <c r="T16" s="28" t="str">
        <f t="shared" ref="T16:T26" si="14">REPT(CHAR(9),3)&amp;"this."&amp;D16&amp;","</f>
        <v xml:space="preserve">			this.partId,</v>
      </c>
      <c r="U16" s="28" t="str">
        <f t="shared" ref="U16:U26" si="15">IF(E16="int",REPT(CHAR(9),2)&amp;"this."&amp;D16&amp;" = 0,",REPT(CHAR(9),2)&amp;"this."&amp;D16&amp;" = '',")</f>
        <v xml:space="preserve">		this.partId = '',</v>
      </c>
      <c r="V16" s="28" t="str">
        <f t="shared" si="8"/>
        <v/>
      </c>
    </row>
    <row r="17" spans="1:22" ht="18" customHeight="1" x14ac:dyDescent="0.25">
      <c r="A17" t="s">
        <v>363</v>
      </c>
      <c r="B17" s="28" t="str">
        <f>SUBSTITUTE(PROPER(A17),"_","")</f>
        <v>BackNo</v>
      </c>
      <c r="C17" s="28" t="str">
        <f>SUBSTITUTE(PROPER(A17),"_"," ")</f>
        <v>Back No</v>
      </c>
      <c r="D17" s="28" t="str">
        <f>LOWER(LEFT(B17,1))&amp;RIGHT(B17,LEN(B17) - 1)</f>
        <v>backNo</v>
      </c>
      <c r="E17" s="28" t="str">
        <f>A.Backend!H11</f>
        <v>string</v>
      </c>
      <c r="F17" s="28" t="str">
        <f>A.Backend!G11</f>
        <v>10</v>
      </c>
      <c r="G17" s="28" t="str">
        <f t="shared" si="3"/>
        <v xml:space="preserve"> : string = '' ; </v>
      </c>
      <c r="H17" s="35" t="str">
        <f t="shared" si="4"/>
        <v xml:space="preserve">			{headerName: this.l('Back No'),headerTooltip: this.l('Back No'),field: 'backNo',flex: 1},</v>
      </c>
      <c r="I17" s="35" t="str">
        <f t="shared" si="5"/>
        <v xml:space="preserve">								&lt;div class='input-search'&gt;
									&lt;input [(ngModel)]='backNo' name='backNo'
									class='form-control' [placeholder]="l('Back No')"
									type='text' (keyup.enter)='searchDatas()'&gt;
								&lt;/div&gt;</v>
      </c>
      <c r="J17" s="28"/>
      <c r="K17" s="35" t="str">
        <f t="shared" si="6"/>
        <v xml:space="preserve">					&lt;div class='col-md-12 form-group row'&gt;
						&lt;label class='col-md-2 form-control title'&gt;Back No&lt;/label&gt;
						&lt;input type='text' class='col-md-10 form-control input-text' name='BackNo' [(ngModel)]='rowdata.backNo'&gt;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backNo : string = '' ; </v>
      </c>
      <c r="T17" s="28" t="str">
        <f t="shared" si="14"/>
        <v xml:space="preserve">			this.backNo,</v>
      </c>
      <c r="U17" s="28" t="str">
        <f t="shared" si="15"/>
        <v xml:space="preserve">		this.backNo = '',</v>
      </c>
      <c r="V17" s="28" t="str">
        <f t="shared" si="8"/>
        <v/>
      </c>
    </row>
    <row r="18" spans="1:22" ht="15" customHeight="1" x14ac:dyDescent="0.25">
      <c r="A18" t="s">
        <v>364</v>
      </c>
      <c r="B18" s="28" t="str">
        <f t="shared" ref="B18:B21" si="16">SUBSTITUTE(PROPER(A18),"_","")</f>
        <v>ModuleNo</v>
      </c>
      <c r="C18" s="28" t="str">
        <f t="shared" ref="C18:C21" si="17">SUBSTITUTE(PROPER(A18),"_"," ")</f>
        <v>Module No</v>
      </c>
      <c r="D18" s="28" t="str">
        <f t="shared" ref="D18:D21" si="18">LOWER(LEFT(B18,1))&amp;RIGHT(B18,LEN(B18) - 1)</f>
        <v>moduleNo</v>
      </c>
      <c r="E18" s="28" t="str">
        <f>A.Backend!H12</f>
        <v>string</v>
      </c>
      <c r="F18" s="28" t="str">
        <f>A.Backend!G12</f>
        <v>10</v>
      </c>
      <c r="G18" s="28" t="str">
        <f t="shared" si="3"/>
        <v xml:space="preserve"> : string = '' ; </v>
      </c>
      <c r="H18" s="35" t="str">
        <f t="shared" si="4"/>
        <v xml:space="preserve">			{headerName: this.l('Module No'),headerTooltip: this.l('Module No'),field: 'moduleNo',flex: 1},</v>
      </c>
      <c r="I18" s="35" t="str">
        <f t="shared" si="5"/>
        <v xml:space="preserve">								&lt;div class='input-search'&gt;
									&lt;input [(ngModel)]='moduleNo' name='moduleNo'
									class='form-control' [placeholder]="l('Module No')"
									type='text' (keyup.enter)='searchDatas()'&gt;
								&lt;/div&gt;</v>
      </c>
      <c r="J18" s="28"/>
      <c r="K18" s="35" t="str">
        <f t="shared" si="6"/>
        <v xml:space="preserve">					&lt;div class='col-md-12 form-group row'&gt;
						&lt;label class='col-md-2 form-control title'&gt;Module No&lt;/label&gt;
						&lt;input type='text' class='col-md-10 form-control input-text' name='ModuleNo' [(ngModel)]='rowdata.moduleNo'&gt;
					&lt;/div&gt;</v>
      </c>
      <c r="L18" s="56" t="str">
        <f t="shared" ref="L18:L21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moduleNo : string = '' ; </v>
      </c>
      <c r="T18" s="28" t="str">
        <f t="shared" si="14"/>
        <v xml:space="preserve">			this.moduleNo,</v>
      </c>
      <c r="U18" s="28" t="str">
        <f t="shared" si="15"/>
        <v xml:space="preserve">		this.moduleNo = '',</v>
      </c>
      <c r="V18" s="28" t="str">
        <f t="shared" si="8"/>
        <v/>
      </c>
    </row>
    <row r="19" spans="1:22" ht="18" customHeight="1" x14ac:dyDescent="0.25">
      <c r="A19" t="s">
        <v>365</v>
      </c>
      <c r="B19" s="28" t="str">
        <f t="shared" si="16"/>
        <v>Renban</v>
      </c>
      <c r="C19" s="28" t="str">
        <f t="shared" si="17"/>
        <v>Renban</v>
      </c>
      <c r="D19" s="28" t="str">
        <f t="shared" si="18"/>
        <v>renban</v>
      </c>
      <c r="E19" s="28" t="str">
        <f>A.Backend!H13</f>
        <v>string</v>
      </c>
      <c r="F19" s="28" t="str">
        <f>A.Backend!G13</f>
        <v>10</v>
      </c>
      <c r="G19" s="28" t="str">
        <f t="shared" si="3"/>
        <v xml:space="preserve"> : string = '' ; </v>
      </c>
      <c r="H19" s="35" t="str">
        <f t="shared" si="4"/>
        <v xml:space="preserve">			{headerName: this.l('Renban'),headerTooltip: this.l('Renban'),field: 'renban',flex: 1},</v>
      </c>
      <c r="I19" s="35" t="str">
        <f t="shared" si="5"/>
        <v xml:space="preserve">								&lt;div class='input-search'&gt;
									&lt;input [(ngModel)]='renban' name='renban'
									class='form-control' [placeholder]="l('Renban')"
									type='text' (keyup.enter)='searchDatas()'&gt;
								&lt;/div&gt;</v>
      </c>
      <c r="J19" s="28"/>
      <c r="K19" s="35" t="str">
        <f t="shared" si="6"/>
        <v xml:space="preserve">					&lt;div class='col-md-12 form-group row'&gt;
						&lt;label class='col-md-2 form-control title'&gt;Renban&lt;/label&gt;
						&lt;input type='text' class='col-md-10 form-control input-text' name='Renban' [(ngModel)]='rowdata.renban'&gt;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3"/>
        <v xml:space="preserve">	renban : string = '' ; </v>
      </c>
      <c r="T19" s="28" t="str">
        <f t="shared" si="14"/>
        <v xml:space="preserve">			this.renban,</v>
      </c>
      <c r="U19" s="28" t="str">
        <f t="shared" si="15"/>
        <v xml:space="preserve">		this.renban = '',</v>
      </c>
      <c r="V19" s="28" t="str">
        <f t="shared" si="8"/>
        <v/>
      </c>
    </row>
    <row r="20" spans="1:22" ht="15" customHeight="1" x14ac:dyDescent="0.25">
      <c r="A20" t="s">
        <v>366</v>
      </c>
      <c r="B20" s="28" t="str">
        <f t="shared" si="16"/>
        <v>BoxSize</v>
      </c>
      <c r="C20" s="28" t="str">
        <f t="shared" si="17"/>
        <v>Box Size</v>
      </c>
      <c r="D20" s="28" t="str">
        <f t="shared" si="18"/>
        <v>boxSize</v>
      </c>
      <c r="E20" s="28" t="str">
        <f>A.Backend!H14</f>
        <v>int?</v>
      </c>
      <c r="F20" s="28" t="str">
        <f>A.Backend!G14</f>
        <v/>
      </c>
      <c r="G20" s="28" t="str">
        <f t="shared" si="3"/>
        <v/>
      </c>
      <c r="H20" s="35" t="str">
        <f t="shared" si="4"/>
        <v xml:space="preserve">			{headerName: this.l('Box Size'),headerTooltip: this.l('Box Size'),field: 'boxSize',flex: 1},</v>
      </c>
      <c r="I20" s="35" t="str">
        <f t="shared" si="5"/>
        <v/>
      </c>
      <c r="J20" s="28"/>
      <c r="K20" s="35" t="str">
        <f t="shared" si="6"/>
        <v/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3"/>
        <v xml:space="preserve">	boxSize</v>
      </c>
      <c r="T20" s="28" t="str">
        <f t="shared" si="14"/>
        <v xml:space="preserve">			this.boxSize,</v>
      </c>
      <c r="U20" s="28" t="str">
        <f t="shared" si="15"/>
        <v xml:space="preserve">		this.boxSize = '',</v>
      </c>
      <c r="V20" s="28" t="str">
        <f t="shared" si="8"/>
        <v/>
      </c>
    </row>
    <row r="21" spans="1:22" ht="18" customHeight="1" x14ac:dyDescent="0.25">
      <c r="A21" t="s">
        <v>367</v>
      </c>
      <c r="B21" s="28" t="str">
        <f t="shared" si="16"/>
        <v>ReExportCode</v>
      </c>
      <c r="C21" s="28" t="str">
        <f t="shared" si="17"/>
        <v>Re Export Code</v>
      </c>
      <c r="D21" s="28" t="str">
        <f t="shared" si="18"/>
        <v>reExportCode</v>
      </c>
      <c r="E21" s="28" t="str">
        <f>A.Backend!H15</f>
        <v>string</v>
      </c>
      <c r="F21" s="28" t="str">
        <f>A.Backend!G15</f>
        <v>10</v>
      </c>
      <c r="G21" s="28" t="str">
        <f t="shared" si="3"/>
        <v xml:space="preserve"> : string = '' ; </v>
      </c>
      <c r="H21" s="35" t="str">
        <f t="shared" si="4"/>
        <v xml:space="preserve">			{headerName: this.l('Re Export Code'),headerTooltip: this.l('Re Export Code'),field: 'reExportCode',flex: 1},</v>
      </c>
      <c r="I21" s="35" t="str">
        <f t="shared" si="5"/>
        <v xml:space="preserve">								&lt;div class='input-search'&gt;
									&lt;input [(ngModel)]='reExportCode' name='reExportCode'
									class='form-control' [placeholder]="l('Re Export Code')"
									type='text' (keyup.enter)='searchDatas()'&gt;
								&lt;/div&gt;</v>
      </c>
      <c r="J21" s="28"/>
      <c r="K21" s="35" t="str">
        <f t="shared" si="6"/>
        <v xml:space="preserve">					&lt;div class='col-md-12 form-group row'&gt;
						&lt;label class='col-md-2 form-control title'&gt;Re Export Code&lt;/label&gt;
						&lt;input type='text' class='col-md-10 form-control input-text' name='ReExportCode' [(ngModel)]='rowdata.reExportCode'&gt;
					&lt;/div&gt;</v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si="13"/>
        <v xml:space="preserve">	reExportCode : string = '' ; </v>
      </c>
      <c r="T21" s="28" t="str">
        <f t="shared" si="14"/>
        <v xml:space="preserve">			this.reExportCode,</v>
      </c>
      <c r="U21" s="28" t="str">
        <f t="shared" si="15"/>
        <v xml:space="preserve">		this.reExportCode = '',</v>
      </c>
      <c r="V21" s="28" t="str">
        <f t="shared" si="8"/>
        <v/>
      </c>
    </row>
    <row r="22" spans="1:22" ht="18" customHeight="1" x14ac:dyDescent="0.25">
      <c r="A22" t="s">
        <v>368</v>
      </c>
      <c r="B22" s="28" t="str">
        <f>SUBSTITUTE(PROPER(A22),"_","")</f>
        <v>StartPackingMonth</v>
      </c>
      <c r="C22" s="28" t="str">
        <f>SUBSTITUTE(PROPER(A22),"_"," ")</f>
        <v>Start Packing Month</v>
      </c>
      <c r="D22" s="28" t="str">
        <f>LOWER(LEFT(B22,1))&amp;RIGHT(B22,LEN(B22) - 1)</f>
        <v>startPackingMonth</v>
      </c>
      <c r="E22" s="28" t="str">
        <f>A.Backend!H16</f>
        <v>DateTime?</v>
      </c>
      <c r="F22" s="28" t="str">
        <f>A.Backend!G16</f>
        <v>100</v>
      </c>
      <c r="G22" s="28" t="str">
        <f t="shared" si="3"/>
        <v/>
      </c>
      <c r="H22" s="35" t="str">
        <f t="shared" si="4"/>
        <v xml:space="preserve">			{headerName: this.l('Start Packing Month'),headerTooltip: this.l('Start Packing Month'),field: 'startPackingMonth',flex: 1},</v>
      </c>
      <c r="I22" s="35" t="str">
        <f t="shared" si="5"/>
        <v/>
      </c>
      <c r="J22" s="28"/>
      <c r="K22" s="35" t="str">
        <f t="shared" si="6"/>
        <v/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13"/>
        <v xml:space="preserve">	startPackingMonth</v>
      </c>
      <c r="T22" s="28" t="str">
        <f t="shared" si="14"/>
        <v xml:space="preserve">			this.startPackingMonth,</v>
      </c>
      <c r="U22" s="28" t="str">
        <f t="shared" si="15"/>
        <v xml:space="preserve">		this.startPackingMonth = '',</v>
      </c>
      <c r="V22" s="28" t="str">
        <f t="shared" si="8"/>
        <v/>
      </c>
    </row>
    <row r="23" spans="1:22" ht="15" customHeight="1" x14ac:dyDescent="0.25">
      <c r="A23" t="s">
        <v>369</v>
      </c>
      <c r="B23" s="28" t="str">
        <f t="shared" ref="B23:B25" si="20">SUBSTITUTE(PROPER(A23),"_","")</f>
        <v>EndPackingMonth</v>
      </c>
      <c r="C23" s="28" t="str">
        <f t="shared" ref="C23:C25" si="21">SUBSTITUTE(PROPER(A23),"_"," ")</f>
        <v>End Packing Month</v>
      </c>
      <c r="D23" s="28" t="str">
        <f t="shared" ref="D23:D25" si="22">LOWER(LEFT(B23,1))&amp;RIGHT(B23,LEN(B23) - 1)</f>
        <v>endPackingMonth</v>
      </c>
      <c r="E23" s="28" t="str">
        <f>A.Backend!H17</f>
        <v>DateTime?</v>
      </c>
      <c r="F23" s="28" t="str">
        <f>A.Backend!G17</f>
        <v>18,4</v>
      </c>
      <c r="G23" s="28" t="str">
        <f t="shared" si="3"/>
        <v/>
      </c>
      <c r="H23" s="35" t="str">
        <f t="shared" si="4"/>
        <v xml:space="preserve">			{headerName: this.l('End Packing Month'),headerTooltip: this.l('End Packing Month'),field: 'endPackingMonth',flex: 1},</v>
      </c>
      <c r="I23" s="35" t="str">
        <f t="shared" si="5"/>
        <v/>
      </c>
      <c r="J23" s="28"/>
      <c r="K23" s="35" t="str">
        <f t="shared" si="6"/>
        <v/>
      </c>
      <c r="L23" s="56" t="str">
        <f t="shared" ref="L23:L25" si="23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13"/>
        <v xml:space="preserve">	endPackingMonth</v>
      </c>
      <c r="T23" s="28" t="str">
        <f t="shared" si="14"/>
        <v xml:space="preserve">			this.endPackingMonth,</v>
      </c>
      <c r="U23" s="28" t="str">
        <f t="shared" si="15"/>
        <v xml:space="preserve">		this.endPackingMonth = '',</v>
      </c>
      <c r="V23" s="28" t="str">
        <f t="shared" si="8"/>
        <v/>
      </c>
    </row>
    <row r="24" spans="1:22" ht="18" customHeight="1" x14ac:dyDescent="0.25">
      <c r="A24" t="s">
        <v>370</v>
      </c>
      <c r="B24" s="28" t="str">
        <f t="shared" si="20"/>
        <v>StartProductionMonth</v>
      </c>
      <c r="C24" s="28" t="str">
        <f t="shared" si="21"/>
        <v>Start Production Month</v>
      </c>
      <c r="D24" s="28" t="str">
        <f t="shared" si="22"/>
        <v>startProductionMonth</v>
      </c>
      <c r="E24" s="28" t="str">
        <f>A.Backend!H18</f>
        <v>DateTime?</v>
      </c>
      <c r="F24" s="28" t="str">
        <f>A.Backend!G18</f>
        <v>10</v>
      </c>
      <c r="G24" s="28" t="str">
        <f t="shared" si="3"/>
        <v/>
      </c>
      <c r="H24" s="35" t="str">
        <f t="shared" si="4"/>
        <v xml:space="preserve">			{headerName: this.l('Start Production Month'),headerTooltip: this.l('Start Production Month'),field: 'startProductionMonth',flex: 1},</v>
      </c>
      <c r="I24" s="35" t="str">
        <f t="shared" si="5"/>
        <v/>
      </c>
      <c r="J24" s="28"/>
      <c r="K24" s="35" t="str">
        <f t="shared" si="6"/>
        <v/>
      </c>
      <c r="L24" s="56" t="str">
        <f t="shared" si="23"/>
        <v/>
      </c>
      <c r="M24" s="28"/>
      <c r="N24" s="28"/>
      <c r="O24" s="28"/>
      <c r="P24" s="28"/>
      <c r="Q24" s="28"/>
      <c r="R24" s="28"/>
      <c r="S24" s="28" t="str">
        <f t="shared" si="13"/>
        <v xml:space="preserve">	startProductionMonth</v>
      </c>
      <c r="T24" s="28" t="str">
        <f t="shared" si="14"/>
        <v xml:space="preserve">			this.startProductionMonth,</v>
      </c>
      <c r="U24" s="28" t="str">
        <f t="shared" si="15"/>
        <v xml:space="preserve">		this.startProductionMonth = '',</v>
      </c>
      <c r="V24" s="28" t="str">
        <f t="shared" si="8"/>
        <v/>
      </c>
    </row>
    <row r="25" spans="1:22" ht="15" customHeight="1" x14ac:dyDescent="0.25">
      <c r="A25" t="s">
        <v>371</v>
      </c>
      <c r="B25" s="28" t="str">
        <f t="shared" si="20"/>
        <v>EndProductionMonth</v>
      </c>
      <c r="C25" s="28" t="str">
        <f t="shared" si="21"/>
        <v>End Production Month</v>
      </c>
      <c r="D25" s="28" t="str">
        <f t="shared" si="22"/>
        <v>endProductionMonth</v>
      </c>
      <c r="E25" s="28" t="str">
        <f>A.Backend!H19</f>
        <v>DateTime?</v>
      </c>
      <c r="F25" s="28" t="str">
        <f>A.Backend!G19</f>
        <v>10</v>
      </c>
      <c r="G25" s="28" t="str">
        <f t="shared" si="3"/>
        <v/>
      </c>
      <c r="H25" s="35" t="str">
        <f t="shared" si="4"/>
        <v xml:space="preserve">			{headerName: this.l('End Production Month'),headerTooltip: this.l('End Production Month'),field: 'endProductionMonth',flex: 1},</v>
      </c>
      <c r="I25" s="35" t="str">
        <f t="shared" si="5"/>
        <v/>
      </c>
      <c r="J25" s="28"/>
      <c r="K25" s="35" t="str">
        <f t="shared" si="6"/>
        <v/>
      </c>
      <c r="L25" s="56" t="str">
        <f t="shared" si="23"/>
        <v/>
      </c>
      <c r="M25" s="28"/>
      <c r="N25" s="28"/>
      <c r="O25" s="28"/>
      <c r="P25" s="28"/>
      <c r="Q25" s="28"/>
      <c r="R25" s="28"/>
      <c r="S25" s="28" t="str">
        <f t="shared" si="13"/>
        <v xml:space="preserve">	endProductionMonth</v>
      </c>
      <c r="T25" s="28" t="str">
        <f t="shared" si="14"/>
        <v xml:space="preserve">			this.endProductionMonth,</v>
      </c>
      <c r="U25" s="28" t="str">
        <f t="shared" si="15"/>
        <v xml:space="preserve">		this.endProductionMonth = '',</v>
      </c>
      <c r="V25" s="28" t="str">
        <f t="shared" si="8"/>
        <v/>
      </c>
    </row>
    <row r="26" spans="1:22" ht="18" customHeight="1" x14ac:dyDescent="0.25">
      <c r="A26" t="s">
        <v>319</v>
      </c>
      <c r="B26" s="28" t="str">
        <f t="shared" ref="B26" si="24">SUBSTITUTE(PROPER(A26),"_","")</f>
        <v>IsActive</v>
      </c>
      <c r="C26" s="28" t="str">
        <f t="shared" ref="C26" si="25">SUBSTITUTE(PROPER(A26),"_"," ")</f>
        <v>Is Active</v>
      </c>
      <c r="D26" s="28" t="str">
        <f t="shared" ref="D26" si="26">LOWER(LEFT(B26,1))&amp;RIGHT(B26,LEN(B26) - 1)</f>
        <v>isActive</v>
      </c>
      <c r="E26" s="28" t="str">
        <f>A.Backend!H20</f>
        <v>string</v>
      </c>
      <c r="F26" s="28" t="str">
        <f>A.Backend!G20</f>
        <v>1</v>
      </c>
      <c r="G26" s="28" t="str">
        <f t="shared" si="3"/>
        <v xml:space="preserve"> : string = '' ; </v>
      </c>
      <c r="H26" s="35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6" s="35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6" s="28"/>
      <c r="K26" s="35" t="str">
        <f t="shared" si="6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6" s="56" t="str">
        <f t="shared" ref="L26" si="27">IF(E26="DateTime",
REPT(CHAR(9),2)&amp;"const dateValue =  this.rowdata."&amp;D26&amp;" ? new Date(this.rowdata."&amp;D26&amp;"?.toString()) : new Date();
"&amp;REPT(CHAR(9),2)&amp;"this.datepicker?.bsValueChange.emit(dateValue);","")</f>
        <v/>
      </c>
      <c r="M26" s="28"/>
      <c r="N26" s="28"/>
      <c r="O26" s="28"/>
      <c r="P26" s="28"/>
      <c r="Q26" s="28"/>
      <c r="R26" s="28"/>
      <c r="S26" s="28" t="str">
        <f t="shared" si="13"/>
        <v xml:space="preserve">	isActive : string = '' ; </v>
      </c>
      <c r="T26" s="28" t="str">
        <f t="shared" si="14"/>
        <v xml:space="preserve">			this.isActive,</v>
      </c>
      <c r="U26" s="28" t="str">
        <f t="shared" si="15"/>
        <v xml:space="preserve">		this.isActive = '',</v>
      </c>
      <c r="V26" s="28" t="str">
        <f t="shared" si="8"/>
        <v>isActive</v>
      </c>
    </row>
    <row r="28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7109375" defaultRowHeight="15" x14ac:dyDescent="0.25"/>
  <cols>
    <col min="1" max="1" width="22.42578125" bestFit="1" customWidth="1"/>
    <col min="2" max="2" width="29.71093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355</v>
      </c>
    </row>
    <row r="7" spans="1:2" x14ac:dyDescent="0.25">
      <c r="A7" t="s">
        <v>24</v>
      </c>
      <c r="B7" t="s">
        <v>350</v>
      </c>
    </row>
    <row r="8" spans="1:2" x14ac:dyDescent="0.25">
      <c r="A8" t="s">
        <v>4</v>
      </c>
      <c r="B8" t="s">
        <v>350</v>
      </c>
    </row>
    <row r="9" spans="1:2" x14ac:dyDescent="0.25">
      <c r="A9" t="s">
        <v>0</v>
      </c>
      <c r="B9" t="s">
        <v>351</v>
      </c>
    </row>
    <row r="10" spans="1:2" x14ac:dyDescent="0.25">
      <c r="A10" t="s">
        <v>25</v>
      </c>
      <c r="B10" t="s">
        <v>354</v>
      </c>
    </row>
    <row r="11" spans="1:2" x14ac:dyDescent="0.25">
      <c r="A11" t="s">
        <v>26</v>
      </c>
      <c r="B11" t="s">
        <v>354</v>
      </c>
    </row>
    <row r="12" spans="1:2" x14ac:dyDescent="0.25">
      <c r="A12" t="s">
        <v>27</v>
      </c>
      <c r="B12" t="s">
        <v>354</v>
      </c>
    </row>
    <row r="13" spans="1:2" x14ac:dyDescent="0.25">
      <c r="A13" t="s">
        <v>28</v>
      </c>
      <c r="B13" t="s">
        <v>354</v>
      </c>
    </row>
    <row r="14" spans="1:2" x14ac:dyDescent="0.25">
      <c r="A14" t="s">
        <v>29</v>
      </c>
      <c r="B14" t="s">
        <v>354</v>
      </c>
    </row>
    <row r="15" spans="1:2" x14ac:dyDescent="0.25">
      <c r="A15" t="s">
        <v>30</v>
      </c>
      <c r="B15" t="s">
        <v>354</v>
      </c>
    </row>
    <row r="16" spans="1:2" x14ac:dyDescent="0.25">
      <c r="A16" t="s">
        <v>31</v>
      </c>
      <c r="B16" t="s">
        <v>352</v>
      </c>
    </row>
    <row r="17" spans="1:2" x14ac:dyDescent="0.25">
      <c r="A17" t="s">
        <v>3</v>
      </c>
      <c r="B17" t="s">
        <v>352</v>
      </c>
    </row>
    <row r="18" spans="1:2" x14ac:dyDescent="0.25">
      <c r="A18" t="s">
        <v>33</v>
      </c>
      <c r="B18" t="s">
        <v>352</v>
      </c>
    </row>
    <row r="19" spans="1:2" x14ac:dyDescent="0.25">
      <c r="A19" t="s">
        <v>2</v>
      </c>
      <c r="B19" t="s">
        <v>352</v>
      </c>
    </row>
    <row r="20" spans="1:2" x14ac:dyDescent="0.25">
      <c r="A20" t="s">
        <v>263</v>
      </c>
      <c r="B20" t="s">
        <v>353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71093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2023-06-06T02:55:21Z</dcterms:modified>
</cp:coreProperties>
</file>
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5" l="1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25" i="1"/>
  <c r="G25" i="1"/>
  <c r="F31" i="5" s="1"/>
  <c r="E25" i="1"/>
  <c r="H25" i="1" s="1"/>
  <c r="E31" i="5" s="1"/>
  <c r="D25" i="1"/>
  <c r="T25" i="1" s="1"/>
  <c r="L24" i="1"/>
  <c r="G24" i="1"/>
  <c r="F30" i="5" s="1"/>
  <c r="E24" i="1"/>
  <c r="H24" i="1" s="1"/>
  <c r="E30" i="5" s="1"/>
  <c r="D24" i="1"/>
  <c r="V24" i="1" s="1"/>
  <c r="K30" i="5" l="1"/>
  <c r="L30" i="5"/>
  <c r="I30" i="5"/>
  <c r="G30" i="5"/>
  <c r="S30" i="5" s="1"/>
  <c r="H30" i="5"/>
  <c r="V30" i="5"/>
  <c r="U30" i="5"/>
  <c r="G31" i="5"/>
  <c r="P25" i="1"/>
  <c r="V25" i="1"/>
  <c r="O25" i="1"/>
  <c r="N25" i="1"/>
  <c r="M25" i="1"/>
  <c r="W25" i="1"/>
  <c r="J25" i="1"/>
  <c r="I25" i="1"/>
  <c r="W24" i="1"/>
  <c r="J24" i="1"/>
  <c r="I24" i="1"/>
  <c r="O24" i="1"/>
  <c r="N24" i="1"/>
  <c r="M24" i="1"/>
  <c r="P24" i="1"/>
  <c r="T24" i="1"/>
  <c r="B7" i="5"/>
  <c r="B6" i="5"/>
  <c r="B2" i="5"/>
  <c r="B8" i="5" l="1"/>
  <c r="B3" i="5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K29" i="5" l="1"/>
  <c r="I29" i="5"/>
  <c r="H29" i="5"/>
  <c r="V29" i="5"/>
  <c r="L29" i="5"/>
  <c r="G29" i="5"/>
  <c r="S29" i="5" s="1"/>
  <c r="U29" i="5"/>
  <c r="G25" i="5"/>
  <c r="S25" i="5" s="1"/>
  <c r="V25" i="5"/>
  <c r="U25" i="5"/>
  <c r="K25" i="5"/>
  <c r="I25" i="5"/>
  <c r="L25" i="5"/>
  <c r="H25" i="5"/>
  <c r="L21" i="5"/>
  <c r="K21" i="5"/>
  <c r="I21" i="5"/>
  <c r="H21" i="5"/>
  <c r="V21" i="5"/>
  <c r="G21" i="5"/>
  <c r="S21" i="5" s="1"/>
  <c r="U21" i="5"/>
  <c r="U23" i="5"/>
  <c r="K23" i="5"/>
  <c r="H23" i="5"/>
  <c r="I23" i="5"/>
  <c r="G23" i="5"/>
  <c r="S23" i="5" s="1"/>
  <c r="V23" i="5"/>
  <c r="L23" i="5"/>
  <c r="K20" i="5"/>
  <c r="I20" i="5"/>
  <c r="H20" i="5"/>
  <c r="G20" i="5"/>
  <c r="S20" i="5" s="1"/>
  <c r="L20" i="5"/>
  <c r="U20" i="5"/>
  <c r="V20" i="5"/>
  <c r="I27" i="5"/>
  <c r="H27" i="5"/>
  <c r="G27" i="5"/>
  <c r="S27" i="5" s="1"/>
  <c r="V27" i="5"/>
  <c r="U27" i="5"/>
  <c r="K27" i="5"/>
  <c r="L27" i="5"/>
  <c r="I20" i="1"/>
  <c r="E26" i="5"/>
  <c r="K28" i="5"/>
  <c r="I28" i="5"/>
  <c r="H28" i="5"/>
  <c r="G28" i="5"/>
  <c r="S28" i="5" s="1"/>
  <c r="U28" i="5"/>
  <c r="V28" i="5"/>
  <c r="L28" i="5"/>
  <c r="L22" i="5"/>
  <c r="K22" i="5"/>
  <c r="I22" i="5"/>
  <c r="G22" i="5"/>
  <c r="S22" i="5" s="1"/>
  <c r="H22" i="5"/>
  <c r="V22" i="5"/>
  <c r="U22" i="5"/>
  <c r="L24" i="5"/>
  <c r="V24" i="5"/>
  <c r="U24" i="5"/>
  <c r="I24" i="5"/>
  <c r="K24" i="5"/>
  <c r="H24" i="5"/>
  <c r="G24" i="5"/>
  <c r="S24" i="5" s="1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17" i="5"/>
  <c r="B17" i="5"/>
  <c r="D17" i="5" s="1"/>
  <c r="T17" i="5" s="1"/>
  <c r="C16" i="5"/>
  <c r="B16" i="5"/>
  <c r="D16" i="5" s="1"/>
  <c r="T16" i="5" s="1"/>
  <c r="L26" i="5" l="1"/>
  <c r="H26" i="5"/>
  <c r="G26" i="5"/>
  <c r="S26" i="5" s="1"/>
  <c r="V26" i="5"/>
  <c r="U26" i="5"/>
  <c r="K26" i="5"/>
  <c r="I26" i="5"/>
  <c r="B6" i="1"/>
  <c r="G13" i="1"/>
  <c r="F19" i="5" s="1"/>
  <c r="E13" i="1"/>
  <c r="H13" i="1" s="1"/>
  <c r="E19" i="5" s="1"/>
  <c r="D13" i="1"/>
  <c r="V13" i="1" s="1"/>
  <c r="I19" i="5" l="1"/>
  <c r="H19" i="5"/>
  <c r="G19" i="5"/>
  <c r="S19" i="5" s="1"/>
  <c r="V19" i="5"/>
  <c r="U19" i="5"/>
  <c r="K19" i="5"/>
  <c r="L19" i="5"/>
  <c r="W13" i="1"/>
  <c r="N13" i="1"/>
  <c r="I13" i="1"/>
  <c r="M13" i="1"/>
  <c r="O13" i="1"/>
  <c r="J13" i="1"/>
  <c r="L13" i="1"/>
  <c r="P13" i="1"/>
  <c r="T13" i="1"/>
  <c r="C31" i="5"/>
  <c r="B31" i="5"/>
  <c r="D31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K31" i="5" l="1"/>
  <c r="H31" i="5"/>
  <c r="T31" i="5"/>
  <c r="V31" i="5"/>
  <c r="U31" i="5"/>
  <c r="I31" i="5"/>
  <c r="S31" i="5"/>
  <c r="H18" i="5"/>
  <c r="G18" i="5"/>
  <c r="S18" i="5" s="1"/>
  <c r="V18" i="5"/>
  <c r="U18" i="5"/>
  <c r="K18" i="5"/>
  <c r="I18" i="5"/>
  <c r="L18" i="5"/>
  <c r="G17" i="5"/>
  <c r="S17" i="5" s="1"/>
  <c r="V17" i="5"/>
  <c r="U17" i="5"/>
  <c r="K17" i="5"/>
  <c r="I17" i="5"/>
  <c r="H17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I16" i="5"/>
  <c r="K16" i="5"/>
  <c r="H16" i="5"/>
  <c r="G16" i="5"/>
  <c r="S16" i="5" s="1"/>
  <c r="L16" i="5"/>
  <c r="L31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7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7" i="1"/>
  <c r="T7" i="1" l="1"/>
  <c r="W27" i="1"/>
  <c r="G6" i="1" l="1"/>
  <c r="H13" i="5"/>
  <c r="I13" i="5"/>
  <c r="V13" i="5"/>
  <c r="U13" i="5"/>
  <c r="K13" i="5"/>
  <c r="L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N27" i="1"/>
  <c r="J27" i="1"/>
  <c r="O27" i="1"/>
  <c r="P27" i="1"/>
  <c r="I27" i="1"/>
  <c r="Q7" i="1" l="1"/>
  <c r="M68" i="3" s="1"/>
  <c r="L7" i="1"/>
  <c r="G68" i="3" s="1"/>
  <c r="K68" i="3"/>
  <c r="J68" i="3"/>
  <c r="M27" i="1"/>
  <c r="K2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<sst xmlns="http://schemas.openxmlformats.org/spreadsheetml/2006/main" count="499" uniqueCount="383">
  <si>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</si>
  <si>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</si>
  <si>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</si>
  <si>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</si>
  <si>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</si>
  <si>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</si>
  <si>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</si>
  <si>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</si>
  <si>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</si>
  <si>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</si>
  <si>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</si>
  <si>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</si>
  <si>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</si>
  <si>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</si>
  <si>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</si>
  <si>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</si>
  <si>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</si>
  <si>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</si>
  <si>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</si>
  <si>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</si>
  <si>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</si>
  <si>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</si>
  <si>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</si>
  <si>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</si>
  <si>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</si>
  <si>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</si>
  <si>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</si>
  <si>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</si>
  <si>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</si>
  <si>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</si>
  <si>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</si>
  <si>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</si>
  <si>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</si>
  <si>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</si>
  <si>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</si>
  <si>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</si>
  <si>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</si>
  <si>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</si>
  <si>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</si>
  <si>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</si>
  <si>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</si>
  <si>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</si>
  <si>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</si>
  <si>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</si>
  <si>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</si>
  <si>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</si>
  <si>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</si>
  <si>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</si>
  <si>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</si>
  <si>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</si>
  <si>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</si>
  <si>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</si>
  <si>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</si>
  <si>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</si>
  <si>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</si>
  <si>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</si>
  <si>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</si>
  <si>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</si>
  <si>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</si>
  <si>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</si>
  <si>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</si>
  <si>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</si>
  <si>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</si>
  <si>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</si>
  <si>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</si>
  <si>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</si>
  <si>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</si>
  <si>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</si>
  <si>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</si>
  <si>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</si>
  <si>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</si>
  <si>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</si>
  <si>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</si>
  <si>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</si>
  <si>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</si>
  <si>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</si>
  <si>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</si>
  <si>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</si>
  <si>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</si>
  <si>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</si>
  <si>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</si>
  <si>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</si>
  <si>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</si>
  <si>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</si>
  <si>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</si>
  <si>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</si>
  <si>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</si>
  <si>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</si>
  <si>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</si>
  <si>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</si>
  <si>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</si>
  <si>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</si>
  <si>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</si>
  <si>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</si>
  <si>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</si>
  <si>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</si>
  <si>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</si>
  <si>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</si>
  <si>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</si>
  <si>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</si>
  <si>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</si>
  <si>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</si>
  <si>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</si>
  <si>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</si>
  <si>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</si>
  <si>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</si>
  <si>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</si>
  <si>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</si>
  <si>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</si>
  <si>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</si>
  <si>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</si>
  <si>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</si>
  <si>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</si>
  <si>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</si>
  <si>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</si>
  <si>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</si>
  <si>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</si>
  <si>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</si>
  <si>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</si>
  <si>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</si>
  <si>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</si>
  <si>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</si>
  <si>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</si>
  <si>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</si>
  <si>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</si>
  <si>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</si>
  <si>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</si>
  <si>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</si>
  <si>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</si>
  <si>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</si>
  <si>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</si>
  <si>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</si>
  <si>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</si>
  <si>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</si>
  <si>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</si>
  <si>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</si>
  <si>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</si>
  <si>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</si>
  <si>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</si>
  <si>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</si>
  <si>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</si>
  <si>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</si>
  <si>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</si>
  <si>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</si>
  <si>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</si>
  <si>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</si>
  <si>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</si>
  <si>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</si>
  <si>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</si>
  <si>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</si>
  <si>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</si>
  <si>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</si>
  <si>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</si>
  <si>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</si>
  <si>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</si>
  <si>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</si>
  <si>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</si>
  <si>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</si>
  <si>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</si>
  <si>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</si>
  <si>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</si>
  <si>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</si>
  <si>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</si>
  <si>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</si>
  <si>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</si>
  <si>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</si>
  <si>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</si>
  <si>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</si>
  <si>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</si>
  <si>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</si>
  <si>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</si>
  <si>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</si>
  <si>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</si>
  <si>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</si>
  <si>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</si>
  <si>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</si>
  <si>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</si>
  <si>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</si>
  <si>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</si>
  <si>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</si>
  <si>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</si>
  <si>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</si>
  <si>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</si>
  <si>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</si>
  <si>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</si>
  <si>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</si>
  <si>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</si>
  <si>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</si>
  <si>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</si>
  <si>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</si>
  <si>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</si>
  <si>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</si>
  <si>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</si>
  <si>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</si>
  <si>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</si>
  <si>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</si>
  <si>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</si>
  <si>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</si>
  <si>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</si>
  <si>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</si>
  <si>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</si>
  <si>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</si>
  <si>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</si>
  <si>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</si>
  <si>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</si>
  <si>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</si>
  <si>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</si>
  <si>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</si>
  <si>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</si>
  <si>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</si>
  <si>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</si>
  <si>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</si>
  <si>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</si>
  <si>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</si>
  <si>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</si>
  <si>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</si>
  <si>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</si>
  <si>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</si>
  <si>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</si>
  <si>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</si>
  <si>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</si>
  <si>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</si>
  <si>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</si>
  <si>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</si>
  <si>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</si>
  <si>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</si>
  <si>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</si>
  <si>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</si>
  <si>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</si>
  <si>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</si>
  <si>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</si>
  <si>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</si>
  <si>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</si>
  <si>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</si>
  <si>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</si>
  <si>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</si>
  <si>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</si>
  <si>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</si>
  <si>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</si>
  <si>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</si>
  <si>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</si>
  <si>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</si>
  <si>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</si>
  <si>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</si>
  <si>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</si>
  <si>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</si>
  <si>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</si>
  <si>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</si>
  <si>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</si>
  <si>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</si>
  <si>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</si>
  <si>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</si>
  <si>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</si>
  <si>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</si>
  <si>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</si>
  <si>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</si>
  <si>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</si>
  <si>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</si>
  <si>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</si>
  <si>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</si>
  <si>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</si>
  <si>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</si>
  <si>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</si>
  <si>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</si>
  <si>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</si>
  <si>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</si>
  <si>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</si>
  <si>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</si>
  <si>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</si>
  <si>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</si>
  <si>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</si>
  <si>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</si>
  <si>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</si>
  <si>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</si>
  <si>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</si>
  <si>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</si>
  <si>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</si>
  <si>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</si>
  <si>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</si>
  <si>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</si>
  <si>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</si>
  <si>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</si>
  <si>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</si>
  <si>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</si>
  <si>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</si>
  <si>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</si>
  <si>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</si>
  <si>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</si>
  <si>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</si>
  <si>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</si>
  <si>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</si>
  <si>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</si>
  <si>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</si>
  <si>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</si>
  <si>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</si>
  <si>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</si>
  <si>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</si>
  <si>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</si>
  <si>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</si>
  <si>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</si>
  <si>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</si>
  <si>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</si>
  <si>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</si>
  <si>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</si>
  <si>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</si>
  <si>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</si>
  <si>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</si>
  <si>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</si>
  <si>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</si>
  <si>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</si>
  <si>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</si>
  <si>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</si>
  <si>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</si>
  <si>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</si>
  <si>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</si>
  <si>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</si>
  <si>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</si>
  <si>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</si>
  <si>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</si>
  <si>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</si>
  <si>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</si>
  <si>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</si>
  <si>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</si>
  <si>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</si>
  <si>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</si>
  <si>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</si>
  <si>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</si>
  <si>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</si>
  <si>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</si>
  <si>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</si>
  <si>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</si>
  <si>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</si>
  <si>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</si>
  <si>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</si>
  <si>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</si>
  <si>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</si>
  <si>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</si>
  <si>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</si>
  <si>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</si>
  <si>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</si>
  <si>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</si>
  <si>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</si>
  <si>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</si>
  <si>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</si>
  <si>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</si>
  <si>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</si>
  <si>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</si>
  <si>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</si>
  <si>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</si>
  <si>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</si>
  <si>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SUPPLIER_NO</t>
  </si>
  <si>
    <t>int?</t>
  </si>
  <si>
    <t>long?</t>
  </si>
  <si>
    <t>DateTime?</t>
  </si>
  <si>
    <t>TimeSpan?</t>
  </si>
  <si>
    <t>decimal?</t>
  </si>
  <si>
    <t>byte?</t>
  </si>
  <si>
    <t>FIXLOT</t>
  </si>
  <si>
    <t>VARCHAR(4)</t>
  </si>
  <si>
    <t>INVOICE_ID</t>
  </si>
  <si>
    <t>DATE</t>
  </si>
  <si>
    <t>PRE_CUSTOMS_ID</t>
  </si>
  <si>
    <t>CUSTOMS_DECLARE_ID</t>
  </si>
  <si>
    <t>ED_NO</t>
  </si>
  <si>
    <t>VARCHAR(6)</t>
  </si>
  <si>
    <t>UNIT_PER_LOT</t>
  </si>
  <si>
    <t>ISLOT</t>
  </si>
  <si>
    <t>PAYMENT_TERMS</t>
  </si>
  <si>
    <t>VARCHAR(100)</t>
  </si>
  <si>
    <t>REMARKS</t>
  </si>
  <si>
    <t>VARCHAR(1000)</t>
  </si>
  <si>
    <t>VARCHAR(50)</t>
  </si>
  <si>
    <t>F1</t>
  </si>
  <si>
    <t>VARCHAR(255)</t>
  </si>
  <si>
    <t>F2</t>
  </si>
  <si>
    <t>F3</t>
  </si>
  <si>
    <t>INV_COPY_DATE</t>
  </si>
  <si>
    <t>INV_ORGIN_DATE</t>
  </si>
  <si>
    <t>FORMDB_DATE</t>
  </si>
  <si>
    <t>varchar(1)</t>
  </si>
  <si>
    <t>InvCkdInvoiceLot</t>
  </si>
  <si>
    <t>InvoiceLot</t>
  </si>
  <si>
    <t>Invoice 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</si>
</sst>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E70" sqref="E70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4" t="s">
        <v>71</v>
      </c>
    </row>
    <row r="2" spans="1:7" ht="15.5" x14ac:dyDescent="0.35">
      <c r="A2" s="1"/>
      <c r="B2" s="25" t="s">
        <v>193</v>
      </c>
    </row>
    <row r="3" spans="1:7" x14ac:dyDescent="0.35">
      <c r="A3" s="1"/>
      <c r="B3" s="1" t="s">
        <v>74</v>
      </c>
    </row>
    <row r="4" spans="1:7" x14ac:dyDescent="0.35">
      <c r="A4" s="1"/>
      <c r="B4" t="s">
        <v>73</v>
      </c>
    </row>
    <row r="5" spans="1:7" x14ac:dyDescent="0.35">
      <c r="A5" s="1"/>
      <c r="B5" t="s">
        <v>76</v>
      </c>
    </row>
    <row r="6" spans="1:7" x14ac:dyDescent="0.35">
      <c r="A6" s="1"/>
      <c r="B6" t="s">
        <v>84</v>
      </c>
    </row>
    <row r="7" spans="1:7" x14ac:dyDescent="0.3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5">
      <c r="A8" s="1"/>
      <c r="C8" t="s">
        <v>86</v>
      </c>
      <c r="F8" s="1" t="s">
        <v>230</v>
      </c>
      <c r="G8" t="s">
        <v>230</v>
      </c>
    </row>
    <row r="9" spans="1:7" x14ac:dyDescent="0.35">
      <c r="A9" s="1"/>
      <c r="C9" t="s">
        <v>85</v>
      </c>
      <c r="F9" s="1" t="s">
        <v>95</v>
      </c>
      <c r="G9" t="s">
        <v>95</v>
      </c>
    </row>
    <row r="10" spans="1:7" x14ac:dyDescent="0.35">
      <c r="A10" s="1"/>
      <c r="D10" t="s">
        <v>86</v>
      </c>
      <c r="F10" s="1" t="s">
        <v>230</v>
      </c>
      <c r="G10" t="s">
        <v>281</v>
      </c>
    </row>
    <row r="11" spans="1:7" x14ac:dyDescent="0.35">
      <c r="A11" s="1"/>
      <c r="D11" t="s">
        <v>87</v>
      </c>
      <c r="F11" s="1" t="s">
        <v>96</v>
      </c>
      <c r="G11" t="s">
        <v>282</v>
      </c>
    </row>
    <row r="12" spans="1:7" x14ac:dyDescent="0.35">
      <c r="A12" s="1"/>
      <c r="D12" t="s">
        <v>88</v>
      </c>
      <c r="F12" s="1" t="s">
        <v>97</v>
      </c>
      <c r="G12" t="s">
        <v>283</v>
      </c>
    </row>
    <row r="13" spans="1:7" x14ac:dyDescent="0.35">
      <c r="A13" s="1"/>
      <c r="D13" t="s">
        <v>89</v>
      </c>
      <c r="F13" s="1" t="s">
        <v>98</v>
      </c>
      <c r="G13" t="s">
        <v>284</v>
      </c>
    </row>
    <row r="14" spans="1:7" x14ac:dyDescent="0.35">
      <c r="A14" s="1"/>
      <c r="D14" t="s">
        <v>90</v>
      </c>
      <c r="F14" s="1" t="s">
        <v>99</v>
      </c>
      <c r="G14" t="s">
        <v>285</v>
      </c>
    </row>
    <row r="15" spans="1:7" x14ac:dyDescent="0.35">
      <c r="A15" s="1"/>
      <c r="D15" t="s">
        <v>91</v>
      </c>
      <c r="F15" s="1" t="s">
        <v>100</v>
      </c>
      <c r="G15" t="s">
        <v>286</v>
      </c>
    </row>
    <row r="16" spans="1:7" ht="12" customHeight="1" x14ac:dyDescent="0.3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5">
      <c r="A17" s="1"/>
      <c r="D17" t="s">
        <v>301</v>
      </c>
      <c r="F17" s="1" t="s">
        <v>302</v>
      </c>
      <c r="G17" t="s">
        <v>303</v>
      </c>
    </row>
    <row r="18" spans="1:7" x14ac:dyDescent="0.35">
      <c r="A18" s="1"/>
      <c r="D18" t="s">
        <v>346</v>
      </c>
      <c r="F18" s="1" t="s">
        <v>348</v>
      </c>
      <c r="G18" t="s">
        <v>347</v>
      </c>
    </row>
    <row r="19" spans="1:7" x14ac:dyDescent="0.35">
      <c r="A19" s="1"/>
      <c r="C19" t="s">
        <v>88</v>
      </c>
      <c r="F19" s="1" t="s">
        <v>97</v>
      </c>
      <c r="G19" t="s">
        <v>97</v>
      </c>
    </row>
    <row r="20" spans="1:7" x14ac:dyDescent="0.35">
      <c r="A20" s="1"/>
      <c r="D20" t="s">
        <v>92</v>
      </c>
      <c r="F20" s="1" t="s">
        <v>111</v>
      </c>
      <c r="G20" t="s">
        <v>288</v>
      </c>
    </row>
    <row r="21" spans="1:7" x14ac:dyDescent="0.35">
      <c r="A21" s="1"/>
      <c r="D21" t="s">
        <v>93</v>
      </c>
      <c r="F21" s="1" t="s">
        <v>101</v>
      </c>
      <c r="G21" t="s">
        <v>289</v>
      </c>
    </row>
    <row r="22" spans="1:7" x14ac:dyDescent="0.35">
      <c r="A22" s="1"/>
      <c r="C22" t="s">
        <v>89</v>
      </c>
      <c r="F22" s="1" t="s">
        <v>98</v>
      </c>
      <c r="G22" t="s">
        <v>98</v>
      </c>
    </row>
    <row r="23" spans="1:7" x14ac:dyDescent="0.35">
      <c r="A23" s="1"/>
      <c r="D23" t="s">
        <v>92</v>
      </c>
      <c r="F23" s="1" t="s">
        <v>111</v>
      </c>
      <c r="G23" t="s">
        <v>298</v>
      </c>
    </row>
    <row r="24" spans="1:7" x14ac:dyDescent="0.35">
      <c r="A24" s="1"/>
      <c r="C24" t="s">
        <v>87</v>
      </c>
      <c r="F24" s="1" t="s">
        <v>96</v>
      </c>
      <c r="G24" t="s">
        <v>96</v>
      </c>
    </row>
    <row r="25" spans="1:7" x14ac:dyDescent="0.35">
      <c r="A25" s="1"/>
      <c r="D25" t="s">
        <v>92</v>
      </c>
      <c r="F25" s="1" t="s">
        <v>111</v>
      </c>
      <c r="G25" t="s">
        <v>297</v>
      </c>
    </row>
    <row r="26" spans="1:7" x14ac:dyDescent="0.35">
      <c r="A26" s="1"/>
      <c r="C26" t="s">
        <v>90</v>
      </c>
      <c r="F26" s="1" t="s">
        <v>99</v>
      </c>
      <c r="G26" t="s">
        <v>99</v>
      </c>
    </row>
    <row r="27" spans="1:7" x14ac:dyDescent="0.35">
      <c r="A27" s="1"/>
      <c r="C27" t="s">
        <v>266</v>
      </c>
      <c r="F27" s="1" t="s">
        <v>267</v>
      </c>
      <c r="G27" t="s">
        <v>267</v>
      </c>
    </row>
    <row r="28" spans="1:7" x14ac:dyDescent="0.35">
      <c r="A28" s="1"/>
      <c r="D28" t="s">
        <v>268</v>
      </c>
      <c r="F28" s="1" t="s">
        <v>270</v>
      </c>
      <c r="G28" t="s">
        <v>290</v>
      </c>
    </row>
    <row r="29" spans="1:7" x14ac:dyDescent="0.35">
      <c r="A29" s="1"/>
      <c r="D29" t="s">
        <v>271</v>
      </c>
      <c r="F29" s="1" t="s">
        <v>269</v>
      </c>
      <c r="G29" t="s">
        <v>291</v>
      </c>
    </row>
    <row r="30" spans="1:7" x14ac:dyDescent="0.35">
      <c r="A30" s="1"/>
      <c r="D30" t="s">
        <v>272</v>
      </c>
      <c r="F30" s="1" t="s">
        <v>275</v>
      </c>
      <c r="G30" t="s">
        <v>292</v>
      </c>
    </row>
    <row r="31" spans="1:7" x14ac:dyDescent="0.35">
      <c r="A31" s="1"/>
      <c r="D31" t="s">
        <v>273</v>
      </c>
      <c r="F31" s="1" t="s">
        <v>276</v>
      </c>
      <c r="G31" t="s">
        <v>293</v>
      </c>
    </row>
    <row r="32" spans="1:7" x14ac:dyDescent="0.35">
      <c r="A32" s="1"/>
      <c r="D32" t="s">
        <v>274</v>
      </c>
      <c r="F32" s="1" t="s">
        <v>277</v>
      </c>
      <c r="G32" t="s">
        <v>294</v>
      </c>
    </row>
    <row r="33" spans="1:8" x14ac:dyDescent="0.35">
      <c r="A33" s="1"/>
      <c r="D33" t="s">
        <v>279</v>
      </c>
      <c r="F33" s="1" t="s">
        <v>278</v>
      </c>
      <c r="G33" t="s">
        <v>295</v>
      </c>
    </row>
    <row r="34" spans="1:8" x14ac:dyDescent="0.35">
      <c r="A34" s="1"/>
      <c r="C34" t="s">
        <v>301</v>
      </c>
      <c r="F34" s="1" t="s">
        <v>302</v>
      </c>
      <c r="G34" t="s">
        <v>302</v>
      </c>
    </row>
    <row r="35" spans="1:8" x14ac:dyDescent="0.35">
      <c r="A35" s="1"/>
      <c r="D35" t="s">
        <v>304</v>
      </c>
      <c r="F35" s="1" t="s">
        <v>305</v>
      </c>
      <c r="G35" t="s">
        <v>306</v>
      </c>
    </row>
    <row r="36" spans="1:8" x14ac:dyDescent="0.35">
      <c r="A36" s="1"/>
      <c r="D36" t="s">
        <v>93</v>
      </c>
      <c r="F36" s="1" t="s">
        <v>101</v>
      </c>
      <c r="G36" t="s">
        <v>307</v>
      </c>
    </row>
    <row r="37" spans="1:8" x14ac:dyDescent="0.35">
      <c r="A37" s="1"/>
      <c r="D37" t="s">
        <v>308</v>
      </c>
      <c r="F37" s="1" t="s">
        <v>309</v>
      </c>
      <c r="G37" t="s">
        <v>310</v>
      </c>
    </row>
    <row r="38" spans="1:8" x14ac:dyDescent="0.35">
      <c r="A38" s="1"/>
      <c r="D38" t="s">
        <v>311</v>
      </c>
      <c r="F38" s="1" t="s">
        <v>312</v>
      </c>
      <c r="G38" t="s">
        <v>313</v>
      </c>
    </row>
    <row r="39" spans="1:8" x14ac:dyDescent="0.35">
      <c r="A39" s="1"/>
      <c r="D39" t="s">
        <v>315</v>
      </c>
      <c r="F39" s="1" t="s">
        <v>316</v>
      </c>
      <c r="G39" t="s">
        <v>317</v>
      </c>
    </row>
    <row r="40" spans="1:8" x14ac:dyDescent="0.35">
      <c r="A40" s="1"/>
      <c r="C40" t="s">
        <v>314</v>
      </c>
      <c r="F40" s="1" t="s">
        <v>296</v>
      </c>
      <c r="G40" t="s">
        <v>296</v>
      </c>
    </row>
    <row r="41" spans="1:8" x14ac:dyDescent="0.3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5">
      <c r="A42" s="1"/>
      <c r="C42" t="s">
        <v>320</v>
      </c>
      <c r="F42" s="1" t="s">
        <v>333</v>
      </c>
      <c r="G42" t="s">
        <v>333</v>
      </c>
    </row>
    <row r="43" spans="1:8" x14ac:dyDescent="0.35">
      <c r="A43" s="1"/>
      <c r="D43" t="s">
        <v>321</v>
      </c>
      <c r="F43" s="1" t="s">
        <v>327</v>
      </c>
      <c r="G43" t="s">
        <v>334</v>
      </c>
    </row>
    <row r="44" spans="1:8" x14ac:dyDescent="0.35">
      <c r="A44" s="1"/>
      <c r="D44" t="s">
        <v>323</v>
      </c>
      <c r="F44" s="1" t="s">
        <v>328</v>
      </c>
      <c r="G44" t="s">
        <v>335</v>
      </c>
    </row>
    <row r="45" spans="1:8" x14ac:dyDescent="0.35">
      <c r="A45" s="1"/>
      <c r="D45" t="s">
        <v>322</v>
      </c>
      <c r="F45" s="1" t="s">
        <v>329</v>
      </c>
      <c r="G45" t="s">
        <v>336</v>
      </c>
    </row>
    <row r="46" spans="1:8" x14ac:dyDescent="0.35">
      <c r="A46" s="1"/>
      <c r="D46" t="s">
        <v>325</v>
      </c>
      <c r="F46" s="1" t="s">
        <v>330</v>
      </c>
      <c r="G46" t="s">
        <v>337</v>
      </c>
    </row>
    <row r="47" spans="1:8" x14ac:dyDescent="0.35">
      <c r="A47" s="1"/>
      <c r="D47" t="s">
        <v>343</v>
      </c>
      <c r="F47" s="1" t="s">
        <v>344</v>
      </c>
      <c r="G47" t="s">
        <v>345</v>
      </c>
    </row>
    <row r="48" spans="1:8" x14ac:dyDescent="0.35">
      <c r="A48" s="1"/>
      <c r="D48" t="s">
        <v>326</v>
      </c>
      <c r="F48" s="1" t="s">
        <v>331</v>
      </c>
      <c r="G48" t="s">
        <v>338</v>
      </c>
    </row>
    <row r="49" spans="1:7" x14ac:dyDescent="0.35">
      <c r="A49" s="1"/>
      <c r="D49" t="s">
        <v>324</v>
      </c>
      <c r="F49" s="1" t="s">
        <v>332</v>
      </c>
      <c r="G49" t="s">
        <v>339</v>
      </c>
    </row>
    <row r="50" spans="1:7" x14ac:dyDescent="0.35">
      <c r="A50" s="1"/>
      <c r="D50" t="s">
        <v>340</v>
      </c>
      <c r="F50" s="1" t="s">
        <v>341</v>
      </c>
      <c r="G50" t="s">
        <v>342</v>
      </c>
    </row>
    <row r="51" spans="1:7" x14ac:dyDescent="0.35">
      <c r="A51" s="1"/>
    </row>
    <row r="52" spans="1:7" x14ac:dyDescent="0.35">
      <c r="A52" s="1"/>
      <c r="B52" t="s">
        <v>83</v>
      </c>
    </row>
    <row r="53" spans="1:7" x14ac:dyDescent="0.35">
      <c r="A53" s="1"/>
      <c r="B53" t="s">
        <v>80</v>
      </c>
    </row>
    <row r="54" spans="1:7" x14ac:dyDescent="0.35">
      <c r="A54" s="1"/>
      <c r="C54" s="17" t="s">
        <v>77</v>
      </c>
    </row>
    <row r="55" spans="1:7" x14ac:dyDescent="0.35">
      <c r="A55" s="1"/>
      <c r="C55" s="16" t="s">
        <v>78</v>
      </c>
    </row>
    <row r="56" spans="1:7" x14ac:dyDescent="0.35">
      <c r="A56" s="1"/>
      <c r="C56" s="16" t="s">
        <v>79</v>
      </c>
    </row>
    <row r="57" spans="1:7" x14ac:dyDescent="0.35">
      <c r="A57" s="1"/>
      <c r="B57" t="s">
        <v>103</v>
      </c>
      <c r="C57" s="16"/>
    </row>
    <row r="58" spans="1:7" x14ac:dyDescent="0.35">
      <c r="A58" s="1"/>
      <c r="C58" s="16" t="s">
        <v>104</v>
      </c>
    </row>
    <row r="59" spans="1:7" x14ac:dyDescent="0.35">
      <c r="A59" s="1"/>
      <c r="C59" s="16" t="s">
        <v>105</v>
      </c>
    </row>
    <row r="60" spans="1:7" x14ac:dyDescent="0.35">
      <c r="A60" s="1"/>
      <c r="C60" s="16" t="s">
        <v>106</v>
      </c>
    </row>
    <row r="61" spans="1:7" x14ac:dyDescent="0.35">
      <c r="A61" s="1"/>
      <c r="C61" s="16" t="s">
        <v>108</v>
      </c>
    </row>
    <row r="62" spans="1:7" x14ac:dyDescent="0.35">
      <c r="A62" s="1"/>
      <c r="C62" s="16" t="s">
        <v>110</v>
      </c>
    </row>
    <row r="63" spans="1:7" x14ac:dyDescent="0.35">
      <c r="A63" s="1"/>
      <c r="C63" s="16" t="s">
        <v>109</v>
      </c>
    </row>
    <row r="64" spans="1:7" x14ac:dyDescent="0.35">
      <c r="A64" s="1"/>
      <c r="C64" s="16" t="s">
        <v>107</v>
      </c>
    </row>
    <row r="65" spans="2:14" ht="21" customHeight="1" x14ac:dyDescent="0.35">
      <c r="B65" s="19" t="s">
        <v>75</v>
      </c>
    </row>
    <row r="66" spans="2:14" ht="21" customHeight="1" x14ac:dyDescent="0.35">
      <c r="B66" s="59" t="s">
        <v>227</v>
      </c>
    </row>
    <row r="67" spans="2:14" ht="15" thickBot="1" x14ac:dyDescent="0.4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4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[Table("InvCkdInvoiceLot")]
	public class InvCkdInvoiceLot: FullAuditedEntity&lt;long&gt;, IEntity&lt;long&gt;	
	{
		public const int MaxFixlotLength = 4;
		public const int MaxEdNoLength = 6;
		public const int MaxPaymentTermsLength = 100;
		public const int MaxRemarksLength = 1000;
		public const int MaxSupplierNoLength = 50;
		public const int MaxF1Length = 255;
		public const int MaxF2Length = 255;
		public const int MaxF3Length = 255;
		public const int MaxIsActiveLength = 1;
		[StringLength(MaxFixlotLength)]
		public virtual string Fixlot { get; set; }
		public virtual long? PreCustomsId { get; set; }
		public virtual long? CustomsDeclareId { get; set; }
		public virtual long? InvoiceId { get; set; }
		[StringLength(MaxEdNoLength)]
		public virtual string EdNo { get; set; }
		public virtual int? UnitPerLot { get; set; }
		public virtual int? Islot { get; set; }
		[StringLength(MaxPaymentTermsLength)]
		public virtual string PaymentTerms { get; set; }
		[StringLength(MaxRemarksLength)]
		public virtual string Remarks { get; set; }
		[StringLength(MaxSupplierNoLength)]
		public virtual string SupplierNo { get; set; }
		[StringLength(MaxF1Length)]
		public virtual string F1 { get; set; }
		[StringLength(MaxF2Length)]
		public virtual string F2 { get; set; }
		[StringLength(MaxF3Length)]
		public virtual string F3 { get; set; }
		public virtual DateTime? InvCopyDate { get; set; }
		public virtual DateTime? InvOrginDate { get; set; }
		public virtual DateTime? FormdbDate { get; set; }
		[StringLength(MaxIsActiveLength)]
		public virtual string IsActive { get; set; }
	}
}
</v>
      </c>
      <c r="D68" s="48" t="str">
        <f>A.Backend!O7</f>
        <v xml:space="preserve">		public const string Pages_Inventory_CKD_InvoiceLot = "Pages.Inventory.CKD.InvoiceLot";
		public const string Pages_Inventory_CKD_InvoiceLot_CreateEdit = "Pages.Inventory.CKD.InvoiceLot.CreateEdit";
		public const string Pages_Inventory_CKD_InvoiceLot_Delete = "Pages.Inventory.CKD.InvoiceLot.Delete";
</v>
      </c>
      <c r="E68" s="48" t="str">
        <f>A.Backend!N7</f>
        <v xml:space="preserve">		var perInvCkdInvoiceLot = PARENTS.CreateChildPermission(AppPermissions.Pages_Inventory_CKD_InvoiceLot, L( "InventoryCKDInvoiceLot"), multiTenancySides: MultiTenancySides.Tenant);
		perInvCkdInvoiceLot.CreateChildPermission(AppPermissions.Pages_Inventory_CKD_InvoiceLot_CreateEdit, L( "InventoryCKDInvoiceLotCreateEdit"), multiTenancySides: MultiTenancySides.Tenant);
		perInvCkdInvoiceLot.CreateChildPermission(AppPermissions.Pages_Inventory_CKD_InvoiceLot_Delete, L( "InventoryCKDInvoiceLotDelete"), multiTenancySides: MultiTenancySides.Tenant);</v>
      </c>
      <c r="F68" s="48" t="str">
        <f>A.Backend!K7</f>
        <v>public virtual DbSet&lt;InvCkdInvoiceLot&gt; InvCkdInvoiceLots { get; set; }</v>
      </c>
      <c r="G68" s="48" t="str">
        <f ca="1">A.Backend!L7</f>
        <v xml:space="preserve">namespace prod.Inventory.CKD
{
	public class InvCkdInvoiceLotConsts	
	{
		public const int MaxFixlotLength = 4;
		public const int MaxEdNoLength = 6;
		public const int MaxPaymentTermsLength = 100;
		public const int MaxRemarksLength = 1000;
		public const int MaxSupplierNoLength = 50;
		public const int MaxF1Length = 255;
		public const int MaxF2Length = 255;
		public const int MaxF3Length = 255;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InvCkdInvoiceLotDto : EntityDto&lt;long?&gt;	
	{
		public virtual string Fixlot { get; set; }
		public virtual long? PreCustomsId { get; set; }
		public virtual long? CustomsDeclareId { get; set; }
		public virtual long? InvoiceId { get; set; }
		public virtual string EdNo { get; set; }
		public virtual int? UnitPerLot { get; set; }
		public virtual int? Islot { get; set; }
		public virtual string PaymentTerms { get; set; }
		public virtual string Remarks { get; set; }
		public virtual string SupplierNo { get; set; }
		public virtual string F1 { get; set; }
		public virtual string F2 { get; set; }
		public virtual string F3 { get; set; }
		public virtual DateTime? InvCopyDate { get; set; }
		public virtual DateTime? InvOrginDate { get; set; }
		public virtual DateTime? FormdbDate { get; set; }
		public virtual string IsActive { get; set; }
	}
	public class CreateOrEditInvCkdInvoiceLotDto : EntityDto&lt;long?&gt;	
	{
		[StringLength(InvCkdInvoiceLotConsts.MaxFixlotLength)]
		public virtual string Fixlot { get; set; }
		public virtual long? PreCustomsId { get; set; }
		public virtual long? CustomsDeclareId { get; set; }
		public virtual long? InvoiceId { get; set; }
		[StringLength(InvCkdInvoiceLotConsts.MaxEdNoLength)]
		public virtual string EdNo { get; set; }
		public virtual int? UnitPerLot { get; set; }
		public virtual int? Islot { get; set; }
		[StringLength(InvCkdInvoiceLotConsts.MaxPaymentTermsLength)]
		public virtual string PaymentTerms { get; set; }
		[StringLength(InvCkdInvoiceLotConsts.MaxRemarksLength)]
		public virtual string Remarks { get; set; }
		[StringLength(InvCkdInvoiceLotConsts.MaxSupplierNoLength)]
		public virtual string SupplierNo { get; set; }
		[StringLength(InvCkdInvoiceLotConsts.MaxF1Length)]
		public virtual string F1 { get; set; }
		[StringLength(InvCkdInvoiceLotConsts.MaxF2Length)]
		public virtual string F2 { get; set; }
		[StringLength(InvCkdInvoiceLotConsts.MaxF3Length)]
		public virtual string F3 { get; set; }
		public virtual DateTime? InvCopyDate { get; set; }
		public virtual DateTime? InvOrginDate { get; set; }
		public virtual DateTime? FormdbDate { get; set; }
		[StringLength(InvCkdInvoiceLotConsts.MaxIsActiveLength)]
		public virtual string IsActive { get; set; }
	}
	public class GetInvCkdInvoiceLotInput : PagedAndSortedResultRequestDto	
	{
		public virtual string Fixlot { get; set; }
		public virtual string EdNo { get; set; }
		public virtual string PaymentTerms { get; set; }
		public virtual string Remarks { get; set; }
		public virtual string SupplierNo { get; set; }
		public virtual string F1 { get; set; }
		public virtual string F2 { get; set; }
		public virtual string F3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InvCkdInvoiceLotExportInput{
		public virtual string Fixlot { get; set; }
		public virtual long? PreCustomsId { get; set; }
		public virtual long? CustomsDeclareId { get; set; }
		public virtual long? InvoiceId { get; set; }
		public virtual string EdNo { get; set; }
		public virtual int? UnitPerLot { get; set; }
		public virtual int? Islot { get; set; }
		public virtual string PaymentTerms { get; set; }
		public virtual string Remarks { get; set; }
		public virtual string SupplierNo { get; set; }
		public virtual string F1 { get; set; }
		public virtual string F2 { get; set; }
		public virtual string F3 { get; set; }
		public virtual DateTime? InvCopyDate { get; set; }
		public virtual DateTime? InvOrginDate { get; set; }
		public virtual DateTime? FormdbDate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IInvCkdInvoiceLotAppService : IApplicationService
	{
		Task&lt;PagedResultDto&lt;InvCkdInvoiceLotDto&gt;&gt; GetAll(GetInvCkdInvoiceLotInput input);
		Task CreateOrEdit(CreateOrEditInvCkdInvoiceLotDto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IInvCkdInvoiceLotExcelExporter : IApplicationService
	{
		FileDto ExportToFile(List&lt;InvCkdInvoiceLotDto&gt; invckdinvoicelot);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InvCkdInvoiceLotExcelExporter : NpoiExcelExporterBase, IInvCkdInvoiceLotExcelExporter
    {
        public InvCkdInvoiceLotExcelExporter(ITempFileCacheManager tempFileCacheManager) : base(tempFileCacheManager) { }
        public FileDto ExportToFile(List&lt;InvCkdInvoiceLotDto&gt; invoicelot)
        {
            return CreateExcelPackage(
				"InventoryCKDInvoiceLot.xlsx",
				excelPackage =&gt;
				 {
					var sheet = excelPackage.CreateSheet("InvoiceLot");
					AddHeader(
								sheet,
								("Fixlot"),
								("PreCustomsId"),
								("CustomsDeclareId"),
								("InvoiceId"),
								("EdNo"),
								("UnitPerLot"),
								("Islot"),
								("PaymentTerms"),
								("Remarks"),
								("SupplierNo"),
								("F1"),
								("F2"),
								("F3"),
								("InvCopyDate"),
								("InvOrginDate"),
								("FormdbDate"),
								("IsActive"),
							   );
					AddObjects(
						 sheet, 1, invoicelot,                                       
								_ =&gt; _.Fixlot,
								_ =&gt; _.PreCustomsId,
								_ =&gt; _.CustomsDeclareId,
								_ =&gt; _.InvoiceId,
								_ =&gt; _.EdNo,
								_ =&gt; _.UnitPerLot,
								_ =&gt; _.Islot,
								_ =&gt; _.PaymentTerms,
								_ =&gt; _.Remarks,
								_ =&gt; _.SupplierNo,
								_ =&gt; _.F1,
								_ =&gt; _.F2,
								_ =&gt; _.F3,
								_ =&gt; _.InvCopyDate,
								_ =&gt; _.InvOrginDate,
								_ =&gt; _.FormdbDate,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[AbpAuthorize(AppPermissions.Pages_Inventory_CKD_InvoiceLot)]
    public class InvCkdInvoiceLotAppService : vovinaAppServiceBase, IInvCkdInvoiceLotAppService
    {
        private readonly IDapperRepository&lt;InvCkdInvoiceLot, long&gt; _dapperRepo;
        private readonly IRepository&lt;InvCkdInvoiceLot, long&gt; _repo;
        private readonly IInvCkdInvoiceLotExcelExporter _calendarListExcelExporter;
        public InvCkdInvoiceLotAppService(IRepository&lt;InvCkdInvoiceLot,long&gt; repo, 
                                         IDapperRepository&lt;InvCkdInvoiceLot,long&gt; dapperRepo,
                                        IInvCkdInvoiceLotExcelExporter calendarListExcelExporter
            )
        {
            _repo = repo;
            _dapperRepo = dapperRepo;
            _calendarListExcelExporter = calendarListExcelExporter;
        }
        [AbpAuthorize(AppPermissions.Pages_Inventory_CKD_InvoiceLot_CreateEdit)]
        public async Task CreateOrEdit(CreateOrEditInvCkdInvoiceLotDto input)
        {
            if (input.Id == null) await Create(input);
            else await Update(input);
        }
        //CREATE
        private async Task Create(CreateOrEditInvCkdInvoiceLotDto input)
        {          
            var mainObj = ObjectMapper.Map&lt;InvCkdInvoiceLot&gt;(input);
            await CurrentUnitOfWork.GetDbContext&lt;vovinaDbContext&gt;().AddAsync(mainObj);
        }
        // EDIT
        private async Task Update(CreateOrEditInvCkdInvoiceLotDto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[AbpAuthorize(AppPermissions.Pages_Inventory_CKD_InvoiceLot_Delete)]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Task&lt;PagedResultDto&lt;InvCkdInvoiceLotDto&gt;&gt; GetAll(GetInvCkdInvoiceLotInput input)
        {
            var filtered = _repo.GetAll()
				.WhereIf(!string.IsNullOrWhiteSpace(input.Fixlot), e =&gt; e.Fixlot.Contains(input.Fixlot))
				.WhereIf(!string.IsNullOrWhiteSpace(input.EdNo), e =&gt; e.EdNo.Contains(input.EdNo))
				.WhereIf(!string.IsNullOrWhiteSpace(input.PaymentTerms), e =&gt; e.PaymentTerms.Contains(input.PaymentTerms))
				.WhereIf(!string.IsNullOrWhiteSpace(input.Remarks), e =&gt; e.Remarks.Contains(input.Remarks))
				.WhereIf(!string.IsNullOrWhiteSpace(input.SupplierNo), e =&gt; e.SupplierNo.Contains(input.SupplierNo))
				.WhereIf(!string.IsNullOrWhiteSpace(input.F1), e =&gt; e.F1.Contains(input.F1))
				.WhereIf(!string.IsNullOrWhiteSpace(input.F2), e =&gt; e.F2.Contains(input.F2))
				.WhereIf(!string.IsNullOrWhiteSpace(input.F3), e =&gt; e.F3.Contains(input.F3))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InvCkdInvoiceLotDto
                        {
							Id = o.Id,
							Fixlot = o.Fixlot,
							PreCustomsId = o.PreCustomsId,
							CustomsDeclareId = o.CustomsDeclareId,
							InvoiceId = o.InvoiceId,
							EdNo = o.EdNo,
							UnitPerLot = o.UnitPerLot,
							Islot = o.Islot,
							PaymentTerms = o.PaymentTerms,
							Remarks = o.Remarks,
							SupplierNo = o.SupplierNo,
							F1 = o.F1,
							F2 = o.F2,
							F3 = o.F3,
							InvCopyDate = o.InvCopyDate,
							InvOrginDate = o.InvOrginDate,
							FormdbDate = o.FormdbDate,
							IsActive = o.IsActive,
                        };
            var totalCount = await filtered.CountAsync();
			var paged = system.PageBy(input);
            return new PagedResultDto&lt;InvCkdInvoiceLotDto&gt;(
                totalCount,
                 await paged.ToListAsync()
            );
        }
        public async Task&lt;FileDto&gt; GetInvoiceLotToExcel(InvCkdInvoiceLotExportInput input)
        {
            var query = from o in _repo.GetAll()
                        select new InvCkdInvoiceLotDto
                        {
							Id = o.Id,
							Fixlot = o.Fixlot,
							PreCustomsId = o.PreCustomsId,
							CustomsDeclareId = o.CustomsDeclareId,
							InvoiceId = o.InvoiceId,
							EdNo = o.EdNo,
							UnitPerLot = o.UnitPerLot,
							Islot = o.Islot,
							PaymentTerms = o.PaymentTerms,
							Remarks = o.Remarks,
							SupplierNo = o.SupplierNo,
							F1 = o.F1,
							F2 = o.F2,
							F3 = o.F3,
							InvCopyDate = o.InvCopyDate,
							InvOrginDate = o.InvOrginDate,
							FormdbDate = o.FormdbDate,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_dapperRepo.ExecuteAsync(InvCkdInvoiceLotConsts.SP_MST_WPT_CALENDAR_GENERATE);
       // }
    }
}</v>
      </c>
      <c r="N68" s="58" t="str">
        <f>A.Backend!U7</f>
        <v xml:space="preserve">  configuration.CreateMap&lt;InvCkdInvoiceLotDto, InvCkdInvoiceLot&gt;();
  configuration.CreateMap&lt;InvCkdInvoiceLot, InvCkdInvoiceLotDto&gt;();
  configuration.CreateMap&lt;CreateOrEditInvCkdInvoiceLotDto, InvCkdInvoiceLot&gt;();</v>
      </c>
    </row>
    <row r="69" spans="2:14" s="15" customFormat="1" ht="21.75" customHeight="1" x14ac:dyDescent="0.35">
      <c r="C69" s="60"/>
      <c r="H69" s="61"/>
      <c r="I69" s="61"/>
      <c r="M69" s="61"/>
    </row>
    <row r="70" spans="2:14" s="15" customFormat="1" ht="21.75" customHeight="1" x14ac:dyDescent="0.35"/>
    <row r="71" spans="2:14" s="15" customFormat="1" ht="21.75" customHeight="1" x14ac:dyDescent="0.35"/>
    <row r="72" spans="2:14" x14ac:dyDescent="0.35">
      <c r="B72" s="1" t="s">
        <v>70</v>
      </c>
    </row>
    <row r="73" spans="2:14" ht="21" x14ac:dyDescent="0.5">
      <c r="B73" t="str">
        <f>B.Frontend!B8</f>
        <v>invoicelot</v>
      </c>
      <c r="C73" s="66" t="str">
        <f>"create folder " &amp;B73</f>
        <v>create folder invoicelot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5">
      <c r="B74" s="56" t="s">
        <v>225</v>
      </c>
      <c r="C74" s="28" t="str">
        <f>B.Frontend!H14</f>
        <v>invoicelot.component.ts</v>
      </c>
      <c r="D74" s="28" t="str">
        <f>B.Frontend!I14</f>
        <v>invoicelot.component.html</v>
      </c>
      <c r="E74" s="28" t="str">
        <f>B.Frontend!J14</f>
        <v>invoicelot.component.less</v>
      </c>
      <c r="F74" s="28" t="str">
        <f>B.Frontend!K14</f>
        <v>create-or-edit-invoicelot-modal.component.html</v>
      </c>
      <c r="G74" s="28" t="str">
        <f>B.Frontend!L14</f>
        <v>create-or-edit-invoicelot-modal.component.ts</v>
      </c>
      <c r="H74" s="28" t="str">
        <f>B.Frontend!M14</f>
        <v>create-or-edit-invoicelot-modal.component.less</v>
      </c>
      <c r="I74" s="28" t="str">
        <f>B.Frontend!N14</f>
        <v>invoicelot.module.ts</v>
      </c>
      <c r="J74" s="28" t="str">
        <f>B.Frontend!O14</f>
        <v>invoicelot-routing.module.ts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InvCkdInvoiceLotDto, InvCkdInvoiceLotServiceProxy } from '@shared/service-proxies/service-proxies';
import { finalize } from 'rxjs/internal/operators/finalize';
import { CreateOrEditInvoiceLotModalComponent } from './create-or-edit-invoicelot-modal.component';
import { DatePipe } from '@angular/common';
import { FileDownloadService } from '@shared/utils/file-download.service';
import ceil from 'lodash-es/ceil';
import { Paginator } from 'primeng/paginator';
@Component({
    templateUrl: './invoicelot.component.html',
    styleUrls: ['./invoicelot.component.less'],
})
export class InvoiceLotComponent extends AppComponentBase implements OnInit {
    @ViewChild('createOrEditModalInvoiceLot', { static: true }) createOrEditModalInvoiceLot:| CreateOrEditInvoiceLotModalComponent|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InvCkdInvoiceLotDto = new InvCkdInvoiceLotDto();
    saveSelectedRow: InvCkdInvoiceLotDto = new InvCkdInvoiceLotDto();
    datas: InvCkdInvoiceLotDto = new InvCkdInvoiceLotDto();
    isLoading: boolean = false;
    dataParams: GridParams | undefined;
    rowData: any[] = [];
    gridApi!: GridApi;
    rowSelection = 'multiple';
    filter: string = '';
	pipe = new DatePipe('en-US');
	frameworkComponents: FrameworkComponent;
    	fixlot : string = '' ; 
	preCustomsId
	customsDeclareId
	invoiceId
	edNo : string = '' ; 
	unitPerLot
	islot
	paymentTerms : string = '' ; 
	remarks : string = '' ; 
	supplierNo : string = '' ; 
	f1 : string = '' ; 
	f2 : string = '' ; 
	f3 : string = '' ; 
	invCopyDate
	invOrginDate
	formdbDate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InvCkdInvoiceLotServiceProxy,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this.l('Fixlot'),headerTooltip: this.l('Fixlot'),field: 'fixlot',flex: 1},
			{headerName: this.l('Pre Customs Id'),headerTooltip: this.l('Pre Customs Id'),field: 'preCustomsId',flex: 1},
			{headerName: this.l('Customs Declare Id'),headerTooltip: this.l('Customs Declare Id'),field: 'customsDeclareId',flex: 1},
			{headerName: this.l('Invoice Id'),headerTooltip: this.l('Invoice Id'),field: 'invoiceId',flex: 1},
			{headerName: this.l('Ed No'),headerTooltip: this.l('Ed No'),field: 'edNo',flex: 1},
			{headerName: this.l('Unit Per Lot'),headerTooltip: this.l('Unit Per Lot'),field: 'unitPerLot',flex: 1},
			{headerName: this.l('Islot'),headerTooltip: this.l('Islot'),field: 'islot',flex: 1},
			{headerName: this.l('Payment Terms'),headerTooltip: this.l('Payment Terms'),field: 'paymentTerms',flex: 1},
			{headerName: this.l('Remarks'),headerTooltip: this.l('Remarks'),field: 'remarks',flex: 1},
			{headerName: this.l('Supplier No'),headerTooltip: this.l('Supplier No'),field: 'supplierNo',flex: 1},
			{headerName: this.l('F1'),headerTooltip: this.l('F1'),field: 'f1',flex: 1},
			{headerName: this.l('F2'),headerTooltip: this.l('F2'),field: 'f2',flex: 1},
			{headerName: this.l('F3'),headerTooltip: this.l('F3'),field: 'f3',flex: 1},
			{headerName: this.l('Inv Copy Date'),headerTooltip: this.l('Inv Copy Date'),field: 'invCopyDate',flex: 1},
			{headerName: this.l('Inv Orgin Date'),headerTooltip: this.l('Inv Orgin Date'),field: 'invOrginDate',flex: 1},
			{headerName: this.l('Formdb Date'),headerTooltip: this.l('Formdb Date'),field: 'formdbDate',flex: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this.fixlot,
			this.preCustomsId,
			this.customsDeclareId,
			this.invoiceId,
			this.edNo,
			this.unitPerLot,
			this.islot,
			this.paymentTerms,
			this.remarks,
			this.supplierNo,
			this.f1,
			this.f2,
			this.f3,
			this.invCopyDate,
			this.invOrginDate,
			this.formdbDate,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this.fixlot = '',
		this.preCustomsId = '',
		this.customsDeclareId = '',
		this.invoiceId = '',
		this.edNo = '',
		this.unitPerLot = '',
		this.islot = '',
		this.paymentTerms = '',
		this.remarks = '',
		this.supplierNo = '',
		this.f1 = '',
		this.f2 = '',
		this.f3 = '',
		this.invCopyDate = '',
		this.invOrginDate = '',
		this.formdbDate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this.fixlot,
			this.preCustomsId,
			this.customsDeclareId,
			this.invoiceId,
			this.edNo,
			this.unitPerLot,
			this.islot,
			this.paymentTerms,
			this.remarks,
			this.supplierNo,
			this.f1,
			this.f2,
			this.f3,
			this.invCopyDate,
			this.invOrginDate,
			this.formdbDate,
			this.isActive,
			'',
            this.paginationParams.skipCount,
            this.paginationParams.pageSize
        );
    }
    onChangeRowSelection(params: { api: { getSelectedRows: () =&gt; InvCkdInvoiceLotDto[] } }) {
        this.saveSelectedRow = params.api.getSelectedRows()[0] ?? new InvCkdInvoiceLotDto();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InvCkdInvoiceLotDto):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this._service.getInvoiceLotToExcel(
			this.fixlot,
			this.preCustomsId,
			this.customsDeclareId,
			this.invoiceId,
			this.edNo,
			this.unitPerLot,
			this.islot,
			this.paymentTerms,
			this.remarks,
			this.supplierNo,
			this.f1,
			this.f2,
			this.f3,
			this.invCopyDate,
			this.invOrginDate,
			this.formdbDate,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Lot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[(ngModel)]='edNo' name='edNo'
									class='form-control' [placeholder]="l('Ed No')"
									type='text' (keyup.enter)='searchDatas()'&gt;
								&lt;/div&gt;
								&lt;div class='input-search'&gt;
									&lt;input [(ngModel)]='paymentTerms' name='paymentTerms'
									class='form-control' [placeholder]="l('Payment Terms')"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[(ngModel)]='f1' name='f1'
									class='form-control' [placeholder]="l('F1')"
									type='text' (keyup.enter)='searchDatas()'&gt;
								&lt;/div&gt;
								&lt;div class='input-search'&gt;
									&lt;input [(ngModel)]='f2' name='f2'
									class='form-control' [placeholder]="l('F2')"
									type='text' (keyup.enter)='searchDatas()'&gt;
								&lt;/div&gt;
								&lt;div class='input-search'&gt;
									&lt;input [(ngModel)]='f3' name='f3'
									class='form-control' [placeholder]="l('F3')"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(click)="createOrEditModalInvoiceLot.show()"&gt;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(click)="createOrEditModalInvoiceLot.show(selectedRow)"&gt;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&lt;create-or-edit-invoicelot-modal
    #createOrEditModalInvoiceLot
    (modalSave)="callBackDataGrid(dataParams)"
    (modalClose)="onChangeRowSelection(dataParams)"
&gt;
&lt;/create-or-edit-invoicelot-modal&gt;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#createOrEditModalInvoiceLot="bs-modal"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InvoiceLot')}}&lt;/h3&gt;
                    &lt;h3 *ngIf="!rowdata.id"&gt;{{('Create New InvoiceLot')}}&lt;/h3&gt;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title'&gt;Ed No&lt;/label&gt;
						&lt;input type='text' class='col-md-10 form-control input-text' name='EdNo' [(ngModel)]='rowdata.edNo'&gt;
					&lt;/div&gt;
					&lt;div class='col-md-12 form-group row'&gt;
						&lt;label class='col-md-2 form-control title'&gt;Payment Terms&lt;/label&gt;
						&lt;input type='text' class='col-md-10 form-control input-text' name='PaymentTerms' [(ngModel)]='rowdata.paymentTerms'&gt;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title'&gt;F1&lt;/label&gt;
						&lt;input type='text' class='col-md-10 form-control input-text' name='F1' [(ngModel)]='rowdata.f1'&gt;
					&lt;/div&gt;
					&lt;div class='col-md-12 form-group row'&gt;
						&lt;label class='col-md-2 form-control title'&gt;F2&lt;/label&gt;
						&lt;input type='text' class='col-md-10 form-control input-text' name='F2' [(ngModel)]='rowdata.f2'&gt;
					&lt;/div&gt;
					&lt;div class='col-md-12 form-group row'&gt;
						&lt;label class='col-md-2 form-control title'&gt;F3&lt;/label&gt;
						&lt;input type='text' class='col-md-10 form-control input-text' name='F3' [(ngModel)]='rowdata.f3'&gt;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CreateOrEditInvCkdInvoiceLotDto, InvCkdInvoiceLotServiceProxy } from '@shared/service-proxies/service-proxies';
import { BsDatepickerDirective } from 'ngx-bootstrap/datepicker';
@Component({
    selector: 'create-or-edit-invoicelot-modal',
    templateUrl: './create-or-edit-invoicelot-modal.component.html',
    styleUrls: ['./create-or-edit-invoicelot-modal.component.less']
    })
export class CreateOrEditInvoiceLotModalComponent extends AppComponentBase {
    @ViewChild('createOrEditModalInvoiceLot',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CreateOrEditInvCkdInvoiceLotDto = new CreateOrEditInvCkdInvoiceLotDto();
    active: boolean = false;
    saving: boolean = false;
    _isActive: boolean;
    constructor(
        injector: Injector,
        private _mstwptInvoiceLotService: InvCkdInvoiceLotServiceProxy,
    ) 
    {
        super(injector);
    }
    show(rowdata?: CreateOrEditInvCkdInvoiceLotDto): void {
        if (!rowdata) this.rowdata = new CreateOrEditInvCkdInvoiceLotDto();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this._mstwptInvoiceLotService.createOrEdit(this.rowdata)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InvoiceLotRoutingModule } from './invoicelot-routing.module';
import { InvoiceLotComponent } from './invoicelot.component';
import { CreateOrEditInvoiceLotModalComponent } from './create-or-edit-invoicelot-modal.component';
@NgModule({
    declarations: [
       InvoiceLotComponent, 
        CreateOrEditInvoiceLotModalComponent
    ],
    imports: [
        AppSharedModule, InvoiceLotRoutingModule]
})
export class InvoiceLotModule {}</v>
      </c>
      <c r="J75" s="46" t="str">
        <f>B.Frontend!O10</f>
        <v>import {NgModule} from '@angular/core';
import {RouterModule, Routes} from '@angular/router';
import { InvoiceLotComponent } from './invoicelot.component';
const routes: Routes = [{
    path: '',
    component: InvoiceLotComponent,
    pathMatch: 'full'
}];
@NgModule({
    imports: [RouterModule.forChild(routes)],
    exports: [RouterModule],
})
export class InvoiceLotRoutingModule {}</v>
      </c>
      <c r="K75" s="46" t="str">
        <f>B.Frontend!P10</f>
        <v xml:space="preserve"> new AppMenuItem("InvoiceLot", "Pages.Inventory.CKD.InvoiceLot", "flaticon-book",   "/app/main/inventory/ckd/invoicelot"),</v>
      </c>
      <c r="L75" s="47" t="str">
        <f>B.Frontend!Q10</f>
        <v>{
    path: 'inventory/ckd/invoicelot',
    loadChildren: () =&gt; import('./inventory/ckd/invoicelot/invoicelot.module').then(m =&gt; m.InvoiceLotModule),
    data: { permission: 'Pages.Inventory.CKD.InvoiceLot' }
},</v>
      </c>
      <c r="M75" s="45" t="str">
        <f>B.Frontend!R10</f>
        <v>ApiServiceProxies.InvCkdInvoiceLotServiceProxy,</v>
      </c>
    </row>
    <row r="77" spans="2:14" x14ac:dyDescent="0.3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7"/>
  <sheetViews>
    <sheetView tabSelected="1" topLeftCell="A10" workbookViewId="0">
      <pane xSplit="1" topLeftCell="B1" activePane="topRight" state="frozen"/>
      <selection pane="topRight" activeCell="B17" sqref="A17:B17"/>
    </sheetView>
  </sheetViews>
  <sheetFormatPr defaultColWidth="9.1796875" defaultRowHeight="14.5" x14ac:dyDescent="0.35"/>
  <cols>
    <col min="1" max="1" width="20.81640625" style="7" customWidth="1"/>
    <col min="2" max="2" width="20.453125" style="8" customWidth="1"/>
    <col min="3" max="3" width="19.453125" style="7" customWidth="1"/>
    <col min="4" max="4" width="23.453125" style="7" customWidth="1"/>
    <col min="5" max="5" width="14.453125" style="7" customWidth="1"/>
    <col min="6" max="6" width="14.81640625" style="7" customWidth="1"/>
    <col min="7" max="7" width="17.26953125" style="7" bestFit="1" customWidth="1"/>
    <col min="8" max="8" width="15" style="7" customWidth="1"/>
    <col min="9" max="9" width="16" style="7" customWidth="1"/>
    <col min="10" max="10" width="15.81640625" style="7" customWidth="1"/>
    <col min="11" max="11" width="16" style="7" customWidth="1"/>
    <col min="12" max="12" width="16.7265625" style="7" customWidth="1"/>
    <col min="13" max="13" width="17.453125" style="7" customWidth="1"/>
    <col min="14" max="14" width="16.1796875" style="7" customWidth="1"/>
    <col min="15" max="15" width="14.7265625" style="7" customWidth="1"/>
    <col min="16" max="16" width="16" style="7" customWidth="1"/>
    <col min="17" max="17" width="15.7265625" style="7" customWidth="1"/>
    <col min="18" max="18" width="19.453125" style="7" customWidth="1"/>
    <col min="19" max="19" width="20.453125" style="7" customWidth="1"/>
    <col min="20" max="20" width="17" style="7" customWidth="1"/>
    <col min="21" max="21" width="14" style="7" customWidth="1"/>
    <col min="22" max="22" width="15.1796875" style="7" customWidth="1"/>
    <col min="23" max="23" width="27.81640625" style="8" customWidth="1"/>
    <col min="24" max="16384" width="9.1796875" style="7"/>
  </cols>
  <sheetData>
    <row r="1" spans="1:23" s="10" customFormat="1" ht="14.25" customHeight="1" x14ac:dyDescent="0.3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5">
      <c r="A3" s="1" t="s">
        <v>5</v>
      </c>
      <c r="B3" s="27" t="s">
        <v>380</v>
      </c>
      <c r="C3" s="9" t="s">
        <v>41</v>
      </c>
      <c r="D3" s="9" t="s">
        <v>42</v>
      </c>
      <c r="E3" s="9" t="s">
        <v>37</v>
      </c>
      <c r="F3" s="10" t="str">
        <f>"J"&amp;COUNTA($A:$A)</f>
        <v>J25</v>
      </c>
      <c r="G3" s="4" t="s">
        <v>54</v>
      </c>
      <c r="H3" s="9" t="str">
        <f>"I"&amp;COUNTA($A:$A)</f>
        <v>I25</v>
      </c>
      <c r="I3" s="9" t="str">
        <f>REPT(CHAR(9),2)&amp;"[Required]"&amp;"
"</f>
        <v xml:space="preserve">		[Required]
</v>
      </c>
      <c r="J3" s="10" t="str">
        <f>"L"&amp;COUNTA($A:$A)</f>
        <v>L25</v>
      </c>
      <c r="K3" s="5" t="s">
        <v>53</v>
      </c>
      <c r="L3" s="10" t="str">
        <f>"M"&amp;COUNTA($A:$A)</f>
        <v>M25</v>
      </c>
      <c r="M3" s="10" t="str">
        <f>"N"&amp;COUNTA($A:$A)</f>
        <v>N25</v>
      </c>
      <c r="N3" s="10" t="str">
        <f>"O"&amp;COUNTA($A:$A)</f>
        <v>O25</v>
      </c>
      <c r="O3" s="10" t="str">
        <f>"P"&amp;COUNTA($A:$A)</f>
        <v>P25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InvCkdInvoiceLotExportInput{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T25</v>
      </c>
      <c r="V3" s="10" t="str">
        <f>"V"&amp;COUNTA($A:$A)</f>
        <v>V25</v>
      </c>
      <c r="W3" s="9" t="str">
        <f>"W"&amp;COUNTA($A:$A)</f>
        <v>W25</v>
      </c>
    </row>
    <row r="4" spans="1:23" s="10" customFormat="1" ht="33" customHeight="1" x14ac:dyDescent="0.3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5">
      <c r="A5" s="1" t="s">
        <v>234</v>
      </c>
      <c r="B5" s="65" t="s">
        <v>381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" customHeight="1" x14ac:dyDescent="0.3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InvCkdInvoiceLot: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InvCkdInvoiceLotConsts	
	{
</v>
      </c>
      <c r="F6" s="10" t="str">
        <f>REPT(CHAR(9),1)&amp;"public class "&amp;B3&amp;"Dto"&amp;K3&amp;REPT(CHAR(9),1)&amp;"
"&amp;REPT(CHAR(9),1)&amp;C3</f>
        <v xml:space="preserve">	public class InvCkdInvoiceLotDto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CreateOrEditInvCkdInvoiceLotDto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GetInvCkdInvoiceLotInput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" customHeight="1" x14ac:dyDescent="0.35">
      <c r="A7" s="1" t="s">
        <v>13</v>
      </c>
      <c r="B7" s="9" t="str">
        <f>B3</f>
        <v>InvCkdInvoiceLot</v>
      </c>
      <c r="C7" s="10" t="str">
        <f>REPT(CHAR(9),1)&amp;"[Table("""&amp;B7&amp;""")]"&amp;"
"</f>
        <v xml:space="preserve">	[Table("InvCkdInvoiceLot")]
</v>
      </c>
      <c r="D7" s="10"/>
      <c r="E7" s="10"/>
      <c r="F7" s="10"/>
      <c r="G7" s="10"/>
      <c r="H7" s="10"/>
      <c r="I7" s="10"/>
      <c r="J7" t="str">
        <f ca="1">SUBSTITUTE(SUBSTITUTE((B1&amp;C6&amp;C7&amp;K27&amp;D6&amp;I27&amp;E3&amp;J27&amp;""&amp;REPT(CHAR(9),1)&amp;D3&amp;D3),"WorkingPattern",$Q$3),"Master",$B$4)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[Table("InvCkdInvoiceLot")]
	public class InvCkdInvoiceLot: FullAuditedEntity&lt;long&gt;, IEntity&lt;long&gt;	
	{
		public const int MaxFixlotLength = 4;
		public const int MaxEdNoLength = 6;
		public const int MaxPaymentTermsLength = 100;
		public const int MaxRemarksLength = 1000;
		public const int MaxSupplierNoLength = 50;
		public const int MaxF1Length = 255;
		public const int MaxF2Length = 255;
		public const int MaxF3Length = 255;
		public const int MaxIsActiveLength = 1;
		[StringLength(MaxFixlotLength)]
		public virtual string Fixlot { get; set; }
		public virtual long? PreCustomsId { get; set; }
		public virtual long? CustomsDeclareId { get; set; }
		public virtual long? InvoiceId { get; set; }
		[StringLength(MaxEdNoLength)]
		public virtual string EdNo { get; set; }
		public virtual int? UnitPerLot { get; set; }
		public virtual int? Islot { get; set; }
		[StringLength(MaxPaymentTermsLength)]
		public virtual string PaymentTerms { get; set; }
		[StringLength(MaxRemarksLength)]
		public virtual string Remarks { get; set; }
		[StringLength(MaxSupplierNoLength)]
		public virtual string SupplierNo { get; set; }
		[StringLength(MaxF1Length)]
		public virtual string F1 { get; set; }
		[StringLength(MaxF2Length)]
		public virtual string F2 { get; set; }
		[StringLength(MaxF3Length)]
		public virtual string F3 { get; set; }
		public virtual DateTime? InvCopyDate { get; set; }
		public virtual DateTime? InvOrginDate { get; set; }
		public virtual DateTime? FormdbDate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DbSet&lt;InvCkdInvoiceLot&gt; InvCkdInvoiceLots { get; set; }</v>
      </c>
      <c r="L7" t="str">
        <f ca="1">SUBSTITUTE(SUBSTITUTE((C6&amp;E6&amp;I27&amp;"
"&amp;REPT(CHAR(9),2)&amp;"// Define Store Name: Format SP_ + &lt;Store Name&gt; = &lt;Store Name&gt;
"&amp;E3&amp;REPT(CHAR(9),1)&amp;D3&amp;D3),"WorkingPattern",$Q$3),"Master",$B$4)</f>
        <v xml:space="preserve">namespace prod.Inventory.CKD
{
	public class InvCkdInvoiceLotConsts	
	{
		public const int MaxFixlotLength = 4;
		public const int MaxEdNoLength = 6;
		public const int MaxPaymentTermsLength = 100;
		public const int MaxRemarksLength = 1000;
		public const int MaxSupplierNoLength = 50;
		public const int MaxF1Length = 255;
		public const int MaxF2Length = 255;
		public const int MaxF3Length = 255;
		public const int MaxIsActiveLength = 1;
		// Define Store Name: Format SP_ + &lt;Store Name&gt; = &lt;Store Name&gt;
	}
}
</v>
      </c>
      <c r="M7" t="str">
        <f ca="1">SUBSTITUTE(SUBSTITUTE((C1&amp;"namespace "&amp;B6&amp;".Dto"&amp;E3&amp;C3&amp;F6&amp;M27&amp;E3&amp;REPT(CHAR(9),1)&amp;D3&amp;G6&amp;N27&amp;REPT(CHAR(9),1)&amp;D3&amp;H6&amp;O27&amp;"
"&amp;REPT(CHAR(9),1)&amp;D3&amp;D3),"WorkingPattern",$Q$3),"Master",$B$4)</f>
        <v xml:space="preserve">using Abp.Application.Services.Dto;
using System;
using System.ComponentModel.DataAnnotations;
namespace prod.Inventory.CKD.Dto
{
	public class InvCkdInvoiceLotDto : EntityDto&lt;long?&gt;	
	{
		public virtual string Fixlot { get; set; }
		public virtual long? PreCustomsId { get; set; }
		public virtual long? CustomsDeclareId { get; set; }
		public virtual long? InvoiceId { get; set; }
		public virtual string EdNo { get; set; }
		public virtual int? UnitPerLot { get; set; }
		public virtual int? Islot { get; set; }
		public virtual string PaymentTerms { get; set; }
		public virtual string Remarks { get; set; }
		public virtual string SupplierNo { get; set; }
		public virtual string F1 { get; set; }
		public virtual string F2 { get; set; }
		public virtual string F3 { get; set; }
		public virtual DateTime? InvCopyDate { get; set; }
		public virtual DateTime? InvOrginDate { get; set; }
		public virtual DateTime? FormdbDate { get; set; }
		public virtual string IsActive { get; set; }
	}
	public class CreateOrEditInvCkdInvoiceLotDto : EntityDto&lt;long?&gt;	
	{
		[StringLength(InvCkdInvoiceLotConsts.MaxFixlotLength)]
		public virtual string Fixlot { get; set; }
		public virtual long? PreCustomsId { get; set; }
		public virtual long? CustomsDeclareId { get; set; }
		public virtual long? InvoiceId { get; set; }
		[StringLength(InvCkdInvoiceLotConsts.MaxEdNoLength)]
		public virtual string EdNo { get; set; }
		public virtual int? UnitPerLot { get; set; }
		public virtual int? Islot { get; set; }
		[StringLength(InvCkdInvoiceLotConsts.MaxPaymentTermsLength)]
		public virtual string PaymentTerms { get; set; }
		[StringLength(InvCkdInvoiceLotConsts.MaxRemarksLength)]
		public virtual string Remarks { get; set; }
		[StringLength(InvCkdInvoiceLotConsts.MaxSupplierNoLength)]
		public virtual string SupplierNo { get; set; }
		[StringLength(InvCkdInvoiceLotConsts.MaxF1Length)]
		public virtual string F1 { get; set; }
		[StringLength(InvCkdInvoiceLotConsts.MaxF2Length)]
		public virtual string F2 { get; set; }
		[StringLength(InvCkdInvoiceLotConsts.MaxF3Length)]
		public virtual string F3 { get; set; }
		public virtual DateTime? InvCopyDate { get; set; }
		public virtual DateTime? InvOrginDate { get; set; }
		public virtual DateTime? FormdbDate { get; set; }
		[StringLength(InvCkdInvoiceLotConsts.MaxIsActiveLength)]
		public virtual string IsActive { get; set; }
	}
	public class GetInvCkdInvoiceLotInput : PagedAndSortedResultRequestDto	
	{
		public virtual string Fixlot { get; set; }
		public virtual string EdNo { get; set; }
		public virtual string PaymentTerms { get; set; }
		public virtual string Remarks { get; set; }
		public virtual string SupplierNo { get; set; }
		public virtual string F1 { get; set; }
		public virtual string F2 { get; set; }
		public virtual string F3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perInvCkdInvoiceLot = PARENTS.CreateChildPermission(AppPermissions.Pages_Inventory_CKD_InvoiceLot, L( "InventoryCKDInvoiceLot"), multiTenancySides: MultiTenancySides.Tenant);
		perInvCkdInvoiceLot.CreateChildPermission(AppPermissions.Pages_Inventory_CKD_InvoiceLot_CreateEdit, L( "InventoryCKDInvoiceLotCreateEdit"), multiTenancySides: MultiTenancySides.Tenant);
		perInvCkdInvoiceLot.CreateChildPermission(AppPermissions.Pages_Inventory_CKD_InvoiceLot_Delete, L( "InventoryCKDInvoiceLotDelete"),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Pages_Inventory_CKD_InvoiceLot = "Pages.Inventory.CKD.InvoiceLot";
		public const string Pages_Inventory_CKD_InvoiceLot_CreateEdit = "Pages.Inventory.CKD.InvoiceLot.CreateEdit";
		public const string Pages_Inventory_CKD_InvoiceLot_Delete = "Pages.Inventory.CKD.InvoiceLot.Delete";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IInvCkdInvoiceLotAppService : IApplicationService
	{
		Task&lt;PagedResultDto&lt;InvCkdInvoiceLotDto&gt;&gt; GetAll(GetInvCkdInvoiceLotInput input);
		Task CreateOrEdit(CreateOrEditInvCkdInvoiceLotDto input);
		Task Delete(EntityDto input);
	}
}
</v>
      </c>
      <c r="Q7" t="str">
        <f ca="1">SUBSTITUTE(SUBSTITUTE(SUBSTITUTE(SUBSTITUTE(SUBSTITUTE(SUBSTITUTE(E1,"MstWptCalendar",$B$3),"&lt;PROPERTIES&gt;",P27),"Calendar",$B$5),"WorkingPattern",$Q$3),"Master",$B$4),"&lt;PARAMS_SEARCH&gt;",$W$27)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[AbpAuthorize(AppPermissions.Pages_Inventory_CKD_InvoiceLot)]
    public class InvCkdInvoiceLotAppService : vovinaAppServiceBase, IInvCkdInvoiceLotAppService
    {
        private readonly IDapperRepository&lt;InvCkdInvoiceLot, long&gt; _dapperRepo;
        private readonly IRepository&lt;InvCkdInvoiceLot, long&gt; _repo;
        private readonly IInvCkdInvoiceLotExcelExporter _calendarListExcelExporter;
        public InvCkdInvoiceLotAppService(IRepository&lt;InvCkdInvoiceLot,long&gt; repo, 
                                         IDapperRepository&lt;InvCkdInvoiceLot,long&gt; dapperRepo,
                                        IInvCkdInvoiceLotExcelExporter calendarListExcelExporter
            )
        {
            _repo = repo;
            _dapperRepo = dapperRepo;
            _calendarListExcelExporter = calendarListExcelExporter;
        }
        [AbpAuthorize(AppPermissions.Pages_Inventory_CKD_InvoiceLot_CreateEdit)]
        public async Task CreateOrEdit(CreateOrEditInvCkdInvoiceLotDto input)
        {
            if (input.Id == null) await Create(input);
            else await Update(input);
        }
        //CREATE
        private async Task Create(CreateOrEditInvCkdInvoiceLotDto input)
        {          
            var mainObj = ObjectMapper.Map&lt;InvCkdInvoiceLot&gt;(input);
            await CurrentUnitOfWork.GetDbContext&lt;vovinaDbContext&gt;().AddAsync(mainObj);
        }
        // EDIT
        private async Task Update(CreateOrEditInvCkdInvoiceLotDto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[AbpAuthorize(AppPermissions.Pages_Inventory_CKD_InvoiceLot_Delete)]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Task&lt;PagedResultDto&lt;InvCkdInvoiceLotDto&gt;&gt; GetAll(GetInvCkdInvoiceLotInput input)
        {
            var filtered = _repo.GetAll()
				.WhereIf(!string.IsNullOrWhiteSpace(input.Fixlot), e =&gt; e.Fixlot.Contains(input.Fixlot))
				.WhereIf(!string.IsNullOrWhiteSpace(input.EdNo), e =&gt; e.EdNo.Contains(input.EdNo))
				.WhereIf(!string.IsNullOrWhiteSpace(input.PaymentTerms), e =&gt; e.PaymentTerms.Contains(input.PaymentTerms))
				.WhereIf(!string.IsNullOrWhiteSpace(input.Remarks), e =&gt; e.Remarks.Contains(input.Remarks))
				.WhereIf(!string.IsNullOrWhiteSpace(input.SupplierNo), e =&gt; e.SupplierNo.Contains(input.SupplierNo))
				.WhereIf(!string.IsNullOrWhiteSpace(input.F1), e =&gt; e.F1.Contains(input.F1))
				.WhereIf(!string.IsNullOrWhiteSpace(input.F2), e =&gt; e.F2.Contains(input.F2))
				.WhereIf(!string.IsNullOrWhiteSpace(input.F3), e =&gt; e.F3.Contains(input.F3))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InvCkdInvoiceLotDto
                        {
							Id = o.Id,
							Fixlot = o.Fixlot,
							PreCustomsId = o.PreCustomsId,
							CustomsDeclareId = o.CustomsDeclareId,
							InvoiceId = o.InvoiceId,
							EdNo = o.EdNo,
							UnitPerLot = o.UnitPerLot,
							Islot = o.Islot,
							PaymentTerms = o.PaymentTerms,
							Remarks = o.Remarks,
							SupplierNo = o.SupplierNo,
							F1 = o.F1,
							F2 = o.F2,
							F3 = o.F3,
							InvCopyDate = o.InvCopyDate,
							InvOrginDate = o.InvOrginDate,
							FormdbDate = o.FormdbDate,
							IsActive = o.IsActive,
                        };
            var totalCount = await filtered.CountAsync();
			var paged = system.PageBy(input);
            return new PagedResultDto&lt;InvCkdInvoiceLotDto&gt;(
                totalCount,
                 await paged.ToListAsync()
            );
        }
        public async Task&lt;FileDto&gt; GetInvoiceLotToExcel(InvCkdInvoiceLotExportInput input)
        {
            var query = from o in _repo.GetAll()
                        select new InvCkdInvoiceLotDto
                        {
							Id = o.Id,
							Fixlot = o.Fixlot,
							PreCustomsId = o.PreCustomsId,
							CustomsDeclareId = o.CustomsDeclareId,
							InvoiceId = o.InvoiceId,
							EdNo = o.EdNo,
							UnitPerLot = o.UnitPerLot,
							Islot = o.Islot,
							PaymentTerms = o.PaymentTerms,
							Remarks = o.Remarks,
							SupplierNo = o.SupplierNo,
							F1 = o.F1,
							F2 = o.F2,
							F3 = o.F3,
							InvCopyDate = o.InvCopyDate,
							InvOrginDate = o.InvOrginDate,
							FormdbDate = o.FormdbDate,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_dapperRepo.ExecuteAsync(InvCkdInvoiceLotConsts.SP_MST_WPT_CALENDAR_GENERATE);
       // }
    }
}</v>
      </c>
      <c r="R7" t="str">
        <f ca="1">SUBSTITUTE(SUBSTITUTE((C1&amp;"namespace "&amp;B6&amp;".Dto"&amp;E3&amp;C3&amp;R3&amp;M27&amp;E3&amp;REPT(CHAR(9),1)&amp;D3&amp;D3),"WorkingPattern",$Q$3),"Master",$B$4)</f>
        <v xml:space="preserve">using Abp.Application.Services.Dto;
using System;
using System.ComponentModel.DataAnnotations;
namespace prod.Inventory.CKD.Dto
{
	public class InvCkdInvoiceLotExportInput{
		public virtual string Fixlot { get; set; }
		public virtual long? PreCustomsId { get; set; }
		public virtual long? CustomsDeclareId { get; set; }
		public virtual long? InvoiceId { get; set; }
		public virtual string EdNo { get; set; }
		public virtual int? UnitPerLot { get; set; }
		public virtual int? Islot { get; set; }
		public virtual string PaymentTerms { get; set; }
		public virtual string Remarks { get; set; }
		public virtual string SupplierNo { get; set; }
		public virtual string F1 { get; set; }
		public virtual string F2 { get; set; }
		public virtual string F3 { get; set; }
		public virtual DateTime? InvCopyDate { get; set; }
		public virtual DateTime? InvOrginDate { get; set; }
		public virtual DateTime? FormdbDate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IInvCkdInvoiceLotExcelExporter : IApplicationService
	{
		FileDto ExportToFile(List&lt;InvCkdInvoiceLotDto&gt; invckdinvoicelot);
	}
}
</v>
      </c>
      <c r="T7" s="26" t="str">
        <f ca="1">SUBSTITUTE(SUBSTITUTE(SUBSTITUTE(SUBSTITUTE(SUBSTITUTE(SUBSTITUTE(SUBSTITUTE(T1,"MstWptCalendar",$B$3),"&lt;PROPERTIES1&gt;",V27),"&lt;PROPERTIES&gt;",T27),"Calendar",$B$5),"calendar",LOWER(B5)),"WorkingPattern",$Q$3),"Master",$B$4)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InvCkdInvoiceLotExcelExporter : NpoiExcelExporterBase, IInvCkdInvoiceLotExcelExporter
    {
        public InvCkdInvoiceLotExcelExporter(ITempFileCacheManager tempFileCacheManager) : base(tempFileCacheManager) { }
        public FileDto ExportToFile(List&lt;InvCkdInvoiceLotDto&gt; invoicelot)
        {
            return CreateExcelPackage(
				"InventoryCKDInvoiceLot.xlsx",
				excelPackage =&gt;
				 {
					var sheet = excelPackage.CreateSheet("InvoiceLot");
					AddHeader(
								sheet,
								("Fixlot"),
								("PreCustomsId"),
								("CustomsDeclareId"),
								("InvoiceId"),
								("EdNo"),
								("UnitPerLot"),
								("Islot"),
								("PaymentTerms"),
								("Remarks"),
								("SupplierNo"),
								("F1"),
								("F2"),
								("F3"),
								("InvCopyDate"),
								("InvOrginDate"),
								("FormdbDate"),
								("IsActive"),
							   );
					AddObjects(
						 sheet, 1, invoicelot,                                       
								_ =&gt; _.Fixlot,
								_ =&gt; _.PreCustomsId,
								_ =&gt; _.CustomsDeclareId,
								_ =&gt; _.InvoiceId,
								_ =&gt; _.EdNo,
								_ =&gt; _.UnitPerLot,
								_ =&gt; _.Islot,
								_ =&gt; _.PaymentTerms,
								_ =&gt; _.Remarks,
								_ =&gt; _.SupplierNo,
								_ =&gt; _.F1,
								_ =&gt; _.F2,
								_ =&gt; _.F3,
								_ =&gt; _.InvCopyDate,
								_ =&gt; _.InvOrginDate,
								_ =&gt; _.FormdbDate,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configuration.CreateMap&lt;InvCkdInvoiceLotDto, InvCkdInvoiceLot&gt;();
  configuration.CreateMap&lt;InvCkdInvoiceLot, InvCkdInvoiceLotDto&gt;();
  configuration.CreateMap&lt;CreateOrEditInvCkdInvoiceLotDto, InvCkdInvoiceLot&gt;();</v>
      </c>
      <c r="V7" s="26"/>
      <c r="W7" s="26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5">
      <c r="A9" t="s">
        <v>357</v>
      </c>
      <c r="B9" t="s">
        <v>358</v>
      </c>
      <c r="C9" t="s">
        <v>1</v>
      </c>
      <c r="D9" t="str">
        <f t="shared" ref="D9" si="0">SUBSTITUTE(PROPER(A9),"_","")</f>
        <v>Fixlot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MaxFixlotLength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[StringLength(MaxFixlotLength)]
		public virtual string Fixlot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Fixlot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[StringLength(InvCkdInvoiceLotConsts.MaxFixlotLength)]
		public virtual string Fixlot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Fixlot { get; set; }
</v>
      </c>
      <c r="P9" t="str">
        <f t="shared" ref="P9" si="9">REPT(CHAR(9),7)&amp;D9&amp;" = o." &amp;D9 &amp;","</f>
        <v xml:space="preserve">							Fixlot = o.Fixlot,</v>
      </c>
      <c r="T9" s="63" t="str">
        <f t="shared" ref="T9" si="10">REPT(CHAR(9),8)&amp;"("""&amp;D9&amp;"""),"</f>
        <v xml:space="preserve">								("Fixlot"),</v>
      </c>
      <c r="V9" s="64" t="str">
        <f t="shared" ref="V9" si="11">REPT(CHAR(9),8)&amp;"_ =&gt; _."&amp;D9&amp;","</f>
        <v xml:space="preserve">								_ =&gt; _.Fixlot,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.WhereIf(!string.IsNullOrWhiteSpace(input.Fixlot), e =&gt; e.Fixlot.Contains(input.Fixlot))</v>
      </c>
    </row>
    <row r="10" spans="1:23" customFormat="1" ht="18.75" customHeight="1" x14ac:dyDescent="0.35">
      <c r="A10" t="s">
        <v>361</v>
      </c>
      <c r="B10" t="s">
        <v>0</v>
      </c>
      <c r="C10" t="s">
        <v>1</v>
      </c>
      <c r="D10" t="str">
        <f t="shared" ref="D10:D11" si="13">SUBSTITUTE(PROPER(A10),"_","")</f>
        <v>PreCustomsId</v>
      </c>
      <c r="E10" t="str">
        <f t="shared" ref="E10:E11" si="14">IFERROR(LEFT(B10, FIND("(",B10)-1),B10)</f>
        <v>bigint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long?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long? PreCustomsId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long? PreCustomsId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long? PreCustomsId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PreCustomsId = o.PreCustomsId,</v>
      </c>
      <c r="T10" s="63" t="str">
        <f t="shared" ref="T10:T11" si="23">REPT(CHAR(9),8)&amp;"("""&amp;D10&amp;"""),"</f>
        <v xml:space="preserve">								("PreCustomsId"),</v>
      </c>
      <c r="V10" s="64" t="str">
        <f t="shared" ref="V10:V11" si="24">REPT(CHAR(9),8)&amp;"_ =&gt; _."&amp;D10&amp;","</f>
        <v xml:space="preserve">								_ =&gt; _.PreCustomsId,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35">
      <c r="A11" t="s">
        <v>362</v>
      </c>
      <c r="B11" t="s">
        <v>0</v>
      </c>
      <c r="C11" t="s">
        <v>1</v>
      </c>
      <c r="D11" t="str">
        <f t="shared" si="13"/>
        <v>CustomsDeclareId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CustomsDeclareId { get; set; }
</v>
      </c>
      <c r="K11" s="6"/>
      <c r="L11" t="str">
        <f t="shared" si="18"/>
        <v/>
      </c>
      <c r="M11" t="str">
        <f t="shared" si="19"/>
        <v xml:space="preserve">		public virtual long? CustomsDeclareId { get; set; }
</v>
      </c>
      <c r="N11" t="str">
        <f t="shared" si="20"/>
        <v xml:space="preserve">		public virtual long? CustomsDeclareId { get; set; }
</v>
      </c>
      <c r="O11" t="str">
        <f t="shared" si="21"/>
        <v/>
      </c>
      <c r="P11" t="str">
        <f t="shared" si="22"/>
        <v xml:space="preserve">							CustomsDeclareId = o.CustomsDeclareId,</v>
      </c>
      <c r="T11" s="63" t="str">
        <f t="shared" si="23"/>
        <v xml:space="preserve">								("CustomsDeclareId"),</v>
      </c>
      <c r="V11" s="64" t="str">
        <f t="shared" si="24"/>
        <v xml:space="preserve">								_ =&gt; _.CustomsDeclareId,</v>
      </c>
      <c r="W11" s="63" t="str">
        <f t="shared" si="25"/>
        <v/>
      </c>
    </row>
    <row r="12" spans="1:23" customFormat="1" ht="18.75" customHeight="1" x14ac:dyDescent="0.35">
      <c r="A12" t="s">
        <v>359</v>
      </c>
      <c r="B12" t="s">
        <v>0</v>
      </c>
      <c r="C12" t="s">
        <v>1</v>
      </c>
      <c r="D12" t="str">
        <f t="shared" ref="D12:D15" si="26">SUBSTITUTE(PROPER(A12),"_","")</f>
        <v>InvoiceId</v>
      </c>
      <c r="E12" t="str">
        <f t="shared" ref="E12:E15" si="27">IFERROR(LEFT(B12, FIND("(",B12)-1),B12)</f>
        <v>bigint</v>
      </c>
      <c r="F12" s="6"/>
      <c r="G12" t="str">
        <f t="shared" ref="G12:G15" si="28">IFERROR(MID(B12,FIND("(",B12) +1, FIND(")",B12) - FIND("(",B12) - 1),"")</f>
        <v/>
      </c>
      <c r="H12" t="str">
        <f>+VLOOKUP(E12,'Data Type Mapping'!A:B,2,)</f>
        <v>long?</v>
      </c>
      <c r="I12" t="str">
        <f t="shared" ref="I12:I15" si="29">IF(H12="string",REPT(CHAR(9),2)&amp;"public const int Max"&amp;D12&amp;"Length = "&amp;G12&amp;";"&amp;$E$3,"" )</f>
        <v/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long? InvoiceId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long? InvoiceId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long? InvoiceId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35">REPT(CHAR(9),7)&amp;D12&amp;" = o." &amp;D12 &amp;","</f>
        <v xml:space="preserve">							InvoiceId = o.InvoiceId,</v>
      </c>
      <c r="T12" s="63" t="str">
        <f t="shared" ref="T12:T15" si="36">REPT(CHAR(9),8)&amp;"("""&amp;D12&amp;"""),"</f>
        <v xml:space="preserve">								("InvoiceId"),</v>
      </c>
      <c r="V12" s="64" t="str">
        <f t="shared" ref="V12:V15" si="37">REPT(CHAR(9),8)&amp;"_ =&gt; _."&amp;D12&amp;","</f>
        <v xml:space="preserve">								_ =&gt; _.InvoiceId,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5">
      <c r="A13" t="s">
        <v>363</v>
      </c>
      <c r="B13" t="s">
        <v>364</v>
      </c>
      <c r="C13" t="s">
        <v>1</v>
      </c>
      <c r="D13" t="str">
        <f t="shared" si="26"/>
        <v>EdNo</v>
      </c>
      <c r="E13" t="str">
        <f t="shared" si="27"/>
        <v>VARCHAR</v>
      </c>
      <c r="F13" s="6"/>
      <c r="G13" t="str">
        <f t="shared" si="28"/>
        <v>6</v>
      </c>
      <c r="H13" t="str">
        <f>+VLOOKUP(E13,'Data Type Mapping'!A:B,2,)</f>
        <v>string</v>
      </c>
      <c r="I13" t="str">
        <f t="shared" si="29"/>
        <v xml:space="preserve">		public const int MaxEdNoLength = 6;
</v>
      </c>
      <c r="J13" t="str">
        <f t="shared" si="30"/>
        <v xml:space="preserve">		[StringLength(MaxEdNoLength)]
		public virtual string EdNo { get; set; }
</v>
      </c>
      <c r="K13" s="6"/>
      <c r="L13" t="str">
        <f t="shared" si="31"/>
        <v/>
      </c>
      <c r="M13" t="str">
        <f t="shared" si="32"/>
        <v xml:space="preserve">		public virtual string EdNo { get; set; }
</v>
      </c>
      <c r="N13" t="str">
        <f t="shared" si="33"/>
        <v xml:space="preserve">		[StringLength(InvCkdInvoiceLotConsts.MaxEdNoLength)]
		public virtual string EdNo { get; set; }
</v>
      </c>
      <c r="O13" t="str">
        <f t="shared" si="34"/>
        <v xml:space="preserve">		public virtual string EdNo { get; set; }
</v>
      </c>
      <c r="P13" t="str">
        <f t="shared" si="35"/>
        <v xml:space="preserve">							EdNo = o.EdNo,</v>
      </c>
      <c r="T13" s="63" t="str">
        <f t="shared" si="36"/>
        <v xml:space="preserve">								("EdNo"),</v>
      </c>
      <c r="V13" s="64" t="str">
        <f t="shared" si="37"/>
        <v xml:space="preserve">								_ =&gt; _.EdNo,</v>
      </c>
      <c r="W13" s="63" t="str">
        <f t="shared" si="38"/>
        <v xml:space="preserve">				.WhereIf(!string.IsNullOrWhiteSpace(input.EdNo), e =&gt; e.EdNo.Contains(input.EdNo))</v>
      </c>
    </row>
    <row r="14" spans="1:23" customFormat="1" ht="18.75" customHeight="1" x14ac:dyDescent="0.35">
      <c r="A14" t="s">
        <v>365</v>
      </c>
      <c r="B14" t="s">
        <v>4</v>
      </c>
      <c r="C14" t="s">
        <v>1</v>
      </c>
      <c r="D14" t="str">
        <f t="shared" si="26"/>
        <v>UnitPerLot</v>
      </c>
      <c r="E14" t="str">
        <f t="shared" si="27"/>
        <v>int</v>
      </c>
      <c r="F14" s="6"/>
      <c r="G14" t="str">
        <f t="shared" si="28"/>
        <v/>
      </c>
      <c r="H14" t="str">
        <f>+VLOOKUP(E14,'Data Type Mapping'!A:B,2,)</f>
        <v>int?</v>
      </c>
      <c r="I14" t="str">
        <f t="shared" si="29"/>
        <v/>
      </c>
      <c r="J14" t="str">
        <f t="shared" si="30"/>
        <v xml:space="preserve">		public virtual int? UnitPerLot { get; set; }
</v>
      </c>
      <c r="K14" s="6"/>
      <c r="L14" t="str">
        <f t="shared" si="31"/>
        <v/>
      </c>
      <c r="M14" t="str">
        <f t="shared" si="32"/>
        <v xml:space="preserve">		public virtual int? UnitPerLot { get; set; }
</v>
      </c>
      <c r="N14" t="str">
        <f t="shared" si="33"/>
        <v xml:space="preserve">		public virtual int? UnitPerLot { get; set; }
</v>
      </c>
      <c r="O14" t="str">
        <f t="shared" si="34"/>
        <v/>
      </c>
      <c r="P14" t="str">
        <f t="shared" si="35"/>
        <v xml:space="preserve">							UnitPerLot = o.UnitPerLot,</v>
      </c>
      <c r="T14" s="63" t="str">
        <f t="shared" si="36"/>
        <v xml:space="preserve">								("UnitPerLot"),</v>
      </c>
      <c r="V14" s="64" t="str">
        <f t="shared" si="37"/>
        <v xml:space="preserve">								_ =&gt; _.UnitPerLot,</v>
      </c>
      <c r="W14" s="63" t="str">
        <f t="shared" si="38"/>
        <v/>
      </c>
    </row>
    <row r="15" spans="1:23" customFormat="1" ht="18.75" customHeight="1" x14ac:dyDescent="0.35">
      <c r="A15" t="s">
        <v>366</v>
      </c>
      <c r="B15" t="s">
        <v>4</v>
      </c>
      <c r="C15" t="s">
        <v>1</v>
      </c>
      <c r="D15" t="str">
        <f t="shared" si="26"/>
        <v>Islot</v>
      </c>
      <c r="E15" t="str">
        <f t="shared" si="27"/>
        <v>int</v>
      </c>
      <c r="F15" s="6"/>
      <c r="G15" t="str">
        <f t="shared" si="28"/>
        <v/>
      </c>
      <c r="H15" t="str">
        <f>+VLOOKUP(E15,'Data Type Mapping'!A:B,2,)</f>
        <v>int?</v>
      </c>
      <c r="I15" t="str">
        <f t="shared" si="29"/>
        <v/>
      </c>
      <c r="J15" t="str">
        <f t="shared" si="30"/>
        <v xml:space="preserve">		public virtual int? Islot { get; set; }
</v>
      </c>
      <c r="K15" s="6"/>
      <c r="L15" t="str">
        <f t="shared" si="31"/>
        <v/>
      </c>
      <c r="M15" t="str">
        <f t="shared" si="32"/>
        <v xml:space="preserve">		public virtual int? Islot { get; set; }
</v>
      </c>
      <c r="N15" t="str">
        <f t="shared" si="33"/>
        <v xml:space="preserve">		public virtual int? Islot { get; set; }
</v>
      </c>
      <c r="O15" t="str">
        <f t="shared" si="34"/>
        <v/>
      </c>
      <c r="P15" t="str">
        <f t="shared" si="35"/>
        <v xml:space="preserve">							Islot = o.Islot,</v>
      </c>
      <c r="T15" s="63" t="str">
        <f t="shared" si="36"/>
        <v xml:space="preserve">								("Islot"),</v>
      </c>
      <c r="V15" s="64" t="str">
        <f t="shared" si="37"/>
        <v xml:space="preserve">								_ =&gt; _.Islot,</v>
      </c>
      <c r="W15" s="63" t="str">
        <f t="shared" si="38"/>
        <v/>
      </c>
    </row>
    <row r="16" spans="1:23" customFormat="1" ht="18.75" customHeight="1" x14ac:dyDescent="0.35">
      <c r="A16" t="s">
        <v>367</v>
      </c>
      <c r="B16" t="s">
        <v>368</v>
      </c>
      <c r="C16" t="s">
        <v>1</v>
      </c>
      <c r="D16" t="str">
        <f t="shared" ref="D16:D23" si="39">SUBSTITUTE(PROPER(A16),"_","")</f>
        <v>PaymentTerms</v>
      </c>
      <c r="E16" t="str">
        <f t="shared" ref="E16:E23" si="40">IFERROR(LEFT(B16, FIND("(",B16)-1),B16)</f>
        <v>VARCHAR</v>
      </c>
      <c r="F16" s="6"/>
      <c r="G16" t="str">
        <f t="shared" ref="G16:G23" si="41">IFERROR(MID(B16,FIND("(",B16) +1, FIND(")",B16) - FIND("(",B16) - 1),"")</f>
        <v>100</v>
      </c>
      <c r="H16" t="str">
        <f>+VLOOKUP(E16,'Data Type Mapping'!A:B,2,)</f>
        <v>string</v>
      </c>
      <c r="I16" t="str">
        <f t="shared" ref="I16:I23" si="42">IF(H16="string",REPT(CHAR(9),2)&amp;"public const int Max"&amp;D16&amp;"Length = "&amp;G16&amp;";"&amp;$E$3,"" )</f>
        <v xml:space="preserve">		public const int MaxPaymentTermsLength = 100;
</v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[StringLength(MaxPaymentTermsLength)]
		public virtual string PaymentTerms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string PaymentTerms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[StringLength(InvCkdInvoiceLotConsts.MaxPaymentTermsLength)]
		public virtual string PaymentTerms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 xml:space="preserve">		public virtual string PaymentTerms { get; set; }
</v>
      </c>
      <c r="P16" t="str">
        <f t="shared" ref="P16:P23" si="48">REPT(CHAR(9),7)&amp;D16&amp;" = o." &amp;D16 &amp;","</f>
        <v xml:space="preserve">							PaymentTerms = o.PaymentTerms,</v>
      </c>
      <c r="T16" s="63" t="str">
        <f t="shared" ref="T16:T23" si="49">REPT(CHAR(9),8)&amp;"("""&amp;D16&amp;"""),"</f>
        <v xml:space="preserve">								("PaymentTerms"),</v>
      </c>
      <c r="V16" s="64" t="str">
        <f t="shared" ref="V16:V23" si="50">REPT(CHAR(9),8)&amp;"_ =&gt; _."&amp;D16&amp;","</f>
        <v xml:space="preserve">								_ =&gt; _.PaymentTerms,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.WhereIf(!string.IsNullOrWhiteSpace(input.PaymentTerms), e =&gt; e.PaymentTerms.Contains(input.PaymentTerms))</v>
      </c>
    </row>
    <row r="17" spans="1:23" customFormat="1" ht="18.75" customHeight="1" x14ac:dyDescent="0.35">
      <c r="A17" t="s">
        <v>369</v>
      </c>
      <c r="B17" t="s">
        <v>370</v>
      </c>
      <c r="C17" t="s">
        <v>1</v>
      </c>
      <c r="D17" t="str">
        <f t="shared" si="39"/>
        <v>Remarks</v>
      </c>
      <c r="E17" t="str">
        <f t="shared" si="40"/>
        <v>VARCHAR</v>
      </c>
      <c r="F17" s="6"/>
      <c r="G17" t="str">
        <f t="shared" si="41"/>
        <v>1000</v>
      </c>
      <c r="H17" t="str">
        <f>+VLOOKUP(E17,'Data Type Mapping'!A:B,2,)</f>
        <v>string</v>
      </c>
      <c r="I17" t="str">
        <f t="shared" si="42"/>
        <v xml:space="preserve">		public const int MaxRemarksLength = 1000;
</v>
      </c>
      <c r="J17" t="str">
        <f t="shared" si="43"/>
        <v xml:space="preserve">		[StringLength(MaxRemarksLength)]
		public virtual string Remarks { get; set; }
</v>
      </c>
      <c r="K17" s="6"/>
      <c r="L17" t="str">
        <f t="shared" si="44"/>
        <v/>
      </c>
      <c r="M17" t="str">
        <f t="shared" si="45"/>
        <v xml:space="preserve">		public virtual string Remarks { get; set; }
</v>
      </c>
      <c r="N17" t="str">
        <f t="shared" si="46"/>
        <v xml:space="preserve">		[StringLength(InvCkdInvoiceLotConsts.MaxRemarksLength)]
		public virtual string Remarks { get; set; }
</v>
      </c>
      <c r="O17" t="str">
        <f t="shared" si="47"/>
        <v xml:space="preserve">		public virtual string Remarks { get; set; }
</v>
      </c>
      <c r="P17" t="str">
        <f t="shared" si="48"/>
        <v xml:space="preserve">							Remarks = o.Remarks,</v>
      </c>
      <c r="T17" s="63" t="str">
        <f t="shared" si="49"/>
        <v xml:space="preserve">								("Remarks"),</v>
      </c>
      <c r="V17" s="64" t="str">
        <f t="shared" si="50"/>
        <v xml:space="preserve">								_ =&gt; _.Remarks,</v>
      </c>
      <c r="W17" s="63" t="str">
        <f t="shared" si="51"/>
        <v xml:space="preserve">				.WhereIf(!string.IsNullOrWhiteSpace(input.Remarks), e =&gt; e.Remarks.Contains(input.Remarks))</v>
      </c>
    </row>
    <row r="18" spans="1:23" customFormat="1" ht="18.75" customHeight="1" x14ac:dyDescent="0.35">
      <c r="A18" t="s">
        <v>350</v>
      </c>
      <c r="B18" t="s">
        <v>371</v>
      </c>
      <c r="C18" t="s">
        <v>1</v>
      </c>
      <c r="D18" t="str">
        <f t="shared" si="39"/>
        <v>SupplierNo</v>
      </c>
      <c r="E18" t="str">
        <f t="shared" si="40"/>
        <v>VARCHAR</v>
      </c>
      <c r="F18" s="6"/>
      <c r="G18" t="str">
        <f t="shared" si="41"/>
        <v>50</v>
      </c>
      <c r="H18" t="str">
        <f>+VLOOKUP(E18,'Data Type Mapping'!A:B,2,)</f>
        <v>string</v>
      </c>
      <c r="I18" t="str">
        <f t="shared" si="42"/>
        <v xml:space="preserve">		public const int MaxSupplierNoLength = 50;
</v>
      </c>
      <c r="J18" t="str">
        <f t="shared" si="43"/>
        <v xml:space="preserve">		[StringLength(MaxSupplierNoLength)]
		public virtual string SupplierNo { get; set; }
</v>
      </c>
      <c r="K18" s="6"/>
      <c r="L18" t="str">
        <f t="shared" si="44"/>
        <v/>
      </c>
      <c r="M18" t="str">
        <f t="shared" si="45"/>
        <v xml:space="preserve">		public virtual string SupplierNo { get; set; }
</v>
      </c>
      <c r="N18" t="str">
        <f t="shared" si="46"/>
        <v xml:space="preserve">		[StringLength(InvCkdInvoiceLotConsts.MaxSupplierNoLength)]
		public virtual string SupplierNo { get; set; }
</v>
      </c>
      <c r="O18" t="str">
        <f t="shared" si="47"/>
        <v xml:space="preserve">		public virtual string SupplierNo { get; set; }
</v>
      </c>
      <c r="P18" t="str">
        <f t="shared" si="48"/>
        <v xml:space="preserve">							SupplierNo = o.SupplierNo,</v>
      </c>
      <c r="T18" s="63" t="str">
        <f t="shared" si="49"/>
        <v xml:space="preserve">								("SupplierNo"),</v>
      </c>
      <c r="V18" s="64" t="str">
        <f t="shared" si="50"/>
        <v xml:space="preserve">								_ =&gt; _.SupplierNo,</v>
      </c>
      <c r="W18" s="63" t="str">
        <f t="shared" si="51"/>
        <v xml:space="preserve">				.WhereIf(!string.IsNullOrWhiteSpace(input.SupplierNo), e =&gt; e.SupplierNo.Contains(input.SupplierNo))</v>
      </c>
    </row>
    <row r="19" spans="1:23" customFormat="1" ht="18.75" customHeight="1" x14ac:dyDescent="0.35">
      <c r="A19" t="s">
        <v>372</v>
      </c>
      <c r="B19" t="s">
        <v>373</v>
      </c>
      <c r="C19" t="s">
        <v>1</v>
      </c>
      <c r="D19" t="str">
        <f t="shared" si="39"/>
        <v>F1</v>
      </c>
      <c r="E19" t="str">
        <f t="shared" si="40"/>
        <v>VARCHAR</v>
      </c>
      <c r="F19" s="6"/>
      <c r="G19" t="str">
        <f t="shared" si="41"/>
        <v>255</v>
      </c>
      <c r="H19" t="str">
        <f>+VLOOKUP(E19,'Data Type Mapping'!A:B,2,)</f>
        <v>string</v>
      </c>
      <c r="I19" t="str">
        <f t="shared" si="42"/>
        <v xml:space="preserve">		public const int MaxF1Length = 255;
</v>
      </c>
      <c r="J19" t="str">
        <f t="shared" si="43"/>
        <v xml:space="preserve">		[StringLength(MaxF1Length)]
		public virtual string F1 { get; set; }
</v>
      </c>
      <c r="K19" s="6"/>
      <c r="L19" t="str">
        <f t="shared" si="44"/>
        <v/>
      </c>
      <c r="M19" t="str">
        <f t="shared" si="45"/>
        <v xml:space="preserve">		public virtual string F1 { get; set; }
</v>
      </c>
      <c r="N19" t="str">
        <f t="shared" si="46"/>
        <v xml:space="preserve">		[StringLength(InvCkdInvoiceLotConsts.MaxF1Length)]
		public virtual string F1 { get; set; }
</v>
      </c>
      <c r="O19" t="str">
        <f t="shared" si="47"/>
        <v xml:space="preserve">		public virtual string F1 { get; set; }
</v>
      </c>
      <c r="P19" t="str">
        <f t="shared" si="48"/>
        <v xml:space="preserve">							F1 = o.F1,</v>
      </c>
      <c r="T19" s="63" t="str">
        <f t="shared" si="49"/>
        <v xml:space="preserve">								("F1"),</v>
      </c>
      <c r="V19" s="64" t="str">
        <f t="shared" si="50"/>
        <v xml:space="preserve">								_ =&gt; _.F1,</v>
      </c>
      <c r="W19" s="63" t="str">
        <f t="shared" si="51"/>
        <v xml:space="preserve">				.WhereIf(!string.IsNullOrWhiteSpace(input.F1), e =&gt; e.F1.Contains(input.F1))</v>
      </c>
    </row>
    <row r="20" spans="1:23" customFormat="1" ht="18.75" customHeight="1" x14ac:dyDescent="0.35">
      <c r="A20" t="s">
        <v>374</v>
      </c>
      <c r="B20" t="s">
        <v>373</v>
      </c>
      <c r="C20" t="s">
        <v>1</v>
      </c>
      <c r="D20" t="str">
        <f t="shared" si="39"/>
        <v>F2</v>
      </c>
      <c r="E20" t="str">
        <f t="shared" si="40"/>
        <v>VARCHAR</v>
      </c>
      <c r="F20" s="6"/>
      <c r="G20" t="str">
        <f t="shared" si="41"/>
        <v>255</v>
      </c>
      <c r="H20" t="str">
        <f>+VLOOKUP(E20,'Data Type Mapping'!A:B,2,)</f>
        <v>string</v>
      </c>
      <c r="I20" t="str">
        <f t="shared" si="42"/>
        <v xml:space="preserve">		public const int MaxF2Length = 255;
</v>
      </c>
      <c r="J20" t="str">
        <f t="shared" si="43"/>
        <v xml:space="preserve">		[StringLength(MaxF2Length)]
		public virtual string F2 { get; set; }
</v>
      </c>
      <c r="K20" s="6"/>
      <c r="L20" t="str">
        <f t="shared" si="44"/>
        <v/>
      </c>
      <c r="M20" t="str">
        <f t="shared" si="45"/>
        <v xml:space="preserve">		public virtual string F2 { get; set; }
</v>
      </c>
      <c r="N20" t="str">
        <f t="shared" si="46"/>
        <v xml:space="preserve">		[StringLength(InvCkdInvoiceLotConsts.MaxF2Length)]
		public virtual string F2 { get; set; }
</v>
      </c>
      <c r="O20" t="str">
        <f t="shared" si="47"/>
        <v xml:space="preserve">		public virtual string F2 { get; set; }
</v>
      </c>
      <c r="P20" t="str">
        <f t="shared" si="48"/>
        <v xml:space="preserve">							F2 = o.F2,</v>
      </c>
      <c r="T20" s="63" t="str">
        <f t="shared" si="49"/>
        <v xml:space="preserve">								("F2"),</v>
      </c>
      <c r="V20" s="64" t="str">
        <f t="shared" si="50"/>
        <v xml:space="preserve">								_ =&gt; _.F2,</v>
      </c>
      <c r="W20" s="63" t="str">
        <f t="shared" si="51"/>
        <v xml:space="preserve">				.WhereIf(!string.IsNullOrWhiteSpace(input.F2), e =&gt; e.F2.Contains(input.F2))</v>
      </c>
    </row>
    <row r="21" spans="1:23" customFormat="1" ht="18.75" customHeight="1" x14ac:dyDescent="0.35">
      <c r="A21" t="s">
        <v>375</v>
      </c>
      <c r="B21" t="s">
        <v>373</v>
      </c>
      <c r="C21" t="s">
        <v>1</v>
      </c>
      <c r="D21" t="str">
        <f t="shared" si="39"/>
        <v>F3</v>
      </c>
      <c r="E21" t="str">
        <f t="shared" si="40"/>
        <v>VARCHAR</v>
      </c>
      <c r="F21" s="6"/>
      <c r="G21" t="str">
        <f t="shared" si="41"/>
        <v>255</v>
      </c>
      <c r="H21" t="str">
        <f>+VLOOKUP(E21,'Data Type Mapping'!A:B,2,)</f>
        <v>string</v>
      </c>
      <c r="I21" t="str">
        <f t="shared" si="42"/>
        <v xml:space="preserve">		public const int MaxF3Length = 255;
</v>
      </c>
      <c r="J21" t="str">
        <f t="shared" si="43"/>
        <v xml:space="preserve">		[StringLength(MaxF3Length)]
		public virtual string F3 { get; set; }
</v>
      </c>
      <c r="K21" s="6"/>
      <c r="L21" t="str">
        <f t="shared" si="44"/>
        <v/>
      </c>
      <c r="M21" t="str">
        <f t="shared" si="45"/>
        <v xml:space="preserve">		public virtual string F3 { get; set; }
</v>
      </c>
      <c r="N21" t="str">
        <f t="shared" si="46"/>
        <v xml:space="preserve">		[StringLength(InvCkdInvoiceLotConsts.MaxF3Length)]
		public virtual string F3 { get; set; }
</v>
      </c>
      <c r="O21" t="str">
        <f t="shared" si="47"/>
        <v xml:space="preserve">		public virtual string F3 { get; set; }
</v>
      </c>
      <c r="P21" t="str">
        <f t="shared" si="48"/>
        <v xml:space="preserve">							F3 = o.F3,</v>
      </c>
      <c r="T21" s="63" t="str">
        <f t="shared" si="49"/>
        <v xml:space="preserve">								("F3"),</v>
      </c>
      <c r="V21" s="64" t="str">
        <f t="shared" si="50"/>
        <v xml:space="preserve">								_ =&gt; _.F3,</v>
      </c>
      <c r="W21" s="63" t="str">
        <f t="shared" si="51"/>
        <v xml:space="preserve">				.WhereIf(!string.IsNullOrWhiteSpace(input.F3), e =&gt; e.F3.Contains(input.F3))</v>
      </c>
    </row>
    <row r="22" spans="1:23" customFormat="1" ht="18.75" customHeight="1" x14ac:dyDescent="0.35">
      <c r="A22" t="s">
        <v>376</v>
      </c>
      <c r="B22" t="s">
        <v>360</v>
      </c>
      <c r="C22" t="s">
        <v>1</v>
      </c>
      <c r="D22" t="str">
        <f t="shared" si="39"/>
        <v>InvCopyDate</v>
      </c>
      <c r="E22" t="str">
        <f t="shared" si="40"/>
        <v>DATE</v>
      </c>
      <c r="F22" s="6"/>
      <c r="G22" t="str">
        <f t="shared" si="41"/>
        <v/>
      </c>
      <c r="H22" t="str">
        <f>+VLOOKUP(E22,'Data Type Mapping'!A:B,2,)</f>
        <v>DateTime?</v>
      </c>
      <c r="I22" t="str">
        <f t="shared" si="42"/>
        <v/>
      </c>
      <c r="J22" t="str">
        <f t="shared" si="43"/>
        <v xml:space="preserve">		public virtual DateTime? InvCopyDate { get; set; }
</v>
      </c>
      <c r="K22" s="6"/>
      <c r="L22" t="str">
        <f t="shared" si="44"/>
        <v/>
      </c>
      <c r="M22" t="str">
        <f t="shared" si="45"/>
        <v xml:space="preserve">		public virtual DateTime? InvCopyDate { get; set; }
</v>
      </c>
      <c r="N22" t="str">
        <f t="shared" si="46"/>
        <v xml:space="preserve">		public virtual DateTime? InvCopyDate { get; set; }
</v>
      </c>
      <c r="O22" t="str">
        <f t="shared" si="47"/>
        <v/>
      </c>
      <c r="P22" t="str">
        <f t="shared" si="48"/>
        <v xml:space="preserve">							InvCopyDate = o.InvCopyDate,</v>
      </c>
      <c r="T22" s="63" t="str">
        <f t="shared" si="49"/>
        <v xml:space="preserve">								("InvCopyDate"),</v>
      </c>
      <c r="V22" s="64" t="str">
        <f t="shared" si="50"/>
        <v xml:space="preserve">								_ =&gt; _.InvCopyDate,</v>
      </c>
      <c r="W22" s="63" t="str">
        <f t="shared" si="51"/>
        <v/>
      </c>
    </row>
    <row r="23" spans="1:23" customFormat="1" ht="18.75" customHeight="1" x14ac:dyDescent="0.35">
      <c r="A23" t="s">
        <v>377</v>
      </c>
      <c r="B23" t="s">
        <v>360</v>
      </c>
      <c r="C23" t="s">
        <v>1</v>
      </c>
      <c r="D23" t="str">
        <f t="shared" si="39"/>
        <v>InvOrginDate</v>
      </c>
      <c r="E23" t="str">
        <f t="shared" si="40"/>
        <v>DATE</v>
      </c>
      <c r="F23" s="6"/>
      <c r="G23" t="str">
        <f t="shared" si="41"/>
        <v/>
      </c>
      <c r="H23" t="str">
        <f>+VLOOKUP(E23,'Data Type Mapping'!A:B,2,)</f>
        <v>DateTime?</v>
      </c>
      <c r="I23" t="str">
        <f t="shared" si="42"/>
        <v/>
      </c>
      <c r="J23" t="str">
        <f t="shared" si="43"/>
        <v xml:space="preserve">		public virtual DateTime? InvOrginDate { get; set; }
</v>
      </c>
      <c r="K23" s="6"/>
      <c r="L23" t="str">
        <f t="shared" si="44"/>
        <v/>
      </c>
      <c r="M23" t="str">
        <f t="shared" si="45"/>
        <v xml:space="preserve">		public virtual DateTime? InvOrginDate { get; set; }
</v>
      </c>
      <c r="N23" t="str">
        <f t="shared" si="46"/>
        <v xml:space="preserve">		public virtual DateTime? InvOrginDate { get; set; }
</v>
      </c>
      <c r="O23" t="str">
        <f t="shared" si="47"/>
        <v/>
      </c>
      <c r="P23" t="str">
        <f t="shared" si="48"/>
        <v xml:space="preserve">							InvOrginDate = o.InvOrginDate,</v>
      </c>
      <c r="T23" s="63" t="str">
        <f t="shared" si="49"/>
        <v xml:space="preserve">								("InvOrginDate"),</v>
      </c>
      <c r="V23" s="64" t="str">
        <f t="shared" si="50"/>
        <v xml:space="preserve">								_ =&gt; _.InvOrginDate,</v>
      </c>
      <c r="W23" s="63" t="str">
        <f t="shared" si="51"/>
        <v/>
      </c>
    </row>
    <row r="24" spans="1:23" customFormat="1" ht="18.75" customHeight="1" x14ac:dyDescent="0.35">
      <c r="A24" t="s">
        <v>378</v>
      </c>
      <c r="B24" t="s">
        <v>360</v>
      </c>
      <c r="C24" t="s">
        <v>1</v>
      </c>
      <c r="D24" t="str">
        <f t="shared" ref="D24:D25" si="52">SUBSTITUTE(PROPER(A24),"_","")</f>
        <v>FormdbDate</v>
      </c>
      <c r="E24" t="str">
        <f t="shared" ref="E24:E25" si="53">IFERROR(LEFT(B24, FIND("(",B24)-1),B24)</f>
        <v>DATE</v>
      </c>
      <c r="F24" s="6"/>
      <c r="G24" t="str">
        <f t="shared" ref="G24:G25" si="54">IFERROR(MID(B24,FIND("(",B24) +1, FIND(")",B24) - FIND("(",B24) - 1),"")</f>
        <v/>
      </c>
      <c r="H24" t="str">
        <f>+VLOOKUP(E24,'Data Type Mapping'!A:B,2,)</f>
        <v>DateTime?</v>
      </c>
      <c r="I24" t="str">
        <f t="shared" ref="I24:I25" si="55">IF(H24="string",REPT(CHAR(9),2)&amp;"public const int Max"&amp;D24&amp;"Length = "&amp;G24&amp;";"&amp;$E$3,"" )</f>
        <v/>
      </c>
      <c r="J24" t="str">
        <f t="shared" ref="J24:J25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DateTime? FormdbDate { get; set; }
</v>
      </c>
      <c r="K24" s="6"/>
      <c r="L24" t="str">
        <f t="shared" ref="L24:L25" si="57">IF(K24="","",REPT(CHAR(9),1)&amp;"[Index(nameof("&amp;IF(D24="","",""&amp;D24)&amp;")"&amp;", Name="&amp;"""IX_"&amp;$B$7&amp;"_"&amp;D24&amp;""")]")</f>
        <v/>
      </c>
      <c r="M24" t="str">
        <f t="shared" ref="M24:M25" si="58">REPT(CHAR(9),2)&amp;"public virtual "&amp;IF(OR(H24="DateTime",H24="TimeSpan"),H24&amp;"?",H24)&amp;IF(C24="?","? "," ")&amp;D24&amp;" { get; set; }" &amp; "
"</f>
        <v xml:space="preserve">		public virtual DateTime? FormdbDate { get; set; }
</v>
      </c>
      <c r="N24" t="str">
        <f t="shared" ref="N24:N25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DateTime? FormdbDate { get; set; }
</v>
      </c>
      <c r="O24" t="str">
        <f t="shared" ref="O24:O25" si="60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25" si="61">REPT(CHAR(9),7)&amp;D24&amp;" = o." &amp;D24 &amp;","</f>
        <v xml:space="preserve">							FormdbDate = o.FormdbDate,</v>
      </c>
      <c r="T24" s="63" t="str">
        <f t="shared" ref="T24:T25" si="62">REPT(CHAR(9),8)&amp;"("""&amp;D24&amp;"""),"</f>
        <v xml:space="preserve">								("FormdbDate"),</v>
      </c>
      <c r="V24" s="64" t="str">
        <f t="shared" ref="V24:V25" si="63">REPT(CHAR(9),8)&amp;"_ =&gt; _."&amp;D24&amp;","</f>
        <v xml:space="preserve">								_ =&gt; _.FormdbDate,</v>
      </c>
      <c r="W24" s="63" t="str">
        <f t="shared" ref="W24:W25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35">
      <c r="A25" t="s">
        <v>319</v>
      </c>
      <c r="B25" t="s">
        <v>379</v>
      </c>
      <c r="C25" t="s">
        <v>1</v>
      </c>
      <c r="D25" t="str">
        <f t="shared" si="52"/>
        <v>IsActive</v>
      </c>
      <c r="E25" t="str">
        <f t="shared" si="53"/>
        <v>varchar</v>
      </c>
      <c r="F25" s="6"/>
      <c r="G25" t="str">
        <f t="shared" si="54"/>
        <v>1</v>
      </c>
      <c r="H25" t="str">
        <f>+VLOOKUP(E25,'Data Type Mapping'!A:B,2,)</f>
        <v>string</v>
      </c>
      <c r="I25" t="str">
        <f t="shared" si="55"/>
        <v xml:space="preserve">		public const int MaxIsActiveLength = 1;
</v>
      </c>
      <c r="J25" t="str">
        <f t="shared" si="56"/>
        <v xml:space="preserve">		[StringLength(MaxIsActiveLength)]
		public virtual string IsActive { get; set; }
</v>
      </c>
      <c r="K25" s="6"/>
      <c r="L25" t="str">
        <f t="shared" si="57"/>
        <v/>
      </c>
      <c r="M25" t="str">
        <f t="shared" si="58"/>
        <v xml:space="preserve">		public virtual string IsActive { get; set; }
</v>
      </c>
      <c r="N25" t="str">
        <f t="shared" si="59"/>
        <v xml:space="preserve">		[StringLength(InvCkdInvoiceLotConsts.MaxIsActiveLength)]
		public virtual string IsActive { get; set; }
</v>
      </c>
      <c r="O25" t="str">
        <f t="shared" si="60"/>
        <v xml:space="preserve">		public virtual string IsActive { get; set; }
</v>
      </c>
      <c r="P25" t="str">
        <f t="shared" si="61"/>
        <v xml:space="preserve">							IsActive = o.IsActive,</v>
      </c>
      <c r="T25" s="63" t="str">
        <f t="shared" si="62"/>
        <v xml:space="preserve">								("IsActive"),</v>
      </c>
      <c r="V25" s="64" t="str">
        <f t="shared" si="63"/>
        <v xml:space="preserve">								_ =&gt; _.IsActive,</v>
      </c>
      <c r="W25" s="63" t="str">
        <f t="shared" si="64"/>
        <v xml:space="preserve">				.WhereIf(!string.IsNullOrWhiteSpace(input.IsActive), e =&gt; e.IsActive.Contains(input.IsActive))</v>
      </c>
    </row>
    <row r="27" spans="1:23" ht="45.75" customHeight="1" x14ac:dyDescent="0.35">
      <c r="H27" s="11"/>
      <c r="I27" s="31" t="str">
        <f ca="1">TEXTJOIN2("
", TRUE,INDIRECT( $H$1):INDIRECT( $H$3))</f>
        <v xml:space="preserve">		public const int MaxFixlotLength = 4;
		public const int MaxEdNoLength = 6;
		public const int MaxPaymentTermsLength = 100;
		public const int MaxRemarksLength = 1000;
		public const int MaxSupplierNoLength = 50;
		public const int MaxF1Length = 255;
		public const int MaxF2Length = 255;
		public const int MaxF3Length = 255;
		public const int MaxIsActiveLength = 1;
</v>
      </c>
      <c r="J27" s="30" t="str">
        <f ca="1">TEXTJOIN2("
", TRUE,INDIRECT( $F$1):INDIRECT( $F$3))</f>
        <v xml:space="preserve">		[StringLength(MaxFixlotLength)]
		public virtual string Fixlot { get; set; }
		public virtual long? PreCustomsId { get; set; }
		public virtual long? CustomsDeclareId { get; set; }
		public virtual long? InvoiceId { get; set; }
		[StringLength(MaxEdNoLength)]
		public virtual string EdNo { get; set; }
		public virtual int? UnitPerLot { get; set; }
		public virtual int? Islot { get; set; }
		[StringLength(MaxPaymentTermsLength)]
		public virtual string PaymentTerms { get; set; }
		[StringLength(MaxRemarksLength)]
		public virtual string Remarks { get; set; }
		[StringLength(MaxSupplierNoLength)]
		public virtual string SupplierNo { get; set; }
		[StringLength(MaxF1Length)]
		public virtual string F1 { get; set; }
		[StringLength(MaxF2Length)]
		public virtual string F2 { get; set; }
		[StringLength(MaxF3Length)]
		public virtual string F3 { get; set; }
		public virtual DateTime? InvCopyDate { get; set; }
		public virtual DateTime? InvOrginDate { get; set; }
		public virtual DateTime? FormdbDate { get; set; }
		[StringLength(MaxIsActiveLength)]
		public virtual string IsActive { get; set; }
</v>
      </c>
      <c r="K27" s="32" t="str">
        <f ca="1">TEXTJOIN2("
", TRUE,INDIRECT( $J$1):INDIRECT( $J$3))</f>
        <v/>
      </c>
      <c r="L27" s="12" t="s">
        <v>57</v>
      </c>
      <c r="M27" s="33" t="str">
        <f ca="1">TEXTJOIN2("
",TRUE,INDIRECT( $L$1):INDIRECT($L$3))</f>
        <v xml:space="preserve">		public virtual string Fixlot { get; set; }
		public virtual long? PreCustomsId { get; set; }
		public virtual long? CustomsDeclareId { get; set; }
		public virtual long? InvoiceId { get; set; }
		public virtual string EdNo { get; set; }
		public virtual int? UnitPerLot { get; set; }
		public virtual int? Islot { get; set; }
		public virtual string PaymentTerms { get; set; }
		public virtual string Remarks { get; set; }
		public virtual string SupplierNo { get; set; }
		public virtual string F1 { get; set; }
		public virtual string F2 { get; set; }
		public virtual string F3 { get; set; }
		public virtual DateTime? InvCopyDate { get; set; }
		public virtual DateTime? InvOrginDate { get; set; }
		public virtual DateTime? FormdbDate { get; set; }
		public virtual string IsActive { get; set; }
</v>
      </c>
      <c r="N27" s="30" t="str">
        <f ca="1">TEXTJOIN2("
",TRUE,INDIRECT( $M$1):INDIRECT($M$3))</f>
        <v xml:space="preserve">		[StringLength(InvCkdInvoiceLotConsts.MaxFixlotLength)]
		public virtual string Fixlot { get; set; }
		public virtual long? PreCustomsId { get; set; }
		public virtual long? CustomsDeclareId { get; set; }
		public virtual long? InvoiceId { get; set; }
		[StringLength(InvCkdInvoiceLotConsts.MaxEdNoLength)]
		public virtual string EdNo { get; set; }
		public virtual int? UnitPerLot { get; set; }
		public virtual int? Islot { get; set; }
		[StringLength(InvCkdInvoiceLotConsts.MaxPaymentTermsLength)]
		public virtual string PaymentTerms { get; set; }
		[StringLength(InvCkdInvoiceLotConsts.MaxRemarksLength)]
		public virtual string Remarks { get; set; }
		[StringLength(InvCkdInvoiceLotConsts.MaxSupplierNoLength)]
		public virtual string SupplierNo { get; set; }
		[StringLength(InvCkdInvoiceLotConsts.MaxF1Length)]
		public virtual string F1 { get; set; }
		[StringLength(InvCkdInvoiceLotConsts.MaxF2Length)]
		public virtual string F2 { get; set; }
		[StringLength(InvCkdInvoiceLotConsts.MaxF3Length)]
		public virtual string F3 { get; set; }
		public virtual DateTime? InvCopyDate { get; set; }
		public virtual DateTime? InvOrginDate { get; set; }
		public virtual DateTime? FormdbDate { get; set; }
		[StringLength(InvCkdInvoiceLotConsts.MaxIsActiveLength)]
		public virtual string IsActive { get; set; }
</v>
      </c>
      <c r="O27" s="30" t="str">
        <f ca="1">TEXTJOIN2("
",TRUE,INDIRECT( $N$1):INDIRECT($N$3))</f>
        <v xml:space="preserve">		public virtual string Fixlot { get; set; }
		public virtual string EdNo { get; set; }
		public virtual string PaymentTerms { get; set; }
		public virtual string Remarks { get; set; }
		public virtual string SupplierNo { get; set; }
		public virtual string F1 { get; set; }
		public virtual string F2 { get; set; }
		public virtual string F3 { get; set; }
		public virtual string IsActive { get; set; }
</v>
      </c>
      <c r="P27" s="8" t="str">
        <f ca="1">TEXTJOIN2("
",TRUE,INDIRECT( $O$1):INDIRECT($O$3))</f>
        <v xml:space="preserve">							Fixlot = o.Fixlot,
							PreCustomsId = o.PreCustomsId,
							CustomsDeclareId = o.CustomsDeclareId,
							InvoiceId = o.InvoiceId,
							EdNo = o.EdNo,
							UnitPerLot = o.UnitPerLot,
							Islot = o.Islot,
							PaymentTerms = o.PaymentTerms,
							Remarks = o.Remarks,
							SupplierNo = o.SupplierNo,
							F1 = o.F1,
							F2 = o.F2,
							F3 = o.F3,
							InvCopyDate = o.InvCopyDate,
							InvOrginDate = o.InvOrginDate,
							FormdbDate = o.FormdbDate,
							IsActive = o.IsActive,</v>
      </c>
      <c r="T27" s="8" t="str">
        <f ca="1">TEXTJOIN2("
",TRUE,INDIRECT( $T$2):INDIRECT($T$3))</f>
        <v xml:space="preserve">								("Fixlot"),
								("PreCustomsId"),
								("CustomsDeclareId"),
								("InvoiceId"),
								("EdNo"),
								("UnitPerLot"),
								("Islot"),
								("PaymentTerms"),
								("Remarks"),
								("SupplierNo"),
								("F1"),
								("F2"),
								("F3"),
								("InvCopyDate"),
								("InvOrginDate"),
								("FormdbDate"),
								("IsActive"),</v>
      </c>
      <c r="V27" s="8" t="str">
        <f ca="1">TEXTJOIN2("
",TRUE,INDIRECT( $V$2):INDIRECT($V$3))</f>
        <v xml:space="preserve">								_ =&gt; _.Fixlot,
								_ =&gt; _.PreCustomsId,
								_ =&gt; _.CustomsDeclareId,
								_ =&gt; _.InvoiceId,
								_ =&gt; _.EdNo,
								_ =&gt; _.UnitPerLot,
								_ =&gt; _.Islot,
								_ =&gt; _.PaymentTerms,
								_ =&gt; _.Remarks,
								_ =&gt; _.SupplierNo,
								_ =&gt; _.F1,
								_ =&gt; _.F2,
								_ =&gt; _.F3,
								_ =&gt; _.InvCopyDate,
								_ =&gt; _.InvOrginDate,
								_ =&gt; _.FormdbDate,
								_ =&gt; _.IsActive,</v>
      </c>
      <c r="W27" s="8" t="str">
        <f ca="1">TEXTJOIN2("
",TRUE,INDIRECT( $W$2):INDIRECT($W$3))</f>
        <v xml:space="preserve">				.WhereIf(!string.IsNullOrWhiteSpace(input.Fixlot), e =&gt; e.Fixlot.Contains(input.Fixlot))
				.WhereIf(!string.IsNullOrWhiteSpace(input.EdNo), e =&gt; e.EdNo.Contains(input.EdNo))
				.WhereIf(!string.IsNullOrWhiteSpace(input.PaymentTerms), e =&gt; e.PaymentTerms.Contains(input.PaymentTerms))
				.WhereIf(!string.IsNullOrWhiteSpace(input.Remarks), e =&gt; e.Remarks.Contains(input.Remarks))
				.WhereIf(!string.IsNullOrWhiteSpace(input.SupplierNo), e =&gt; e.SupplierNo.Contains(input.SupplierNo))
				.WhereIf(!string.IsNullOrWhiteSpace(input.F1), e =&gt; e.F1.Contains(input.F1))
				.WhereIf(!string.IsNullOrWhiteSpace(input.F2), e =&gt; e.F2.Contains(input.F2))
				.WhereIf(!string.IsNullOrWhiteSpace(input.F3), e =&gt; e.F3.Contains(input.F3))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3"/>
  <sheetViews>
    <sheetView topLeftCell="A13" workbookViewId="0">
      <selection activeCell="C17" sqref="A17:C18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38" t="s">
        <v>208</v>
      </c>
      <c r="B1" s="39" t="s">
        <v>382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5">
      <c r="A6" s="38" t="s">
        <v>220</v>
      </c>
      <c r="B6" s="41" t="str">
        <f>A.Backend!B3</f>
        <v>InvCkdInvoiceLot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5">
      <c r="A7" s="38" t="s">
        <v>211</v>
      </c>
      <c r="B7" s="40" t="str">
        <f>A.Backend!B5</f>
        <v>InvoiceLot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5">
      <c r="A8" s="38" t="s">
        <v>209</v>
      </c>
      <c r="B8" s="40" t="str">
        <f>LOWER(B7)</f>
        <v>invoicelot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InvCkdInvoiceLotDto, InvCkdInvoiceLotServiceProxy } from '@shared/service-proxies/service-proxies';
import { finalize } from 'rxjs/internal/operators/finalize';
import { CreateOrEditInvoiceLotModalComponent } from './create-or-edit-invoicelot-modal.component';
import { DatePipe } from '@angular/common';
import { FileDownloadService } from '@shared/utils/file-download.service';
import ceil from 'lodash-es/ceil';
import { Paginator } from 'primeng/paginator';
@Component({
    templateUrl: './invoicelot.component.html',
    styleUrls: ['./invoicelot.component.less'],
})
export class InvoiceLotComponent extends AppComponentBase implements OnInit {
    @ViewChild('createOrEditModalInvoiceLot', { static: true }) createOrEditModalInvoiceLot:| CreateOrEditInvoiceLotModalComponent|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InvCkdInvoiceLotDto = new InvCkdInvoiceLotDto();
    saveSelectedRow: InvCkdInvoiceLotDto = new InvCkdInvoiceLotDto();
    datas: InvCkdInvoiceLotDto = new InvCkdInvoiceLotDto();
    isLoading: boolean = false;
    dataParams: GridParams | undefined;
    rowData: any[] = [];
    gridApi!: GridApi;
    rowSelection = 'multiple';
    filter: string = '';
	pipe = new DatePipe('en-US');
	frameworkComponents: FrameworkComponent;
    	fixlot : string = '' ; 
	preCustomsId
	customsDeclareId
	invoiceId
	edNo : string = '' ; 
	unitPerLot
	islot
	paymentTerms : string = '' ; 
	remarks : string = '' ; 
	supplierNo : string = '' ; 
	f1 : string = '' ; 
	f2 : string = '' ; 
	f3 : string = '' ; 
	invCopyDate
	invOrginDate
	formdbDate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InvCkdInvoiceLotServiceProxy,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this.l('Fixlot'),headerTooltip: this.l('Fixlot'),field: 'fixlot',flex: 1},
			{headerName: this.l('Pre Customs Id'),headerTooltip: this.l('Pre Customs Id'),field: 'preCustomsId',flex: 1},
			{headerName: this.l('Customs Declare Id'),headerTooltip: this.l('Customs Declare Id'),field: 'customsDeclareId',flex: 1},
			{headerName: this.l('Invoice Id'),headerTooltip: this.l('Invoice Id'),field: 'invoiceId',flex: 1},
			{headerName: this.l('Ed No'),headerTooltip: this.l('Ed No'),field: 'edNo',flex: 1},
			{headerName: this.l('Unit Per Lot'),headerTooltip: this.l('Unit Per Lot'),field: 'unitPerLot',flex: 1},
			{headerName: this.l('Islot'),headerTooltip: this.l('Islot'),field: 'islot',flex: 1},
			{headerName: this.l('Payment Terms'),headerTooltip: this.l('Payment Terms'),field: 'paymentTerms',flex: 1},
			{headerName: this.l('Remarks'),headerTooltip: this.l('Remarks'),field: 'remarks',flex: 1},
			{headerName: this.l('Supplier No'),headerTooltip: this.l('Supplier No'),field: 'supplierNo',flex: 1},
			{headerName: this.l('F1'),headerTooltip: this.l('F1'),field: 'f1',flex: 1},
			{headerName: this.l('F2'),headerTooltip: this.l('F2'),field: 'f2',flex: 1},
			{headerName: this.l('F3'),headerTooltip: this.l('F3'),field: 'f3',flex: 1},
			{headerName: this.l('Inv Copy Date'),headerTooltip: this.l('Inv Copy Date'),field: 'invCopyDate',flex: 1},
			{headerName: this.l('Inv Orgin Date'),headerTooltip: this.l('Inv Orgin Date'),field: 'invOrginDate',flex: 1},
			{headerName: this.l('Formdb Date'),headerTooltip: this.l('Formdb Date'),field: 'formdbDate',flex: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this.fixlot,
			this.preCustomsId,
			this.customsDeclareId,
			this.invoiceId,
			this.edNo,
			this.unitPerLot,
			this.islot,
			this.paymentTerms,
			this.remarks,
			this.supplierNo,
			this.f1,
			this.f2,
			this.f3,
			this.invCopyDate,
			this.invOrginDate,
			this.formdbDate,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this.fixlot = '',
		this.preCustomsId = '',
		this.customsDeclareId = '',
		this.invoiceId = '',
		this.edNo = '',
		this.unitPerLot = '',
		this.islot = '',
		this.paymentTerms = '',
		this.remarks = '',
		this.supplierNo = '',
		this.f1 = '',
		this.f2 = '',
		this.f3 = '',
		this.invCopyDate = '',
		this.invOrginDate = '',
		this.formdbDate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this.fixlot,
			this.preCustomsId,
			this.customsDeclareId,
			this.invoiceId,
			this.edNo,
			this.unitPerLot,
			this.islot,
			this.paymentTerms,
			this.remarks,
			this.supplierNo,
			this.f1,
			this.f2,
			this.f3,
			this.invCopyDate,
			this.invOrginDate,
			this.formdbDate,
			this.isActive,
			'',
            this.paginationParams.skipCount,
            this.paginationParams.pageSize
        );
    }
    onChangeRowSelection(params: { api: { getSelectedRows: () =&gt; InvCkdInvoiceLotDto[] } }) {
        this.saveSelectedRow = params.api.getSelectedRows()[0] ?? new InvCkdInvoiceLotDto();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InvCkdInvoiceLotDto):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this._service.getInvoiceLotToExcel(
			this.fixlot,
			this.preCustomsId,
			this.customsDeclareId,
			this.invoiceId,
			this.edNo,
			this.unitPerLot,
			this.islot,
			this.paymentTerms,
			this.remarks,
			this.supplierNo,
			this.f1,
			this.f2,
			this.f3,
			this.invCopyDate,
			this.invOrginDate,
			this.formdbDate,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Lot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[(ngModel)]='edNo' name='edNo'
									class='form-control' [placeholder]="l('Ed No')"
									type='text' (keyup.enter)='searchDatas()'&gt;
								&lt;/div&gt;
								&lt;div class='input-search'&gt;
									&lt;input [(ngModel)]='paymentTerms' name='paymentTerms'
									class='form-control' [placeholder]="l('Payment Terms')"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[(ngModel)]='f1' name='f1'
									class='form-control' [placeholder]="l('F1')"
									type='text' (keyup.enter)='searchDatas()'&gt;
								&lt;/div&gt;
								&lt;div class='input-search'&gt;
									&lt;input [(ngModel)]='f2' name='f2'
									class='form-control' [placeholder]="l('F2')"
									type='text' (keyup.enter)='searchDatas()'&gt;
								&lt;/div&gt;
								&lt;div class='input-search'&gt;
									&lt;input [(ngModel)]='f3' name='f3'
									class='form-control' [placeholder]="l('F3')"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(click)="createOrEditModalInvoiceLot.show()"&gt;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(click)="createOrEditModalInvoiceLot.show(selectedRow)"&gt;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&lt;create-or-edit-invoicelot-modal
    #createOrEditModalInvoiceLot
    (modalSave)="callBackDataGrid(dataParams)"
    (modalClose)="onChangeRowSelection(dataParams)"
&gt;
&lt;/create-or-edit-invoicelot-modal&gt;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#createOrEditModalInvoiceLot="bs-modal"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InvoiceLot')}}&lt;/h3&gt;
                    &lt;h3 *ngIf="!rowdata.id"&gt;{{('Create New InvoiceLot')}}&lt;/h3&gt;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title'&gt;Ed No&lt;/label&gt;
						&lt;input type='text' class='col-md-10 form-control input-text' name='EdNo' [(ngModel)]='rowdata.edNo'&gt;
					&lt;/div&gt;
					&lt;div class='col-md-12 form-group row'&gt;
						&lt;label class='col-md-2 form-control title'&gt;Payment Terms&lt;/label&gt;
						&lt;input type='text' class='col-md-10 form-control input-text' name='PaymentTerms' [(ngModel)]='rowdata.paymentTerms'&gt;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title'&gt;F1&lt;/label&gt;
						&lt;input type='text' class='col-md-10 form-control input-text' name='F1' [(ngModel)]='rowdata.f1'&gt;
					&lt;/div&gt;
					&lt;div class='col-md-12 form-group row'&gt;
						&lt;label class='col-md-2 form-control title'&gt;F2&lt;/label&gt;
						&lt;input type='text' class='col-md-10 form-control input-text' name='F2' [(ngModel)]='rowdata.f2'&gt;
					&lt;/div&gt;
					&lt;div class='col-md-12 form-group row'&gt;
						&lt;label class='col-md-2 form-control title'&gt;F3&lt;/label&gt;
						&lt;input type='text' class='col-md-10 form-control input-text' name='F3' [(ngModel)]='rowdata.f3'&gt;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CreateOrEditInvCkdInvoiceLotDto, InvCkdInvoiceLotServiceProxy } from '@shared/service-proxies/service-proxies';
import { BsDatepickerDirective } from 'ngx-bootstrap/datepicker';
@Component({
    selector: 'create-or-edit-invoicelot-modal',
    templateUrl: './create-or-edit-invoicelot-modal.component.html',
    styleUrls: ['./create-or-edit-invoicelot-modal.component.less']
    })
export class CreateOrEditInvoiceLotModalComponent extends AppComponentBase {
    @ViewChild('createOrEditModalInvoiceLot',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CreateOrEditInvCkdInvoiceLotDto = new CreateOrEditInvCkdInvoiceLotDto();
    active: boolean = false;
    saving: boolean = false;
    _isActive: boolean;
    constructor(
        injector: Injector,
        private _mstwptInvoiceLotService: InvCkdInvoiceLotServiceProxy,
    ) 
    {
        super(injector);
    }
    show(rowdata?: CreateOrEditInvCkdInvoiceLotDto): void {
        if (!rowdata) this.rowdata = new CreateOrEditInvCkdInvoiceLotDto();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this._mstwptInvoiceLotService.createOrEdit(this.rowdata)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InvoiceLotRoutingModule } from './invoicelot-routing.module';
import { InvoiceLotComponent } from './invoicelot.component';
import { CreateOrEditInvoiceLotModalComponent } from './create-or-edit-invoicelot-modal.component';
@NgModule({
    declarations: [
       InvoiceLotComponent, 
        CreateOrEditInvoiceLotModalComponent
    ],
    imports: [
        AppSharedModule, InvoiceLotRoutingModule]
})
export class InvoiceLotModule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InvoiceLotComponent } from './invoicelot.component';
const routes: Routes = [{
    path: '',
    component: InvoiceLotComponent,
    pathMatch: 'full'
}];
@NgModule({
    imports: [RouterModule.forChild(routes)],
    exports: [RouterModule],
})
export class InvoiceLotRoutingModule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AppMenuItem("InvoiceLot", "Pages.Inventory.CKD.InvoiceLot", "flaticon-book",   "/app/main/inventory/ckd/invoicelot"),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'inventory/ckd/invoicelot',
    loadChildren: () =&gt; import('./inventory/ckd/invoicelot/invoicelot.module').then(m =&gt; m.InvoiceLotModule),
    data: { permission: 'Pages.Inventory.CKD.InvoiceLot' }
},</v>
      </c>
      <c r="R10" s="47" t="str">
        <f>SUBSTITUTE(R9,"MstWptCalendar",$B$6)</f>
        <v>ApiServiceProxies.InvCkdInvoiceLotServiceProxy,</v>
      </c>
      <c r="S10" s="28"/>
      <c r="T10" s="28"/>
      <c r="U10" s="28"/>
      <c r="V10" s="28"/>
    </row>
    <row r="11" spans="1:22" x14ac:dyDescent="0.3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H31</v>
      </c>
      <c r="I12" s="28" t="str">
        <f>"I"&amp;COUNTA($A:$A)</f>
        <v>I31</v>
      </c>
      <c r="J12" s="28"/>
      <c r="K12" s="28" t="str">
        <f>"K"&amp;COUNTA($A:$A)</f>
        <v>K31</v>
      </c>
      <c r="L12" s="28" t="str">
        <f>"L"&amp;COUNTA($A:$A)</f>
        <v>L31</v>
      </c>
      <c r="M12" s="28"/>
      <c r="N12" s="28"/>
      <c r="O12" s="28"/>
      <c r="P12" s="28"/>
      <c r="Q12" s="28"/>
      <c r="R12" s="28"/>
      <c r="S12" s="28" t="str">
        <f>"S"&amp;COUNTA($A:$A)</f>
        <v>S31</v>
      </c>
      <c r="T12" s="28" t="str">
        <f>"T"&amp;COUNTA($A:$A)</f>
        <v>T31</v>
      </c>
      <c r="U12" s="28" t="str">
        <f>"U"&amp;COUNTA($A:$A)</f>
        <v>U31</v>
      </c>
      <c r="V12" s="28" t="str">
        <f>"V"&amp;COUNTA($A:$A)</f>
        <v>V31</v>
      </c>
    </row>
    <row r="13" spans="1:22" ht="17.25" customHeight="1" x14ac:dyDescent="0.3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this.l('Fixlot'),headerTooltip: this.l('Fixlot'),field: 'fixlot',flex: 1},
			{headerName: this.l('Pre Customs Id'),headerTooltip: this.l('Pre Customs Id'),field: 'preCustomsId',flex: 1},
			{headerName: this.l('Customs Declare Id'),headerTooltip: this.l('Customs Declare Id'),field: 'customsDeclareId',flex: 1},
			{headerName: this.l('Invoice Id'),headerTooltip: this.l('Invoice Id'),field: 'invoiceId',flex: 1},
			{headerName: this.l('Ed No'),headerTooltip: this.l('Ed No'),field: 'edNo',flex: 1},
			{headerName: this.l('Unit Per Lot'),headerTooltip: this.l('Unit Per Lot'),field: 'unitPerLot',flex: 1},
			{headerName: this.l('Islot'),headerTooltip: this.l('Islot'),field: 'islot',flex: 1},
			{headerName: this.l('Payment Terms'),headerTooltip: this.l('Payment Terms'),field: 'paymentTerms',flex: 1},
			{headerName: this.l('Remarks'),headerTooltip: this.l('Remarks'),field: 'remarks',flex: 1},
			{headerName: this.l('Supplier No'),headerTooltip: this.l('Supplier No'),field: 'supplierNo',flex: 1},
			{headerName: this.l('F1'),headerTooltip: this.l('F1'),field: 'f1',flex: 1},
			{headerName: this.l('F2'),headerTooltip: this.l('F2'),field: 'f2',flex: 1},
			{headerName: this.l('F3'),headerTooltip: this.l('F3'),field: 'f3',flex: 1},
			{headerName: this.l('Inv Copy Date'),headerTooltip: this.l('Inv Copy Date'),field: 'invCopyDate',flex: 1},
			{headerName: this.l('Inv Orgin Date'),headerTooltip: this.l('Inv Orgin Date'),field: 'invOrginDate',flex: 1},
			{headerName: this.l('Formdb Date'),headerTooltip: this.l('Formdb Date'),field: 'formdbDate',flex: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[(ngModel)]='edNo' name='edNo'
									class='form-control' [placeholder]="l('Ed No')"
									type='text' (keyup.enter)='searchDatas()'&gt;
								&lt;/div&gt;
								&lt;div class='input-search'&gt;
									&lt;input [(ngModel)]='paymentTerms' name='paymentTerms'
									class='form-control' [placeholder]="l('Payment Terms')"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[(ngModel)]='f1' name='f1'
									class='form-control' [placeholder]="l('F1')"
									type='text' (keyup.enter)='searchDatas()'&gt;
								&lt;/div&gt;
								&lt;div class='input-search'&gt;
									&lt;input [(ngModel)]='f2' name='f2'
									class='form-control' [placeholder]="l('F2')"
									type='text' (keyup.enter)='searchDatas()'&gt;
								&lt;/div&gt;
								&lt;div class='input-search'&gt;
									&lt;input [(ngModel)]='f3' name='f3'
									class='form-control' [placeholder]="l('F3')"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title'&gt;Ed No&lt;/label&gt;
						&lt;input type='text' class='col-md-10 form-control input-text' name='EdNo' [(ngModel)]='rowdata.edNo'&gt;
					&lt;/div&gt;
					&lt;div class='col-md-12 form-group row'&gt;
						&lt;label class='col-md-2 form-control title'&gt;Payment Terms&lt;/label&gt;
						&lt;input type='text' class='col-md-10 form-control input-text' name='PaymentTerms' [(ngModel)]='rowdata.paymentTerms'&gt;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title'&gt;F1&lt;/label&gt;
						&lt;input type='text' class='col-md-10 form-control input-text' name='F1' [(ngModel)]='rowdata.f1'&gt;
					&lt;/div&gt;
					&lt;div class='col-md-12 form-group row'&gt;
						&lt;label class='col-md-2 form-control title'&gt;F2&lt;/label&gt;
						&lt;input type='text' class='col-md-10 form-control input-text' name='F2' [(ngModel)]='rowdata.f2'&gt;
					&lt;/div&gt;
					&lt;div class='col-md-12 form-group row'&gt;
						&lt;label class='col-md-2 form-control title'&gt;F3&lt;/label&gt;
						&lt;input type='text' class='col-md-10 form-control input-text' name='F3' [(ngModel)]='rowdata.f3'&gt;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fixlot : string = '' ; 
	preCustomsId
	customsDeclareId
	invoiceId
	edNo : string = '' ; 
	unitPerLot
	islot
	paymentTerms : string = '' ; 
	remarks : string = '' ; 
	supplierNo : string = '' ; 
	f1 : string = '' ; 
	f2 : string = '' ; 
	f3 : string = '' ; 
	invCopyDate
	invOrginDate
	formdbDate
	isActive : string = '' ; </v>
      </c>
      <c r="T13" s="62" t="str">
        <f ca="1">TEXTJOIN2("
",TRUE,INDIRECT(T11):INDIRECT(T12))</f>
        <v xml:space="preserve">			this.fixlot,
			this.preCustomsId,
			this.customsDeclareId,
			this.invoiceId,
			this.edNo,
			this.unitPerLot,
			this.islot,
			this.paymentTerms,
			this.remarks,
			this.supplierNo,
			this.f1,
			this.f2,
			this.f3,
			this.invCopyDate,
			this.invOrginDate,
			this.formdbDate,
			this.isActive,</v>
      </c>
      <c r="U13" s="62" t="str">
        <f ca="1">TEXTJOIN2("
",TRUE,INDIRECT(U11):INDIRECT(U12))</f>
        <v xml:space="preserve">		this.fixlot = '',
		this.preCustomsId = '',
		this.customsDeclareId = '',
		this.invoiceId = '',
		this.edNo = '',
		this.unitPerLot = '',
		this.islot = '',
		this.paymentTerms = '',
		this.remarks = '',
		this.supplierNo = '',
		this.f1 = '',
		this.f2 = '',
		this.f3 = '',
		this.invCopyDate = '',
		this.invOrginDate = '',
		this.formdbDate = '',
		this.isActive = '',</v>
      </c>
      <c r="V13" s="28" t="str">
        <f ca="1">TEXTJOIN2("
",TRUE,INDIRECT(V11):INDIRECT(V12))</f>
        <v>isActive</v>
      </c>
    </row>
    <row r="14" spans="1:22" x14ac:dyDescent="0.3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invoicelot.component.ts</v>
      </c>
      <c r="I14" s="37" t="str">
        <f>B8&amp;".component.html"</f>
        <v>invoicelot.component.html</v>
      </c>
      <c r="J14" s="36" t="str">
        <f>B8&amp;".component.less"</f>
        <v>invoicelot.component.less</v>
      </c>
      <c r="K14" s="37" t="str">
        <f>"create-or-edit-"&amp;B8&amp;"-modal.component.html"</f>
        <v>create-or-edit-invoicelot-modal.component.html</v>
      </c>
      <c r="L14" s="37" t="str">
        <f>"create-or-edit-"&amp;B8&amp;"-modal.component.ts"</f>
        <v>create-or-edit-invoicelot-modal.component.ts</v>
      </c>
      <c r="M14" s="37" t="str">
        <f>"create-or-edit-"&amp;B8&amp;"-modal.component.less"</f>
        <v>create-or-edit-invoicelot-modal.component.less</v>
      </c>
      <c r="N14" s="37" t="str">
        <f>B8&amp;".module.ts"</f>
        <v>invoicelot.module.ts</v>
      </c>
      <c r="O14" s="37" t="str">
        <f>B8&amp;"-routing.module.ts"</f>
        <v>invoicelot-routing.module.ts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5">
      <c r="A15" t="s">
        <v>357</v>
      </c>
      <c r="B15" s="28" t="str">
        <f t="shared" ref="B15:B31" si="0">SUBSTITUTE(PROPER(A15),"_","")</f>
        <v>Fixlot</v>
      </c>
      <c r="C15" s="28" t="str">
        <f t="shared" ref="C15:C31" si="1">SUBSTITUTE(PROPER(A15),"_"," ")</f>
        <v>Fixlot</v>
      </c>
      <c r="D15" s="28" t="str">
        <f t="shared" ref="D15:D31" si="2">LOWER(LEFT(B15,1))&amp;RIGHT(B15,LEN(B15) - 1)</f>
        <v>fixlot</v>
      </c>
      <c r="E15" s="28" t="str">
        <f>A.Backend!H9</f>
        <v>string</v>
      </c>
      <c r="F15" s="28" t="str">
        <f>A.Backend!G9</f>
        <v>4</v>
      </c>
      <c r="G15" s="28" t="str">
        <f t="shared" ref="G15:G31" si="3">IF(E15="string"," : string = '' ; ",IF(OR(E15="DateTime",E15="TimeSpan")," : any ;",IF(E15="int"," : number = 0 ;","")))</f>
        <v xml:space="preserve"> : string = '' ; </v>
      </c>
      <c r="H15" s="35" t="str">
        <f t="shared" ref="H15:H3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this.l('Fixlot'),headerTooltip: this.l('Fixlot'),field: 'fixlot',flex: 1},</v>
      </c>
      <c r="I15" s="35" t="str">
        <f t="shared" ref="I15:I3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[(ngModel)]='fixlot' name='fixlot'
									class='form-control' [placeholder]="l('Fixlot')"
									type='text' (keyup.enter)='searchDatas()'&gt;
								&lt;/div&gt;</v>
      </c>
      <c r="J15" s="28"/>
      <c r="K15" s="35" t="str">
        <f t="shared" ref="K15:K31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title'&gt;Fixlot&lt;/label&gt;
						&lt;input type='text' class='col-md-10 form-control input-text' name='Fixlot' [(ngModel)]='rowdata.fixlot'&gt;
					&lt;/div&gt;</v>
      </c>
      <c r="L15" s="56" t="str">
        <f t="shared" ref="L15:L31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fixlot : string = '' ; </v>
      </c>
      <c r="T15" s="28" t="str">
        <f>REPT(CHAR(9),3)&amp;"this."&amp;D15&amp;","</f>
        <v xml:space="preserve">			this.fixlot,</v>
      </c>
      <c r="U15" s="28" t="str">
        <f>IF(E15="int",REPT(CHAR(9),2)&amp;"this."&amp;D15&amp;" = 0,",REPT(CHAR(9),2)&amp;"this."&amp;D15&amp;" = '',")</f>
        <v xml:space="preserve">		this.fixlot = '',</v>
      </c>
      <c r="V15" s="28" t="str">
        <f t="shared" ref="V15:V31" si="8">IF(AND(E15="string",F15="1"),D15,"")</f>
        <v/>
      </c>
    </row>
    <row r="16" spans="1:22" ht="18" customHeight="1" x14ac:dyDescent="0.35">
      <c r="A16" t="s">
        <v>361</v>
      </c>
      <c r="B16" s="28" t="str">
        <f t="shared" ref="B16" si="9">SUBSTITUTE(PROPER(A16),"_","")</f>
        <v>PreCustomsId</v>
      </c>
      <c r="C16" s="28" t="str">
        <f t="shared" ref="C16" si="10">SUBSTITUTE(PROPER(A16),"_"," ")</f>
        <v>Pre Customs Id</v>
      </c>
      <c r="D16" s="28" t="str">
        <f t="shared" ref="D16" si="11">LOWER(LEFT(B16,1))&amp;RIGHT(B16,LEN(B16) - 1)</f>
        <v>preCustomsId</v>
      </c>
      <c r="E16" s="28" t="str">
        <f>A.Backend!H10</f>
        <v>long?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this.l('Pre Customs Id'),headerTooltip: this.l('Pre Customs Id'),field: 'preCustomsId',flex: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1" si="13">REPT(CHAR(9),1)&amp;D16&amp;G16</f>
        <v xml:space="preserve">	preCustomsId</v>
      </c>
      <c r="T16" s="28" t="str">
        <f t="shared" ref="T16:T31" si="14">REPT(CHAR(9),3)&amp;"this."&amp;D16&amp;","</f>
        <v xml:space="preserve">			this.preCustomsId,</v>
      </c>
      <c r="U16" s="28" t="str">
        <f t="shared" ref="U16:U31" si="15">IF(E16="int",REPT(CHAR(9),2)&amp;"this."&amp;D16&amp;" = 0,",REPT(CHAR(9),2)&amp;"this."&amp;D16&amp;" = '',")</f>
        <v xml:space="preserve">		this.preCustomsId = '',</v>
      </c>
      <c r="V16" s="28" t="str">
        <f t="shared" si="8"/>
        <v/>
      </c>
    </row>
    <row r="17" spans="1:22" ht="18" customHeight="1" x14ac:dyDescent="0.35">
      <c r="A17" t="s">
        <v>362</v>
      </c>
      <c r="B17" s="28" t="str">
        <f>SUBSTITUTE(PROPER(A17),"_","")</f>
        <v>CustomsDeclareId</v>
      </c>
      <c r="C17" s="28" t="str">
        <f>SUBSTITUTE(PROPER(A17),"_"," ")</f>
        <v>Customs Declare Id</v>
      </c>
      <c r="D17" s="28" t="str">
        <f>LOWER(LEFT(B17,1))&amp;RIGHT(B17,LEN(B17) - 1)</f>
        <v>customsDeclareId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this.l('Customs Declare Id'),headerTooltip: this.l('Customs Declare Id'),field: 'customsDeclareId',flex: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customsDeclareId</v>
      </c>
      <c r="T17" s="28" t="str">
        <f t="shared" si="14"/>
        <v xml:space="preserve">			this.customsDeclareId,</v>
      </c>
      <c r="U17" s="28" t="str">
        <f t="shared" si="15"/>
        <v xml:space="preserve">		this.customsDeclareId = '',</v>
      </c>
      <c r="V17" s="28" t="str">
        <f t="shared" si="8"/>
        <v/>
      </c>
    </row>
    <row r="18" spans="1:22" ht="15" customHeight="1" x14ac:dyDescent="0.35">
      <c r="A18" t="s">
        <v>359</v>
      </c>
      <c r="B18" s="28" t="str">
        <f t="shared" ref="B18:B21" si="16">SUBSTITUTE(PROPER(A18),"_","")</f>
        <v>InvoiceId</v>
      </c>
      <c r="C18" s="28" t="str">
        <f t="shared" ref="C18:C21" si="17">SUBSTITUTE(PROPER(A18),"_"," ")</f>
        <v>Invoice Id</v>
      </c>
      <c r="D18" s="28" t="str">
        <f t="shared" ref="D18:D21" si="18">LOWER(LEFT(B18,1))&amp;RIGHT(B18,LEN(B18) - 1)</f>
        <v>invoiceId</v>
      </c>
      <c r="E18" s="28" t="str">
        <f>A.Backend!H12</f>
        <v>long?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this.l('Invoice Id'),headerTooltip: this.l('Invoice Id'),field: 'invoiceId',flex: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invoiceId</v>
      </c>
      <c r="T18" s="28" t="str">
        <f t="shared" si="14"/>
        <v xml:space="preserve">			this.invoiceId,</v>
      </c>
      <c r="U18" s="28" t="str">
        <f t="shared" si="15"/>
        <v xml:space="preserve">		this.invoiceId = '',</v>
      </c>
      <c r="V18" s="28" t="str">
        <f t="shared" si="8"/>
        <v/>
      </c>
    </row>
    <row r="19" spans="1:22" ht="18" customHeight="1" x14ac:dyDescent="0.35">
      <c r="A19" t="s">
        <v>363</v>
      </c>
      <c r="B19" s="28" t="str">
        <f t="shared" si="16"/>
        <v>EdNo</v>
      </c>
      <c r="C19" s="28" t="str">
        <f t="shared" si="17"/>
        <v>Ed No</v>
      </c>
      <c r="D19" s="28" t="str">
        <f t="shared" si="18"/>
        <v>edNo</v>
      </c>
      <c r="E19" s="28" t="str">
        <f>A.Backend!H13</f>
        <v>string</v>
      </c>
      <c r="F19" s="28" t="str">
        <f>A.Backend!G13</f>
        <v>6</v>
      </c>
      <c r="G19" s="28" t="str">
        <f t="shared" si="3"/>
        <v xml:space="preserve"> : string = '' ; </v>
      </c>
      <c r="H19" s="35" t="str">
        <f t="shared" si="4"/>
        <v xml:space="preserve">			{headerName: this.l('Ed No'),headerTooltip: this.l('Ed No'),field: 'edNo',flex: 1},</v>
      </c>
      <c r="I19" s="35" t="str">
        <f t="shared" si="5"/>
        <v xml:space="preserve">								&lt;div class='input-search'&gt;
									&lt;input [(ngModel)]='edNo' name='edNo'
									class='form-control' [placeholder]="l('Ed No')"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title'&gt;Ed No&lt;/label&gt;
						&lt;input type='text' class='col-md-10 form-control input-text' name='EdNo' [(ngModel)]='rowdata.edNo'&gt;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edNo : string = '' ; </v>
      </c>
      <c r="T19" s="28" t="str">
        <f t="shared" si="14"/>
        <v xml:space="preserve">			this.edNo,</v>
      </c>
      <c r="U19" s="28" t="str">
        <f t="shared" si="15"/>
        <v xml:space="preserve">		this.edNo = '',</v>
      </c>
      <c r="V19" s="28" t="str">
        <f t="shared" si="8"/>
        <v/>
      </c>
    </row>
    <row r="20" spans="1:22" ht="15" customHeight="1" x14ac:dyDescent="0.35">
      <c r="A20" t="s">
        <v>365</v>
      </c>
      <c r="B20" s="28" t="str">
        <f t="shared" si="16"/>
        <v>UnitPerLot</v>
      </c>
      <c r="C20" s="28" t="str">
        <f t="shared" si="17"/>
        <v>Unit Per Lot</v>
      </c>
      <c r="D20" s="28" t="str">
        <f t="shared" si="18"/>
        <v>unitPerLot</v>
      </c>
      <c r="E20" s="28" t="str">
        <f>A.Backend!H14</f>
        <v>int?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this.l('Unit Per Lot'),headerTooltip: this.l('Unit Per Lot'),field: 'unitPerLot',flex: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unitPerLot</v>
      </c>
      <c r="T20" s="28" t="str">
        <f t="shared" si="14"/>
        <v xml:space="preserve">			this.unitPerLot,</v>
      </c>
      <c r="U20" s="28" t="str">
        <f t="shared" si="15"/>
        <v xml:space="preserve">		this.unitPerLot = '',</v>
      </c>
      <c r="V20" s="28" t="str">
        <f t="shared" si="8"/>
        <v/>
      </c>
    </row>
    <row r="21" spans="1:22" ht="18" customHeight="1" x14ac:dyDescent="0.35">
      <c r="A21" t="s">
        <v>366</v>
      </c>
      <c r="B21" s="28" t="str">
        <f t="shared" si="16"/>
        <v>Islot</v>
      </c>
      <c r="C21" s="28" t="str">
        <f t="shared" si="17"/>
        <v>Islot</v>
      </c>
      <c r="D21" s="28" t="str">
        <f t="shared" si="18"/>
        <v>islot</v>
      </c>
      <c r="E21" s="28" t="str">
        <f>A.Backend!H15</f>
        <v>int?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this.l('Islot'),headerTooltip: this.l('Islot'),field: 'islot',flex: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islot</v>
      </c>
      <c r="T21" s="28" t="str">
        <f t="shared" si="14"/>
        <v xml:space="preserve">			this.islot,</v>
      </c>
      <c r="U21" s="28" t="str">
        <f t="shared" si="15"/>
        <v xml:space="preserve">		this.islot = '',</v>
      </c>
      <c r="V21" s="28" t="str">
        <f t="shared" si="8"/>
        <v/>
      </c>
    </row>
    <row r="22" spans="1:22" ht="18" customHeight="1" x14ac:dyDescent="0.35">
      <c r="A22" t="s">
        <v>367</v>
      </c>
      <c r="B22" s="28" t="str">
        <f>SUBSTITUTE(PROPER(A22),"_","")</f>
        <v>PaymentTerms</v>
      </c>
      <c r="C22" s="28" t="str">
        <f>SUBSTITUTE(PROPER(A22),"_"," ")</f>
        <v>Payment Terms</v>
      </c>
      <c r="D22" s="28" t="str">
        <f>LOWER(LEFT(B22,1))&amp;RIGHT(B22,LEN(B22) - 1)</f>
        <v>paymentTerms</v>
      </c>
      <c r="E22" s="28" t="str">
        <f>A.Backend!H16</f>
        <v>string</v>
      </c>
      <c r="F22" s="28" t="str">
        <f>A.Backend!G16</f>
        <v>100</v>
      </c>
      <c r="G22" s="28" t="str">
        <f t="shared" si="3"/>
        <v xml:space="preserve"> : string = '' ; </v>
      </c>
      <c r="H22" s="35" t="str">
        <f t="shared" si="4"/>
        <v xml:space="preserve">			{headerName: this.l('Payment Terms'),headerTooltip: this.l('Payment Terms'),field: 'paymentTerms',flex: 1},</v>
      </c>
      <c r="I22" s="35" t="str">
        <f t="shared" si="5"/>
        <v xml:space="preserve">								&lt;div class='input-search'&gt;
									&lt;input [(ngModel)]='paymentTerms' name='paymentTerms'
									class='form-control' [placeholder]="l('Payment Terms')"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title'&gt;Payment Terms&lt;/label&gt;
						&lt;input type='text' class='col-md-10 form-control input-text' name='PaymentTerms' [(ngModel)]='rowdata.paymentTerms'&gt;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paymentTerms : string = '' ; </v>
      </c>
      <c r="T22" s="28" t="str">
        <f t="shared" si="14"/>
        <v xml:space="preserve">			this.paymentTerms,</v>
      </c>
      <c r="U22" s="28" t="str">
        <f t="shared" si="15"/>
        <v xml:space="preserve">		this.paymentTerms = '',</v>
      </c>
      <c r="V22" s="28" t="str">
        <f t="shared" si="8"/>
        <v/>
      </c>
    </row>
    <row r="23" spans="1:22" ht="15" customHeight="1" x14ac:dyDescent="0.35">
      <c r="A23" t="s">
        <v>369</v>
      </c>
      <c r="B23" s="28" t="str">
        <f t="shared" ref="B23:B26" si="20">SUBSTITUTE(PROPER(A23),"_","")</f>
        <v>Remarks</v>
      </c>
      <c r="C23" s="28" t="str">
        <f t="shared" ref="C23:C26" si="21">SUBSTITUTE(PROPER(A23),"_"," ")</f>
        <v>Remarks</v>
      </c>
      <c r="D23" s="28" t="str">
        <f t="shared" ref="D23:D26" si="22">LOWER(LEFT(B23,1))&amp;RIGHT(B23,LEN(B23) - 1)</f>
        <v>remarks</v>
      </c>
      <c r="E23" s="28" t="str">
        <f>A.Backend!H17</f>
        <v>string</v>
      </c>
      <c r="F23" s="28" t="str">
        <f>A.Backend!G17</f>
        <v>1000</v>
      </c>
      <c r="G23" s="28" t="str">
        <f t="shared" si="3"/>
        <v xml:space="preserve"> : string = '' ; </v>
      </c>
      <c r="H23" s="35" t="str">
        <f t="shared" si="4"/>
        <v xml:space="preserve">			{headerName: this.l('Remarks'),headerTooltip: this.l('Remarks'),field: 'remarks',flex: 1},</v>
      </c>
      <c r="I23" s="35" t="str">
        <f t="shared" si="5"/>
        <v xml:space="preserve">								&lt;div class='input-search'&gt;
									&lt;input [(ngModel)]='remarks' name='remarks'
									class='form-control' [placeholder]="l('Remarks')"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title'&gt;Remarks&lt;/label&gt;
						&lt;input type='text' class='col-md-10 form-control input-text' name='Remarks' [(ngModel)]='rowdata.remarks'&gt;
					&lt;/div&gt;</v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remarks : string = '' ; </v>
      </c>
      <c r="T23" s="28" t="str">
        <f t="shared" si="14"/>
        <v xml:space="preserve">			this.remarks,</v>
      </c>
      <c r="U23" s="28" t="str">
        <f t="shared" si="15"/>
        <v xml:space="preserve">		this.remarks = '',</v>
      </c>
      <c r="V23" s="28" t="str">
        <f t="shared" si="8"/>
        <v/>
      </c>
    </row>
    <row r="24" spans="1:22" ht="18" customHeight="1" x14ac:dyDescent="0.35">
      <c r="A24" t="s">
        <v>350</v>
      </c>
      <c r="B24" s="28" t="str">
        <f t="shared" si="20"/>
        <v>SupplierNo</v>
      </c>
      <c r="C24" s="28" t="str">
        <f t="shared" si="21"/>
        <v>Supplier No</v>
      </c>
      <c r="D24" s="28" t="str">
        <f t="shared" si="22"/>
        <v>supplierNo</v>
      </c>
      <c r="E24" s="28" t="str">
        <f>A.Backend!H18</f>
        <v>string</v>
      </c>
      <c r="F24" s="28" t="str">
        <f>A.Backend!G18</f>
        <v>50</v>
      </c>
      <c r="G24" s="28" t="str">
        <f t="shared" si="3"/>
        <v xml:space="preserve"> : string = '' ; </v>
      </c>
      <c r="H24" s="35" t="str">
        <f t="shared" si="4"/>
        <v xml:space="preserve">			{headerName: this.l('Supplier No'),headerTooltip: this.l('Supplier No'),field: 'supplierNo',flex: 1},</v>
      </c>
      <c r="I24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supplierNo : string = '' ; </v>
      </c>
      <c r="T24" s="28" t="str">
        <f t="shared" si="14"/>
        <v xml:space="preserve">			this.supplierNo,</v>
      </c>
      <c r="U24" s="28" t="str">
        <f t="shared" si="15"/>
        <v xml:space="preserve">		this.supplierNo = '',</v>
      </c>
      <c r="V24" s="28" t="str">
        <f t="shared" si="8"/>
        <v/>
      </c>
    </row>
    <row r="25" spans="1:22" ht="15" customHeight="1" x14ac:dyDescent="0.35">
      <c r="A25" t="s">
        <v>372</v>
      </c>
      <c r="B25" s="28" t="str">
        <f t="shared" si="20"/>
        <v>F1</v>
      </c>
      <c r="C25" s="28" t="str">
        <f t="shared" si="21"/>
        <v>F1</v>
      </c>
      <c r="D25" s="28" t="str">
        <f t="shared" si="22"/>
        <v>f1</v>
      </c>
      <c r="E25" s="28" t="str">
        <f>A.Backend!H19</f>
        <v>string</v>
      </c>
      <c r="F25" s="28" t="str">
        <f>A.Backend!G19</f>
        <v>255</v>
      </c>
      <c r="G25" s="28" t="str">
        <f t="shared" si="3"/>
        <v xml:space="preserve"> : string = '' ; </v>
      </c>
      <c r="H25" s="35" t="str">
        <f t="shared" si="4"/>
        <v xml:space="preserve">			{headerName: this.l('F1'),headerTooltip: this.l('F1'),field: 'f1',flex: 1},</v>
      </c>
      <c r="I25" s="35" t="str">
        <f t="shared" si="5"/>
        <v xml:space="preserve">								&lt;div class='input-search'&gt;
									&lt;input [(ngModel)]='f1' name='f1'
									class='form-control' [placeholder]="l('F1')"
									type='text' (keyup.enter)='searchDatas()'&gt;
								&lt;/div&gt;</v>
      </c>
      <c r="J25" s="28"/>
      <c r="K25" s="35" t="str">
        <f t="shared" si="6"/>
        <v xml:space="preserve">					&lt;div class='col-md-12 form-group row'&gt;
						&lt;label class='col-md-2 form-control title'&gt;F1&lt;/label&gt;
						&lt;input type='text' class='col-md-10 form-control input-text' name='F1' [(ngModel)]='rowdata.f1'&gt;
					&lt;/div&gt;</v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f1 : string = '' ; </v>
      </c>
      <c r="T25" s="28" t="str">
        <f t="shared" si="14"/>
        <v xml:space="preserve">			this.f1,</v>
      </c>
      <c r="U25" s="28" t="str">
        <f t="shared" si="15"/>
        <v xml:space="preserve">		this.f1 = '',</v>
      </c>
      <c r="V25" s="28" t="str">
        <f t="shared" si="8"/>
        <v/>
      </c>
    </row>
    <row r="26" spans="1:22" ht="18" customHeight="1" x14ac:dyDescent="0.35">
      <c r="A26" t="s">
        <v>374</v>
      </c>
      <c r="B26" s="28" t="str">
        <f t="shared" si="20"/>
        <v>F2</v>
      </c>
      <c r="C26" s="28" t="str">
        <f t="shared" si="21"/>
        <v>F2</v>
      </c>
      <c r="D26" s="28" t="str">
        <f t="shared" si="22"/>
        <v>f2</v>
      </c>
      <c r="E26" s="28" t="str">
        <f>A.Backend!H20</f>
        <v>string</v>
      </c>
      <c r="F26" s="28" t="str">
        <f>A.Backend!G20</f>
        <v>255</v>
      </c>
      <c r="G26" s="28" t="str">
        <f t="shared" si="3"/>
        <v xml:space="preserve"> : string = '' ; </v>
      </c>
      <c r="H26" s="35" t="str">
        <f t="shared" si="4"/>
        <v xml:space="preserve">			{headerName: this.l('F2'),headerTooltip: this.l('F2'),field: 'f2',flex: 1},</v>
      </c>
      <c r="I26" s="35" t="str">
        <f t="shared" si="5"/>
        <v xml:space="preserve">								&lt;div class='input-search'&gt;
									&lt;input [(ngModel)]='f2' name='f2'
									class='form-control' [placeholder]="l('F2')"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title'&gt;F2&lt;/label&gt;
						&lt;input type='text' class='col-md-10 form-control input-text' name='F2' [(ngModel)]='rowdata.f2'&gt;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f2 : string = '' ; </v>
      </c>
      <c r="T26" s="28" t="str">
        <f t="shared" si="14"/>
        <v xml:space="preserve">			this.f2,</v>
      </c>
      <c r="U26" s="28" t="str">
        <f t="shared" si="15"/>
        <v xml:space="preserve">		this.f2 = '',</v>
      </c>
      <c r="V26" s="28" t="str">
        <f t="shared" si="8"/>
        <v/>
      </c>
    </row>
    <row r="27" spans="1:22" ht="18" customHeight="1" x14ac:dyDescent="0.35">
      <c r="A27" t="s">
        <v>375</v>
      </c>
      <c r="B27" s="28" t="str">
        <f>SUBSTITUTE(PROPER(A27),"_","")</f>
        <v>F3</v>
      </c>
      <c r="C27" s="28" t="str">
        <f>SUBSTITUTE(PROPER(A27),"_"," ")</f>
        <v>F3</v>
      </c>
      <c r="D27" s="28" t="str">
        <f>LOWER(LEFT(B27,1))&amp;RIGHT(B27,LEN(B27) - 1)</f>
        <v>f3</v>
      </c>
      <c r="E27" s="28" t="str">
        <f>A.Backend!H21</f>
        <v>string</v>
      </c>
      <c r="F27" s="28" t="str">
        <f>A.Backend!G21</f>
        <v>255</v>
      </c>
      <c r="G27" s="28" t="str">
        <f t="shared" si="3"/>
        <v xml:space="preserve"> : string = '' ; </v>
      </c>
      <c r="H27" s="35" t="str">
        <f t="shared" si="4"/>
        <v xml:space="preserve">			{headerName: this.l('F3'),headerTooltip: this.l('F3'),field: 'f3',flex: 1},</v>
      </c>
      <c r="I27" s="35" t="str">
        <f t="shared" si="5"/>
        <v xml:space="preserve">								&lt;div class='input-search'&gt;
									&lt;input [(ngModel)]='f3' name='f3'
									class='form-control' [placeholder]="l('F3')"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title'&gt;F3&lt;/label&gt;
						&lt;input type='text' class='col-md-10 form-control input-text' name='F3' [(ngModel)]='rowdata.f3'&gt;
					&lt;/div&gt;</v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f3 : string = '' ; </v>
      </c>
      <c r="T27" s="28" t="str">
        <f t="shared" si="14"/>
        <v xml:space="preserve">			this.f3,</v>
      </c>
      <c r="U27" s="28" t="str">
        <f t="shared" si="15"/>
        <v xml:space="preserve">		this.f3 = '',</v>
      </c>
      <c r="V27" s="28" t="str">
        <f t="shared" si="8"/>
        <v/>
      </c>
    </row>
    <row r="28" spans="1:22" ht="15" customHeight="1" x14ac:dyDescent="0.35">
      <c r="A28" t="s">
        <v>376</v>
      </c>
      <c r="B28" s="28" t="str">
        <f t="shared" ref="B28:B30" si="24">SUBSTITUTE(PROPER(A28),"_","")</f>
        <v>InvCopyDate</v>
      </c>
      <c r="C28" s="28" t="str">
        <f t="shared" ref="C28:C30" si="25">SUBSTITUTE(PROPER(A28),"_"," ")</f>
        <v>Inv Copy Date</v>
      </c>
      <c r="D28" s="28" t="str">
        <f t="shared" ref="D28:D30" si="26">LOWER(LEFT(B28,1))&amp;RIGHT(B28,LEN(B28) - 1)</f>
        <v>invCopyDate</v>
      </c>
      <c r="E28" s="28" t="str">
        <f>A.Backend!H22</f>
        <v>DateTime?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this.l('Inv Copy Date'),headerTooltip: this.l('Inv Copy Date'),field: 'invCopyDate',flex: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invCopyDate</v>
      </c>
      <c r="T28" s="28" t="str">
        <f t="shared" si="14"/>
        <v xml:space="preserve">			this.invCopyDate,</v>
      </c>
      <c r="U28" s="28" t="str">
        <f t="shared" si="15"/>
        <v xml:space="preserve">		this.invCopyDate = '',</v>
      </c>
      <c r="V28" s="28" t="str">
        <f t="shared" si="8"/>
        <v/>
      </c>
    </row>
    <row r="29" spans="1:22" ht="18" customHeight="1" x14ac:dyDescent="0.35">
      <c r="A29" t="s">
        <v>377</v>
      </c>
      <c r="B29" s="28" t="str">
        <f t="shared" si="24"/>
        <v>InvOrginDate</v>
      </c>
      <c r="C29" s="28" t="str">
        <f t="shared" si="25"/>
        <v>Inv Orgin Date</v>
      </c>
      <c r="D29" s="28" t="str">
        <f t="shared" si="26"/>
        <v>invOrginDate</v>
      </c>
      <c r="E29" s="28" t="str">
        <f>A.Backend!H23</f>
        <v>DateTime?</v>
      </c>
      <c r="F29" s="28" t="str">
        <f>A.Backend!G23</f>
        <v/>
      </c>
      <c r="G29" s="28" t="str">
        <f t="shared" si="3"/>
        <v/>
      </c>
      <c r="H29" s="35" t="str">
        <f t="shared" si="4"/>
        <v xml:space="preserve">			{headerName: this.l('Inv Orgin Date'),headerTooltip: this.l('Inv Orgin Date'),field: 'invOrginDate',flex: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invOrginDate</v>
      </c>
      <c r="T29" s="28" t="str">
        <f t="shared" si="14"/>
        <v xml:space="preserve">			this.invOrginDate,</v>
      </c>
      <c r="U29" s="28" t="str">
        <f t="shared" si="15"/>
        <v xml:space="preserve">		this.invOrginDate = '',</v>
      </c>
      <c r="V29" s="28" t="str">
        <f t="shared" si="8"/>
        <v/>
      </c>
    </row>
    <row r="30" spans="1:22" ht="15" customHeight="1" x14ac:dyDescent="0.35">
      <c r="A30" t="s">
        <v>378</v>
      </c>
      <c r="B30" s="28" t="str">
        <f t="shared" si="24"/>
        <v>FormdbDate</v>
      </c>
      <c r="C30" s="28" t="str">
        <f t="shared" si="25"/>
        <v>Formdb Date</v>
      </c>
      <c r="D30" s="28" t="str">
        <f t="shared" si="26"/>
        <v>formdbDate</v>
      </c>
      <c r="E30" s="28" t="str">
        <f>A.Backend!H24</f>
        <v>DateTime?</v>
      </c>
      <c r="F30" s="28" t="str">
        <f>A.Backend!G24</f>
        <v/>
      </c>
      <c r="G30" s="28" t="str">
        <f t="shared" si="3"/>
        <v/>
      </c>
      <c r="H30" s="35" t="str">
        <f t="shared" si="4"/>
        <v xml:space="preserve">			{headerName: this.l('Formdb Date'),headerTooltip: this.l('Formdb Date'),field: 'formdbDate',flex: 1},</v>
      </c>
      <c r="I30" s="35" t="str">
        <f t="shared" si="5"/>
        <v/>
      </c>
      <c r="J30" s="28"/>
      <c r="K30" s="35" t="str">
        <f t="shared" si="6"/>
        <v/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formdbDate</v>
      </c>
      <c r="T30" s="28" t="str">
        <f t="shared" si="14"/>
        <v xml:space="preserve">			this.formdbDate,</v>
      </c>
      <c r="U30" s="28" t="str">
        <f t="shared" si="15"/>
        <v xml:space="preserve">		this.formdbDate = '',</v>
      </c>
      <c r="V30" s="28" t="str">
        <f t="shared" si="8"/>
        <v/>
      </c>
    </row>
    <row r="31" spans="1:22" ht="18" customHeight="1" x14ac:dyDescent="0.35">
      <c r="A31" t="s">
        <v>319</v>
      </c>
      <c r="B31" s="28" t="str">
        <f t="shared" si="0"/>
        <v>IsActive</v>
      </c>
      <c r="C31" s="28" t="str">
        <f t="shared" si="1"/>
        <v>Is Active</v>
      </c>
      <c r="D31" s="28" t="str">
        <f t="shared" si="2"/>
        <v>isActive</v>
      </c>
      <c r="E31" s="28" t="str">
        <f>A.Backend!H25</f>
        <v>string</v>
      </c>
      <c r="F31" s="28" t="str">
        <f>A.Backend!G25</f>
        <v>1</v>
      </c>
      <c r="G31" s="28" t="str">
        <f t="shared" si="3"/>
        <v xml:space="preserve"> : string = '' ; </v>
      </c>
      <c r="H31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1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1" s="56" t="str">
        <f t="shared" si="7"/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isActive : string = '' ; </v>
      </c>
      <c r="T31" s="28" t="str">
        <f t="shared" si="14"/>
        <v xml:space="preserve">			this.isActive,</v>
      </c>
      <c r="U31" s="28" t="str">
        <f t="shared" si="15"/>
        <v xml:space="preserve">		this.isActive = '',</v>
      </c>
      <c r="V31" s="28" t="str">
        <f t="shared" si="8"/>
        <v>isActive</v>
      </c>
    </row>
    <row r="33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32</v>
      </c>
    </row>
    <row r="3" spans="1:2" x14ac:dyDescent="0.35">
      <c r="A3" t="s">
        <v>18</v>
      </c>
      <c r="B3" t="s">
        <v>32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34</v>
      </c>
    </row>
    <row r="6" spans="1:2" x14ac:dyDescent="0.35">
      <c r="A6" t="s">
        <v>23</v>
      </c>
      <c r="B6" t="s">
        <v>356</v>
      </c>
    </row>
    <row r="7" spans="1:2" x14ac:dyDescent="0.35">
      <c r="A7" t="s">
        <v>24</v>
      </c>
      <c r="B7" t="s">
        <v>351</v>
      </c>
    </row>
    <row r="8" spans="1:2" x14ac:dyDescent="0.35">
      <c r="A8" t="s">
        <v>4</v>
      </c>
      <c r="B8" t="s">
        <v>351</v>
      </c>
    </row>
    <row r="9" spans="1:2" x14ac:dyDescent="0.35">
      <c r="A9" t="s">
        <v>0</v>
      </c>
      <c r="B9" t="s">
        <v>352</v>
      </c>
    </row>
    <row r="10" spans="1:2" x14ac:dyDescent="0.35">
      <c r="A10" t="s">
        <v>25</v>
      </c>
      <c r="B10" t="s">
        <v>355</v>
      </c>
    </row>
    <row r="11" spans="1:2" x14ac:dyDescent="0.35">
      <c r="A11" t="s">
        <v>26</v>
      </c>
      <c r="B11" t="s">
        <v>355</v>
      </c>
    </row>
    <row r="12" spans="1:2" x14ac:dyDescent="0.35">
      <c r="A12" t="s">
        <v>27</v>
      </c>
      <c r="B12" t="s">
        <v>355</v>
      </c>
    </row>
    <row r="13" spans="1:2" x14ac:dyDescent="0.35">
      <c r="A13" t="s">
        <v>28</v>
      </c>
      <c r="B13" t="s">
        <v>355</v>
      </c>
    </row>
    <row r="14" spans="1:2" x14ac:dyDescent="0.35">
      <c r="A14" t="s">
        <v>29</v>
      </c>
      <c r="B14" t="s">
        <v>355</v>
      </c>
    </row>
    <row r="15" spans="1:2" x14ac:dyDescent="0.35">
      <c r="A15" t="s">
        <v>30</v>
      </c>
      <c r="B15" t="s">
        <v>355</v>
      </c>
    </row>
    <row r="16" spans="1:2" x14ac:dyDescent="0.35">
      <c r="A16" t="s">
        <v>31</v>
      </c>
      <c r="B16" t="s">
        <v>353</v>
      </c>
    </row>
    <row r="17" spans="1:2" x14ac:dyDescent="0.35">
      <c r="A17" t="s">
        <v>3</v>
      </c>
      <c r="B17" t="s">
        <v>353</v>
      </c>
    </row>
    <row r="18" spans="1:2" x14ac:dyDescent="0.35">
      <c r="A18" t="s">
        <v>33</v>
      </c>
      <c r="B18" t="s">
        <v>353</v>
      </c>
    </row>
    <row r="19" spans="1:2" x14ac:dyDescent="0.35">
      <c r="A19" t="s">
        <v>2</v>
      </c>
      <c r="B19" t="s">
        <v>353</v>
      </c>
    </row>
    <row r="20" spans="1:2" x14ac:dyDescent="0.35">
      <c r="A20" t="s">
        <v>263</v>
      </c>
      <c r="B20" t="s">
        <v>354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0" customWidth="1"/>
  </cols>
  <sheetData>
    <row r="2" spans="1:2" x14ac:dyDescent="0.35">
      <c r="A2" s="22" t="s">
        <v>190</v>
      </c>
      <c r="B2" s="23" t="s">
        <v>187</v>
      </c>
    </row>
    <row r="3" spans="1:2" x14ac:dyDescent="0.35">
      <c r="B3" s="20" t="s">
        <v>112</v>
      </c>
    </row>
    <row r="4" spans="1:2" x14ac:dyDescent="0.35">
      <c r="B4" s="20" t="s">
        <v>113</v>
      </c>
    </row>
    <row r="5" spans="1:2" x14ac:dyDescent="0.35">
      <c r="B5" s="20" t="s">
        <v>114</v>
      </c>
    </row>
    <row r="6" spans="1:2" x14ac:dyDescent="0.35">
      <c r="B6" s="20" t="s">
        <v>115</v>
      </c>
    </row>
    <row r="7" spans="1:2" x14ac:dyDescent="0.35">
      <c r="B7" s="20" t="s">
        <v>116</v>
      </c>
    </row>
    <row r="8" spans="1:2" x14ac:dyDescent="0.35">
      <c r="B8" s="20" t="s">
        <v>117</v>
      </c>
    </row>
    <row r="9" spans="1:2" x14ac:dyDescent="0.35">
      <c r="B9" s="20" t="s">
        <v>118</v>
      </c>
    </row>
    <row r="10" spans="1:2" x14ac:dyDescent="0.35">
      <c r="B10" s="20" t="s">
        <v>119</v>
      </c>
    </row>
    <row r="11" spans="1:2" x14ac:dyDescent="0.35">
      <c r="B11" s="20" t="s">
        <v>120</v>
      </c>
    </row>
    <row r="12" spans="1:2" x14ac:dyDescent="0.35">
      <c r="B12" s="20" t="s">
        <v>121</v>
      </c>
    </row>
    <row r="13" spans="1:2" x14ac:dyDescent="0.35">
      <c r="B13" s="20" t="s">
        <v>122</v>
      </c>
    </row>
    <row r="14" spans="1:2" x14ac:dyDescent="0.35">
      <c r="B14" s="20" t="s">
        <v>123</v>
      </c>
    </row>
    <row r="15" spans="1:2" x14ac:dyDescent="0.35">
      <c r="B15" s="20" t="s">
        <v>124</v>
      </c>
    </row>
    <row r="16" spans="1:2" x14ac:dyDescent="0.35">
      <c r="B16" s="20" t="s">
        <v>125</v>
      </c>
    </row>
    <row r="17" spans="1:3" x14ac:dyDescent="0.35">
      <c r="B17" s="20" t="s">
        <v>126</v>
      </c>
    </row>
    <row r="18" spans="1:3" x14ac:dyDescent="0.35">
      <c r="B18" s="20" t="s">
        <v>127</v>
      </c>
      <c r="C18" t="s">
        <v>189</v>
      </c>
    </row>
    <row r="19" spans="1:3" x14ac:dyDescent="0.35">
      <c r="B19" s="20" t="s">
        <v>128</v>
      </c>
    </row>
    <row r="20" spans="1:3" x14ac:dyDescent="0.35">
      <c r="B20" s="20" t="s">
        <v>129</v>
      </c>
    </row>
    <row r="21" spans="1:3" x14ac:dyDescent="0.35">
      <c r="B21" s="20" t="s">
        <v>130</v>
      </c>
    </row>
    <row r="22" spans="1:3" x14ac:dyDescent="0.35">
      <c r="B22" s="20" t="s">
        <v>131</v>
      </c>
      <c r="C22" t="s">
        <v>194</v>
      </c>
    </row>
    <row r="23" spans="1:3" x14ac:dyDescent="0.35">
      <c r="B23" s="20" t="s">
        <v>132</v>
      </c>
    </row>
    <row r="24" spans="1:3" x14ac:dyDescent="0.35">
      <c r="B24" s="20" t="s">
        <v>133</v>
      </c>
    </row>
    <row r="25" spans="1:3" x14ac:dyDescent="0.35">
      <c r="B25" s="20" t="s">
        <v>134</v>
      </c>
    </row>
    <row r="26" spans="1:3" x14ac:dyDescent="0.35">
      <c r="A26" s="22" t="s">
        <v>191</v>
      </c>
      <c r="B26" s="23" t="s">
        <v>188</v>
      </c>
    </row>
    <row r="27" spans="1:3" x14ac:dyDescent="0.35">
      <c r="B27" s="20" t="s">
        <v>135</v>
      </c>
    </row>
    <row r="28" spans="1:3" x14ac:dyDescent="0.35">
      <c r="B28" s="21" t="s">
        <v>136</v>
      </c>
    </row>
    <row r="29" spans="1:3" x14ac:dyDescent="0.35">
      <c r="B29" s="20" t="s">
        <v>137</v>
      </c>
    </row>
    <row r="30" spans="1:3" x14ac:dyDescent="0.35">
      <c r="B30" s="20" t="s">
        <v>138</v>
      </c>
    </row>
    <row r="31" spans="1:3" x14ac:dyDescent="0.35">
      <c r="B31" s="20" t="s">
        <v>139</v>
      </c>
    </row>
    <row r="32" spans="1:3" x14ac:dyDescent="0.35">
      <c r="B32" s="20" t="s">
        <v>140</v>
      </c>
    </row>
    <row r="33" spans="2:2" x14ac:dyDescent="0.35">
      <c r="B33" s="20" t="s">
        <v>141</v>
      </c>
    </row>
    <row r="34" spans="2:2" x14ac:dyDescent="0.35">
      <c r="B34" s="20" t="s">
        <v>142</v>
      </c>
    </row>
    <row r="35" spans="2:2" x14ac:dyDescent="0.35">
      <c r="B35" s="20" t="s">
        <v>143</v>
      </c>
    </row>
    <row r="36" spans="2:2" x14ac:dyDescent="0.35">
      <c r="B36" s="20" t="s">
        <v>144</v>
      </c>
    </row>
    <row r="37" spans="2:2" x14ac:dyDescent="0.35">
      <c r="B37" s="20" t="s">
        <v>145</v>
      </c>
    </row>
    <row r="38" spans="2:2" x14ac:dyDescent="0.35">
      <c r="B38" s="20" t="s">
        <v>146</v>
      </c>
    </row>
    <row r="39" spans="2:2" x14ac:dyDescent="0.35">
      <c r="B39" s="20" t="s">
        <v>147</v>
      </c>
    </row>
    <row r="40" spans="2:2" x14ac:dyDescent="0.35">
      <c r="B40" s="20" t="s">
        <v>148</v>
      </c>
    </row>
    <row r="41" spans="2:2" x14ac:dyDescent="0.35">
      <c r="B41" s="20" t="s">
        <v>149</v>
      </c>
    </row>
    <row r="42" spans="2:2" x14ac:dyDescent="0.35">
      <c r="B42" s="20" t="s">
        <v>150</v>
      </c>
    </row>
    <row r="43" spans="2:2" x14ac:dyDescent="0.35">
      <c r="B43" s="21" t="s">
        <v>151</v>
      </c>
    </row>
    <row r="44" spans="2:2" x14ac:dyDescent="0.35">
      <c r="B44" s="20" t="s">
        <v>137</v>
      </c>
    </row>
    <row r="45" spans="2:2" x14ac:dyDescent="0.35">
      <c r="B45" s="20" t="s">
        <v>152</v>
      </c>
    </row>
    <row r="46" spans="2:2" x14ac:dyDescent="0.35">
      <c r="B46" s="20" t="s">
        <v>153</v>
      </c>
    </row>
    <row r="47" spans="2:2" x14ac:dyDescent="0.35">
      <c r="B47" s="20" t="s">
        <v>154</v>
      </c>
    </row>
    <row r="48" spans="2:2" x14ac:dyDescent="0.35">
      <c r="B48" s="20" t="s">
        <v>155</v>
      </c>
    </row>
    <row r="49" spans="2:2" x14ac:dyDescent="0.35">
      <c r="B49" s="20" t="s">
        <v>138</v>
      </c>
    </row>
    <row r="50" spans="2:2" x14ac:dyDescent="0.35">
      <c r="B50" s="20" t="s">
        <v>139</v>
      </c>
    </row>
    <row r="51" spans="2:2" x14ac:dyDescent="0.35">
      <c r="B51" s="20" t="s">
        <v>140</v>
      </c>
    </row>
    <row r="52" spans="2:2" x14ac:dyDescent="0.35">
      <c r="B52" s="20" t="s">
        <v>141</v>
      </c>
    </row>
    <row r="53" spans="2:2" x14ac:dyDescent="0.35">
      <c r="B53" s="20" t="s">
        <v>142</v>
      </c>
    </row>
    <row r="54" spans="2:2" x14ac:dyDescent="0.35">
      <c r="B54" s="20" t="s">
        <v>143</v>
      </c>
    </row>
    <row r="55" spans="2:2" x14ac:dyDescent="0.35">
      <c r="B55" s="20" t="s">
        <v>144</v>
      </c>
    </row>
    <row r="56" spans="2:2" x14ac:dyDescent="0.35">
      <c r="B56" s="20" t="s">
        <v>156</v>
      </c>
    </row>
    <row r="57" spans="2:2" x14ac:dyDescent="0.35">
      <c r="B57" s="20" t="s">
        <v>157</v>
      </c>
    </row>
    <row r="58" spans="2:2" x14ac:dyDescent="0.35">
      <c r="B58" s="20" t="s">
        <v>145</v>
      </c>
    </row>
    <row r="59" spans="2:2" x14ac:dyDescent="0.35">
      <c r="B59" s="20" t="s">
        <v>146</v>
      </c>
    </row>
    <row r="60" spans="2:2" x14ac:dyDescent="0.35">
      <c r="B60" s="20" t="s">
        <v>158</v>
      </c>
    </row>
    <row r="61" spans="2:2" x14ac:dyDescent="0.35">
      <c r="B61" s="20" t="s">
        <v>159</v>
      </c>
    </row>
    <row r="62" spans="2:2" x14ac:dyDescent="0.35">
      <c r="B62" s="20" t="s">
        <v>160</v>
      </c>
    </row>
    <row r="63" spans="2:2" x14ac:dyDescent="0.35">
      <c r="B63" s="20" t="s">
        <v>155</v>
      </c>
    </row>
    <row r="64" spans="2:2" x14ac:dyDescent="0.35">
      <c r="B64" s="20" t="s">
        <v>147</v>
      </c>
    </row>
    <row r="65" spans="2:2" x14ac:dyDescent="0.35">
      <c r="B65" s="20" t="s">
        <v>148</v>
      </c>
    </row>
    <row r="66" spans="2:2" x14ac:dyDescent="0.35">
      <c r="B66" s="20" t="s">
        <v>161</v>
      </c>
    </row>
    <row r="67" spans="2:2" x14ac:dyDescent="0.35">
      <c r="B67" s="20" t="s">
        <v>155</v>
      </c>
    </row>
    <row r="68" spans="2:2" x14ac:dyDescent="0.35">
      <c r="B68" s="20" t="s">
        <v>149</v>
      </c>
    </row>
    <row r="69" spans="2:2" x14ac:dyDescent="0.35">
      <c r="B69" s="20" t="s">
        <v>162</v>
      </c>
    </row>
    <row r="70" spans="2:2" x14ac:dyDescent="0.35">
      <c r="B70" s="21" t="s">
        <v>163</v>
      </c>
    </row>
    <row r="71" spans="2:2" x14ac:dyDescent="0.35">
      <c r="B71" s="20" t="s">
        <v>137</v>
      </c>
    </row>
    <row r="72" spans="2:2" x14ac:dyDescent="0.35">
      <c r="B72" s="20" t="s">
        <v>138</v>
      </c>
    </row>
    <row r="73" spans="2:2" x14ac:dyDescent="0.35">
      <c r="B73" s="20" t="s">
        <v>139</v>
      </c>
    </row>
    <row r="74" spans="2:2" x14ac:dyDescent="0.35">
      <c r="B74" s="20" t="s">
        <v>140</v>
      </c>
    </row>
    <row r="75" spans="2:2" x14ac:dyDescent="0.35">
      <c r="B75" s="20" t="s">
        <v>144</v>
      </c>
    </row>
    <row r="76" spans="2:2" x14ac:dyDescent="0.35">
      <c r="B76" s="20" t="s">
        <v>146</v>
      </c>
    </row>
    <row r="77" spans="2:2" x14ac:dyDescent="0.35">
      <c r="B77" s="20" t="s">
        <v>147</v>
      </c>
    </row>
    <row r="78" spans="2:2" x14ac:dyDescent="0.35">
      <c r="B78" s="20" t="s">
        <v>148</v>
      </c>
    </row>
    <row r="79" spans="2:2" x14ac:dyDescent="0.35">
      <c r="B79" s="20" t="s">
        <v>149</v>
      </c>
    </row>
    <row r="80" spans="2:2" x14ac:dyDescent="0.35">
      <c r="B80" s="20" t="s">
        <v>162</v>
      </c>
    </row>
    <row r="81" spans="1:2" x14ac:dyDescent="0.35">
      <c r="B81" s="21" t="s">
        <v>164</v>
      </c>
    </row>
    <row r="82" spans="1:2" x14ac:dyDescent="0.35">
      <c r="B82" s="21" t="s">
        <v>165</v>
      </c>
    </row>
    <row r="83" spans="1:2" x14ac:dyDescent="0.35">
      <c r="B83" s="21" t="s">
        <v>166</v>
      </c>
    </row>
    <row r="84" spans="1:2" x14ac:dyDescent="0.35">
      <c r="B84" s="21" t="s">
        <v>167</v>
      </c>
    </row>
    <row r="85" spans="1:2" x14ac:dyDescent="0.35">
      <c r="B85" s="21" t="s">
        <v>168</v>
      </c>
    </row>
    <row r="86" spans="1:2" x14ac:dyDescent="0.35">
      <c r="B86" s="21" t="s">
        <v>169</v>
      </c>
    </row>
    <row r="87" spans="1:2" x14ac:dyDescent="0.35">
      <c r="B87" s="21" t="s">
        <v>170</v>
      </c>
    </row>
    <row r="88" spans="1:2" x14ac:dyDescent="0.35">
      <c r="A88" s="22" t="s">
        <v>192</v>
      </c>
      <c r="B88" s="24" t="s">
        <v>171</v>
      </c>
    </row>
    <row r="89" spans="1:2" x14ac:dyDescent="0.35">
      <c r="B89" s="20" t="s">
        <v>172</v>
      </c>
    </row>
    <row r="90" spans="1:2" x14ac:dyDescent="0.35">
      <c r="B90" s="20" t="s">
        <v>173</v>
      </c>
    </row>
    <row r="91" spans="1:2" x14ac:dyDescent="0.35">
      <c r="B91" s="20" t="s">
        <v>174</v>
      </c>
    </row>
    <row r="92" spans="1:2" x14ac:dyDescent="0.35">
      <c r="B92" s="20" t="s">
        <v>175</v>
      </c>
    </row>
    <row r="93" spans="1:2" x14ac:dyDescent="0.35">
      <c r="B93" s="20" t="s">
        <v>176</v>
      </c>
    </row>
    <row r="94" spans="1:2" x14ac:dyDescent="0.35">
      <c r="B94" s="20" t="s">
        <v>177</v>
      </c>
    </row>
    <row r="95" spans="1:2" x14ac:dyDescent="0.35">
      <c r="B95" s="20" t="s">
        <v>178</v>
      </c>
    </row>
    <row r="96" spans="1:2" x14ac:dyDescent="0.35">
      <c r="B96" s="20" t="s">
        <v>179</v>
      </c>
    </row>
    <row r="97" spans="2:2" x14ac:dyDescent="0.35">
      <c r="B97" s="20" t="s">
        <v>180</v>
      </c>
    </row>
    <row r="98" spans="2:2" x14ac:dyDescent="0.35">
      <c r="B98" s="20" t="s">
        <v>181</v>
      </c>
    </row>
    <row r="99" spans="2:2" x14ac:dyDescent="0.35">
      <c r="B99" s="20" t="s">
        <v>182</v>
      </c>
    </row>
    <row r="100" spans="2:2" x14ac:dyDescent="0.35">
      <c r="B100" s="20" t="s">
        <v>183</v>
      </c>
    </row>
    <row r="101" spans="2:2" x14ac:dyDescent="0.35">
      <c r="B101" s="20" t="s">
        <v>184</v>
      </c>
    </row>
    <row r="102" spans="2:2" x14ac:dyDescent="0.35">
      <c r="B102" s="20" t="s">
        <v>185</v>
      </c>
    </row>
    <row r="103" spans="2:2" x14ac:dyDescent="0.3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2023-04-13T08:47:00Z</dcterms:modified>
</cp:coreProperties>
</file>
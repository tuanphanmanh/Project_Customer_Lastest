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E16" i="5" l="1"/>
  <c r="F16" i="5"/>
  <c r="E17" i="5"/>
  <c r="I17" i="5" s="1"/>
  <c r="F17" i="5"/>
  <c r="E18" i="5"/>
  <c r="F18" i="5"/>
  <c r="E19" i="5"/>
  <c r="F19" i="5"/>
  <c r="V18" i="5"/>
  <c r="C18" i="5"/>
  <c r="B18" i="5"/>
  <c r="D18" i="5" s="1"/>
  <c r="T18" i="5" s="1"/>
  <c r="C17" i="5"/>
  <c r="B17" i="5"/>
  <c r="D17" i="5" s="1"/>
  <c r="K16" i="5"/>
  <c r="C16" i="5"/>
  <c r="B16" i="5"/>
  <c r="D16" i="5" s="1"/>
  <c r="V16" i="5" l="1"/>
  <c r="G16" i="5"/>
  <c r="K17" i="5"/>
  <c r="T16" i="5"/>
  <c r="H16" i="5"/>
  <c r="T17" i="5"/>
  <c r="U17" i="5"/>
  <c r="S16" i="5"/>
  <c r="H18" i="5"/>
  <c r="I16" i="5"/>
  <c r="G17" i="5"/>
  <c r="S17" i="5" s="1"/>
  <c r="L17" i="5"/>
  <c r="V17" i="5"/>
  <c r="I18" i="5"/>
  <c r="U16" i="5"/>
  <c r="H17" i="5"/>
  <c r="K18" i="5"/>
  <c r="U18" i="5"/>
  <c r="L16" i="5"/>
  <c r="G18" i="5"/>
  <c r="S18" i="5" s="1"/>
  <c r="L18" i="5"/>
  <c r="B6" i="1"/>
  <c r="G13" i="1"/>
  <c r="E13" i="1"/>
  <c r="H13" i="1" s="1"/>
  <c r="D13" i="1"/>
  <c r="V13" i="1" s="1"/>
  <c r="W13" i="1" l="1"/>
  <c r="N13" i="1"/>
  <c r="I13" i="1"/>
  <c r="M13" i="1"/>
  <c r="O13" i="1"/>
  <c r="J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M11" i="1" l="1"/>
  <c r="T19" i="5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C20" i="5" l="1"/>
  <c r="B20" i="5"/>
  <c r="D20" i="5" s="1"/>
  <c r="G14" i="1"/>
  <c r="F20" i="5" s="1"/>
  <c r="E14" i="1"/>
  <c r="H14" i="1" s="1"/>
  <c r="E20" i="5" s="1"/>
  <c r="D14" i="1"/>
  <c r="V14" i="1" s="1"/>
  <c r="I20" i="5" l="1"/>
  <c r="T20" i="5"/>
  <c r="W14" i="1"/>
  <c r="J14" i="1"/>
  <c r="I14" i="1"/>
  <c r="O14" i="1"/>
  <c r="N14" i="1"/>
  <c r="M14" i="1"/>
  <c r="P14" i="1"/>
  <c r="T14" i="1"/>
  <c r="G9" i="1"/>
  <c r="F15" i="5" s="1"/>
  <c r="E9" i="1"/>
  <c r="H9" i="1" s="1"/>
  <c r="E15" i="5" s="1"/>
  <c r="D9" i="1"/>
  <c r="V9" i="1" s="1"/>
  <c r="K20" i="5" l="1"/>
  <c r="H20" i="5"/>
  <c r="G20" i="5"/>
  <c r="S20" i="5" s="1"/>
  <c r="U20" i="5"/>
  <c r="L20" i="5"/>
  <c r="V20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H19" i="5" l="1"/>
  <c r="L19" i="5"/>
  <c r="I19" i="5"/>
  <c r="G19" i="5"/>
  <c r="S19" i="5" s="1"/>
  <c r="K19" i="5"/>
  <c r="U19" i="5"/>
  <c r="V19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6" i="1"/>
  <c r="T7" i="1" l="1"/>
  <c r="W16" i="1"/>
  <c r="G6" i="1" l="1"/>
  <c r="S13" i="5"/>
  <c r="I13" i="5"/>
  <c r="V13" i="5"/>
  <c r="H13" i="5"/>
  <c r="U13" i="5"/>
  <c r="K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s="1"/>
  <c r="L9" i="1" l="1"/>
  <c r="L10" i="1"/>
  <c r="C7" i="1"/>
  <c r="N16" i="1"/>
  <c r="O16" i="1"/>
  <c r="P16" i="1"/>
  <c r="J16" i="1"/>
  <c r="I16" i="1"/>
  <c r="Q7" i="1" l="1"/>
  <c r="M68" i="3" s="1"/>
  <c r="L7" i="1"/>
  <c r="G68" i="3" s="1"/>
  <c r="K68" i="3"/>
  <c r="J68" i="3"/>
  <c r="K16" i="1"/>
  <c r="M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<sst xmlns="http://schemas.openxmlformats.org/spreadsheetml/2006/main" count="459" uniqueCount="367">
  <si>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</si>
  <si>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</si>
  <si>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</si>
  <si>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</si>
  <si>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</si>
  <si>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</si>
  <si>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</si>
  <si>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</si>
  <si>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</si>
  <si>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</si>
  <si>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</si>
  <si>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</si>
  <si>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</si>
  <si>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</si>
  <si>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</si>
  <si>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</si>
  <si>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</si>
  <si>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</si>
  <si>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</si>
  <si>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</si>
  <si>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</si>
  <si>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</si>
  <si>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</si>
  <si>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</si>
  <si>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</si>
  <si>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</si>
  <si>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</si>
  <si>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</si>
  <si>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</si>
  <si>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</si>
  <si>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</si>
  <si>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</si>
  <si>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</si>
  <si>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</si>
  <si>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</si>
  <si>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</si>
  <si>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</si>
  <si>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</si>
  <si>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</si>
  <si>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</si>
  <si>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</si>
  <si>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</si>
  <si>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</si>
  <si>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</si>
  <si>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</si>
  <si>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</si>
  <si>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</si>
  <si>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</si>
  <si>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</si>
  <si>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</si>
  <si>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</si>
  <si>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</si>
  <si>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</si>
  <si>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</si>
  <si>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</si>
  <si>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</si>
  <si>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</si>
  <si>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</si>
  <si>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</si>
  <si>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</si>
  <si>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</si>
  <si>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</si>
  <si>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</si>
  <si>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</si>
  <si>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</si>
  <si>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</si>
  <si>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</si>
  <si>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</si>
  <si>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</si>
  <si>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</si>
  <si>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</si>
  <si>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</si>
  <si>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</si>
  <si>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</si>
  <si>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</si>
  <si>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</si>
  <si>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</si>
  <si>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</si>
  <si>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</si>
  <si>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</si>
  <si>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</si>
  <si>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</si>
  <si>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</si>
  <si>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</si>
  <si>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</si>
  <si>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</si>
  <si>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</si>
  <si>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</si>
  <si>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</si>
  <si>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</si>
  <si>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</si>
  <si>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</si>
  <si>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</si>
  <si>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</si>
  <si>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</si>
  <si>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</si>
  <si>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</si>
  <si>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</si>
  <si>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</si>
  <si>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</si>
  <si>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</si>
  <si>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</si>
  <si>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</si>
  <si>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</si>
  <si>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</si>
  <si>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</si>
  <si>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</si>
  <si>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</si>
  <si>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</si>
  <si>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</si>
  <si>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</si>
  <si>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</si>
  <si>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</si>
  <si>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</si>
  <si>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</si>
  <si>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</si>
  <si>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</si>
  <si>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</si>
  <si>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</si>
  <si>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</si>
  <si>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</si>
  <si>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</si>
  <si>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</si>
  <si>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</si>
  <si>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</si>
  <si>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</si>
  <si>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</si>
  <si>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</si>
  <si>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</si>
  <si>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</si>
  <si>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</si>
  <si>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</si>
  <si>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</si>
  <si>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</si>
  <si>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</si>
  <si>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</si>
  <si>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</si>
  <si>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</si>
  <si>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</si>
  <si>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</si>
  <si>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</si>
  <si>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</si>
  <si>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</si>
  <si>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</si>
  <si>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</si>
  <si>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</si>
  <si>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</si>
  <si>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</si>
  <si>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</si>
  <si>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</si>
  <si>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</si>
  <si>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</si>
  <si>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</si>
  <si>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</si>
  <si>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</si>
  <si>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</si>
  <si>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</si>
  <si>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</si>
  <si>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</si>
  <si>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</si>
  <si>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</si>
  <si>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</si>
  <si>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</si>
  <si>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</si>
  <si>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</si>
  <si>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</si>
  <si>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</si>
  <si>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</si>
  <si>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</si>
  <si>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</si>
  <si>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</si>
  <si>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</si>
  <si>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</si>
  <si>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</si>
  <si>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</si>
  <si>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</si>
  <si>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</si>
  <si>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</si>
  <si>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</si>
  <si>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</si>
  <si>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</si>
  <si>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</si>
  <si>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</si>
  <si>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</si>
  <si>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</si>
  <si>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</si>
  <si>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</si>
  <si>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</si>
  <si>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</si>
  <si>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</si>
  <si>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</si>
  <si>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</si>
  <si>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</si>
  <si>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</si>
  <si>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</si>
  <si>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</si>
  <si>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</si>
  <si>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</si>
  <si>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</si>
  <si>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</si>
  <si>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</si>
  <si>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</si>
  <si>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</si>
  <si>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</si>
  <si>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</si>
  <si>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</si>
  <si>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</si>
  <si>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</si>
  <si>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</si>
  <si>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</si>
  <si>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</si>
  <si>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</si>
  <si>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</si>
  <si>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</si>
  <si>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</si>
  <si>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</si>
  <si>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</si>
  <si>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</si>
  <si>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</si>
  <si>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</si>
  <si>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</si>
  <si>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</si>
  <si>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</si>
  <si>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</si>
  <si>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</si>
  <si>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</si>
  <si>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</si>
  <si>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</si>
  <si>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</si>
  <si>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</si>
  <si>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</si>
  <si>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</si>
  <si>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</si>
  <si>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</si>
  <si>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</si>
  <si>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</si>
  <si>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</si>
  <si>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</si>
  <si>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</si>
  <si>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</si>
  <si>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</si>
  <si>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</si>
  <si>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</si>
  <si>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</si>
  <si>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</si>
  <si>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</si>
  <si>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</si>
  <si>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</si>
  <si>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</si>
  <si>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</si>
  <si>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</si>
  <si>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</si>
  <si>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</si>
  <si>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</si>
  <si>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</si>
  <si>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</si>
  <si>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</si>
  <si>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</si>
  <si>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</si>
  <si>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</si>
  <si>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</si>
  <si>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</si>
  <si>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</si>
  <si>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</si>
  <si>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</si>
  <si>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</si>
  <si>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</si>
  <si>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</si>
  <si>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</si>
  <si>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</si>
  <si>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</si>
  <si>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</si>
  <si>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</si>
  <si>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</si>
  <si>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</si>
  <si>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</si>
  <si>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</si>
  <si>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</si>
  <si>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</si>
  <si>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</si>
  <si>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</si>
  <si>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</si>
  <si>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</si>
  <si>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</si>
  <si>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</si>
  <si>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</si>
  <si>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</si>
  <si>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</si>
  <si>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</si>
  <si>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</si>
  <si>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</si>
  <si>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</si>
  <si>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</si>
  <si>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</si>
  <si>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</si>
  <si>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</si>
  <si>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</si>
  <si>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</si>
  <si>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</si>
  <si>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</si>
  <si>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</si>
  <si>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</si>
  <si>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</si>
  <si>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</si>
  <si>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</si>
  <si>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</si>
  <si>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</si>
  <si>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</si>
  <si>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</si>
  <si>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</si>
  <si>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</si>
  <si>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</si>
  <si>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</si>
  <si>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</si>
  <si>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</si>
  <si>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</si>
  <si>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</si>
  <si>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</si>
  <si>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</si>
  <si>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</si>
  <si>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</si>
  <si>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</si>
  <si>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</si>
  <si>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</si>
  <si>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</si>
  <si>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</si>
  <si>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</si>
  <si>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</si>
  <si>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</si>
  <si>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</si>
  <si>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</si>
  <si>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</si>
  <si>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</si>
  <si>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</si>
  <si>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</si>
  <si>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</si>
  <si>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</si>
  <si>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</si>
  <si>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</si>
  <si>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</si>
  <si>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</si>
  <si>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</si>
  <si>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</si>
  <si>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</si>
  <si>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</si>
  <si>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</si>
  <si>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</si>
  <si>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</si>
  <si>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</si>
  <si>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</si>
  <si>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</si>
  <si>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</si>
  <si>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</si>
  <si>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</si>
  <si>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</si>
  <si>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InvCkdBill</t>
  </si>
  <si>
    <t>Inventory.CKD</t>
  </si>
  <si>
    <t>Bill</t>
  </si>
  <si>
    <t>BILLOFLADING_NO</t>
  </si>
  <si>
    <t>SHIPMENT_ID</t>
  </si>
  <si>
    <t>BILL_DATE</t>
  </si>
  <si>
    <t>STATUS</t>
  </si>
  <si>
    <t>nvarchar(20)</t>
  </si>
  <si>
    <t>Date</t>
  </si>
  <si>
    <t>STATUS_CODE</t>
  </si>
  <si>
    <t>nvarchar(50)</t>
  </si>
  <si>
    <t>Bill Of Lading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</si>
</sst>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352</v>
      </c>
      <c r="F18" s="1" t="s">
        <v>354</v>
      </c>
      <c r="G18" s="17" t="s">
        <v>353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326</v>
      </c>
      <c r="F42" s="1" t="s">
        <v>339</v>
      </c>
      <c r="G42" s="17" t="s">
        <v>339</v>
      </c>
    </row>
    <row r="43" spans="1:8" x14ac:dyDescent="0.35">
      <c r="A43" s="1"/>
      <c r="B43" s="17"/>
      <c r="D43" t="s">
        <v>327</v>
      </c>
      <c r="F43" s="1" t="s">
        <v>333</v>
      </c>
      <c r="G43" s="17" t="s">
        <v>340</v>
      </c>
    </row>
    <row r="44" spans="1:8" x14ac:dyDescent="0.35">
      <c r="A44" s="1"/>
      <c r="B44" s="17"/>
      <c r="D44" t="s">
        <v>329</v>
      </c>
      <c r="F44" s="1" t="s">
        <v>334</v>
      </c>
      <c r="G44" s="17" t="s">
        <v>341</v>
      </c>
    </row>
    <row r="45" spans="1:8" x14ac:dyDescent="0.35">
      <c r="A45" s="1"/>
      <c r="B45" s="17"/>
      <c r="D45" t="s">
        <v>328</v>
      </c>
      <c r="F45" s="1" t="s">
        <v>335</v>
      </c>
      <c r="G45" s="17" t="s">
        <v>342</v>
      </c>
    </row>
    <row r="46" spans="1:8" x14ac:dyDescent="0.35">
      <c r="A46" s="1"/>
      <c r="B46" s="17"/>
      <c r="D46" t="s">
        <v>331</v>
      </c>
      <c r="F46" s="1" t="s">
        <v>336</v>
      </c>
      <c r="G46" s="17" t="s">
        <v>343</v>
      </c>
    </row>
    <row r="47" spans="1:8" x14ac:dyDescent="0.35">
      <c r="A47" s="1"/>
      <c r="B47" s="17"/>
      <c r="D47" t="s">
        <v>349</v>
      </c>
      <c r="F47" s="1" t="s">
        <v>350</v>
      </c>
      <c r="G47" s="17" t="s">
        <v>351</v>
      </c>
    </row>
    <row r="48" spans="1:8" x14ac:dyDescent="0.35">
      <c r="A48" s="1"/>
      <c r="B48" s="17"/>
      <c r="D48" t="s">
        <v>332</v>
      </c>
      <c r="F48" s="1" t="s">
        <v>337</v>
      </c>
      <c r="G48" s="17" t="s">
        <v>344</v>
      </c>
    </row>
    <row r="49" spans="1:7" x14ac:dyDescent="0.35">
      <c r="A49" s="1"/>
      <c r="B49" s="17"/>
      <c r="D49" t="s">
        <v>330</v>
      </c>
      <c r="F49" s="1" t="s">
        <v>338</v>
      </c>
      <c r="G49" s="17" t="s">
        <v>345</v>
      </c>
    </row>
    <row r="50" spans="1:7" x14ac:dyDescent="0.35">
      <c r="A50" s="1"/>
      <c r="B50" s="17"/>
      <c r="D50" t="s">
        <v>346</v>
      </c>
      <c r="F50" s="1" t="s">
        <v>347</v>
      </c>
      <c r="G50" s="17" t="s">
        <v>348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[Table("InvCkdBill")]
	[Index(nameof(BillofladingNo), Name="IX_InvCkdBill_BillofladingNo")]
	[Index(nameof(ShipmentId), Name="IX_InvCkdBill_ShipmentId")]
	[Index(nameof(IsActive), Name="IX_InvCkdBill_IsActive")]	public class InvCkdBill: FullAuditedEntity&lt;long&gt;, IEntity&lt;long&gt;	
	{
		public const int MaxBillofladingNoLength = 20;
		public const int MaxStatusCodeLength = 50;
		public const int MaxIsActiveLength = 1;
		[StringLength(MaxBillofladingNoLength)]
		public virtual string BillofladingNo { get; set; }
		public virtual long ShipmentId { get; set; }
		[Column(TypeName="date")]
		public virtual DateTime BillDate { get; set; }
		public virtual int Status { get; set; }
		[StringLength(MaxStatusCodeLength)]
		public virtual string StatusCode { get; set; }
		[StringLength(MaxIsActiveLength)]
		public virtual string IsActive { get; set; }
	}
}
</v>
      </c>
      <c r="D68" s="51" t="str">
        <f>A.Backend!O7</f>
        <v xml:space="preserve">		public const string Pages_Inventory_CKD_Bill = "Pages.Inventory.CKD.Bill";
		public const string Pages_Inventory_CKD_Bill_CreateEdit = "Pages.Inventory.CKD.Bill.CreateEdit";
		public const string Pages_Inventory_CKD_Bill_Delete = "Pages.Inventory.CKD.Bill.Delete";
</v>
      </c>
      <c r="E68" s="51" t="str">
        <f>A.Backend!N7</f>
        <v xml:space="preserve">		var perInvCkdBill = PARENTS.CreateChildPermission(AppPermissions.Pages_Inventory_CKD_Bill, L( "InventoryCKDBill"), multiTenancySides: MultiTenancySides.Tenant);
		perInvCkdBill.CreateChildPermission(AppPermissions.Pages_Inventory_CKD_Bill_CreateEdit, L( "InventoryCKDBillCreateEdit"), multiTenancySides: MultiTenancySides.Tenant);
		perInvCkdBill.CreateChildPermission(AppPermissions.Pages_Inventory_CKD_Bill_Delete, L( "InventoryCKDBillDelete"), multiTenancySides: MultiTenancySides.Tenant);</v>
      </c>
      <c r="F68" s="51" t="str">
        <f>A.Backend!K7</f>
        <v>public virtual DbSet&lt;InvCkdBill&gt; InvCkdBills { get; set; }</v>
      </c>
      <c r="G68" s="51" t="str">
        <f ca="1">A.Backend!L7</f>
        <v xml:space="preserve">namespace prod.Inventory.CKD
{
	public class InvCkdBillConsts	
	{
		public const int MaxBillofladingNoLength = 20;
		public const int MaxStatusCodeLength = 50;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prod.Inventory.CKD.Dto
{
	public class InvCkdBillDto : EntityDto&lt;long?&gt;	
	{
		public virtual string BillofladingNo { get; set; }
		public virtual long ShipmentId { get; set; }
		public virtual DateTime? BillDate { get; set; }
		public virtual int Status { get; set; }
		public virtual string StatusCode { get; set; }
		public virtual string IsActive { get; set; }
	}
	public class CreateOrEditInvCkdBillDto : EntityDto&lt;long?&gt;	
	{
		[StringLength(InvCkdBillConsts.MaxBillofladingNoLength)]
		public virtual string BillofladingNo { get; set; }
		public virtual long ShipmentId { get; set; }
		public virtual DateTime? BillDate { get; set; }
		public virtual int Status { get; set; }
		[StringLength(InvCkdBillConsts.MaxStatusCodeLength)]
		public virtual string StatusCode { get; set; }
		[StringLength(InvCkdBillConsts.MaxIsActiveLength)]
		public virtual string IsActive { get; set; }
	}
	public class GetInvCkdBillInput : PagedAndSortedResultRequestDto	
	{
		public virtual string BillofladingNo { get; set; }
		public virtual DateTime? BillDate { get; set; }
		public virtual int Status { get; set; }
		public virtual string StatusCode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prod.Inventory.CKD.Dto
{
	public class InvCkdBillExportInput{
		public virtual string BillofladingNo { get; set; }
		public virtual long ShipmentId { get; set; }
		public virtual DateTime? BillDate { get; set; }
		public virtual int Status { get; set; }
		public virtual string StatusCode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IInvCkdBillAppService : IApplicationService
	{
		Task&lt;PagedResultDto&lt;InvCkdBillDto&gt;&gt; GetAll(GetInvCkdBillInput input);
		Task CreateOrEdit(CreateOrEditInvCkdBillDto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IInvCkdBillExcelExporter : IApplicationService
	{
		FileDto ExportToFile(List&lt;InvCkdBillDto&gt; invckdbill);
	}
}
</v>
      </c>
      <c r="L68" s="51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InvCkdBillExcelExporter : NpoiExcelExporterBase, IInvCkdBillExcelExporter
    {
        public InvCkdBillExcelExporter(ITempFileCacheManager tempFileCacheManager) : base(tempFileCacheManager) { }
        public FileDto ExportToFile(List&lt;InvCkdBillDto&gt; bill)
        {
            return CreateExcelPackage(
				"InventoryCKDBill.xlsx",
				excelPackage =&gt;
				 {
					var sheet = excelPackage.CreateSheet("Bill");
					AddHeader(
								sheet,
								("BillofladingNo"),
								("ShipmentId"),
								("BillDate"),
								("Status"),
								("StatusCode"),
								("IsActive"),
							   );
					AddObjects(
						 sheet, 1, bill,                                       
								_ =&gt; _.BillofladingNo,
								_ =&gt; _.ShipmentId,
								_ =&gt; _.BillDate,
								_ =&gt; _.Status,
								_ =&gt; _.StatusCode,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[AbpAuthorize(AppPermissions.Pages_Inventory_CKD_Bill)]
    public class InvCkdBillAppService : vovinaAppServiceBase, IInvCkdBillAppService
    {
        private readonly IDapperRepository&lt;InvCkdBill, long&gt; _dapperRepo;
        private readonly IRepository&lt;InvCkdBill, long&gt; _repo;
        private readonly IInvCkdBillExcelExporter _calendarListExcelExporter;
        public InvCkdBillAppService(IRepository&lt;InvCkdBill,long&gt; repo, 
                                         IDapperRepository&lt;InvCkdBill,long&gt; dapperRepo,
                                        IInvCkdBillExcelExporter calendarListExcelExporter
            )
        {
            _repo = repo;
            _dapperRepo = dapperRepo;
            _calendarListExcelExporter = calendarListExcelExporter;
        }
        [AbpAuthorize(AppPermissions.Pages_Inventory_CKD_Bill_CreateEdit)]
        public async Task CreateOrEdit(CreateOrEditInvCkdBillDto input)
        {
            if (input.Id == null) await Create(input);
            else await Update(input);
        }
        //CREATE
        private async Task Create(CreateOrEditInvCkdBillDto input)
        {          
            var mainObj = ObjectMapper.Map&lt;InvCkdBill&gt;(input);
            await CurrentUnitOfWork.GetDbContext&lt;vovinaDbContext&gt;().AddAsync(mainObj);
        }
        // EDIT
        private async Task Update(CreateOrEditInvCkdBillDto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[AbpAuthorize(AppPermissions.Pages_Inventory_CKD_Bill_Delete)]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Task&lt;PagedResultDto&lt;InvCkdBillDto&gt;&gt; GetAll(GetInvCkdBillInput input)
        {
            var filtered = _repo.GetAll()
				.WhereIf(!string.IsNullOrWhiteSpace(input.BillofladingNo), e =&gt; e.BillofladingNo.Contains(input.BillofladingNo))
				.WhereIf(input.BillDate.HasValue, t =&gt; t.BillDate == input.BillDate.Value)
				.WhereIf(!string.IsNullOrWhiteSpace(input.StatusCode), e =&gt; e.StatusCode.Contains(input.StatusCode))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InvCkdBillDto
                        {
							Id = o.Id,
							BillofladingNo = o.BillofladingNo,
							ShipmentId = o.ShipmentId,
							BillDate = o.BillDate,
							Status = o.Status,
							StatusCode = o.StatusCode,
							IsActive = o.IsActive,
                        };
            var totalCount = await filtered.CountAsync();
			var paged = system.PageBy(input);
            return new PagedResultDto&lt;InvCkdBillDto&gt;(
                totalCount,
                 await paged.ToListAsync()
            );
        }
        public async Task&lt;FileDto&gt; GetBillToExcel(InvCkdBillExportInput input)
        {
            var query = from o in _repo.GetAll()
                        select new InvCkdBillDto
                        {
							Id = o.Id,
							BillofladingNo = o.BillofladingNo,
							ShipmentId = o.ShipmentId,
							BillDate = o.BillDate,
							Status = o.Status,
							StatusCode = o.StatusCode,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_dapperRepo.ExecuteAsync(InvCkdBillConsts.SP_MST_WPT_CALENDAR_GENERATE);
       // }
    }
}</v>
      </c>
      <c r="N68" s="62" t="str">
        <f>A.Backend!U7</f>
        <v xml:space="preserve">  configuration.CreateMap&lt;InvCkdBillDto, InvCkdBill&gt;();
  configuration.CreateMap&lt;InvCkdBill, InvCkdBillDto&gt;();
  configuration.CreateMap&lt;CreateOrEditInvCkdBillDto, InvCkdBill&gt;();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bill</v>
      </c>
      <c r="C73" s="72" t="str">
        <f>"create folder " &amp;B73</f>
        <v>create folder bill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35">
      <c r="B74" s="60" t="s">
        <v>229</v>
      </c>
      <c r="C74" s="31" t="str">
        <f>B.Frontend!H14</f>
        <v>bill.component.ts</v>
      </c>
      <c r="D74" s="31" t="str">
        <f>B.Frontend!I14</f>
        <v>bill.component.html</v>
      </c>
      <c r="E74" s="31" t="str">
        <f>B.Frontend!J14</f>
        <v>bill.component.less</v>
      </c>
      <c r="F74" s="31" t="str">
        <f>B.Frontend!K14</f>
        <v>create-or-edit-bill-modal.component.html</v>
      </c>
      <c r="G74" s="31" t="str">
        <f>B.Frontend!L14</f>
        <v>create-or-edit-bill-modal.component.ts</v>
      </c>
      <c r="H74" s="31" t="str">
        <f>B.Frontend!M14</f>
        <v>create-or-edit-bill-modal.component.less</v>
      </c>
      <c r="I74" s="31" t="str">
        <f>B.Frontend!N14</f>
        <v>bill.module.ts</v>
      </c>
      <c r="J74" s="31" t="str">
        <f>B.Frontend!O14</f>
        <v>bill-routing.module.ts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InvCkdBillDto, InvCkdBillServiceProxy } from '@shared/service-proxies/service-proxies';
import { finalize } from 'rxjs/internal/operators/finalize';
import { CreateOrEditBillModalComponent } from './create-or-edit-bill-modal.component';
import { DatePipe } from '@angular/common';
import { FileDownloadService } from '@shared/utils/file-download.service';
import ceil from 'lodash-es/ceil';
import { Paginator } from 'primeng/paginator';
@Component({
    templateUrl: './bill.component.html',
    styleUrls: ['./bill.component.less'],
})
export class BillComponent extends AppComponentBase implements OnInit {
    @ViewChild('createOrEditModalBill', { static: true }) createOrEditModalBill:| CreateOrEditBillModalComponent|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InvCkdBillDto = new InvCkdBillDto();
    saveSelectedRow: InvCkdBillDto = new InvCkdBillDto();
    datas: InvCkdBillDto = new InvCkdBillDto();
    isLoading: boolean = false;
    dataParams: GridParams | undefined;
    rowData: any[] = [];
    gridApi!: GridApi;
    rowSelection = 'multiple';
    filter: string = '';
	pipe = new DatePipe('en-US');
	frameworkComponents: FrameworkComponent;
    	billofladingNo : string = '' ; 
	shipmentId
billDate : any ;
	status : number = 0 ;
	statusCode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InvCkdBillServiceProxy,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this.l('Billoflading No'),headerTooltip: this.l('Billoflading No'),field: 'billofladingNo',flex: 1},
			{headerName: this.l('Shipment Id'),headerTooltip: this.l('Shipment Id'),field: 'shipmentId',flex: 1},
			{headerName: this.l('Bill Date'),headerTooltip: this.l('Bill Date'),field: 'billDate',valueGetter: (params) =&gt; this.pipe.transform(params.data?.billDate, 'dd/MM/yyyy'),flex: 1},
			{headerName: this.l('Status'),headerTooltip: this.l('Status'),field: 'status',flex: 1},
			{headerName: this.l('Status Code'),headerTooltip: this.l('Status Code'),field: 'statusCode',flex: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this.billofladingNo,
			this.shipmentId,
			this.billDate,
			this.status,
			this.statusCode,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this.billofladingNo = '',
		this.shipmentId = '',
this.billDate = '',
		this.status = 0,
		this.statusCode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this.billofladingNo,
			this.shipmentId,
			this.billDate,
			this.status,
			this.statusCode,
			this.isActive,
			'',
            this.paginationParams.skipCount,
            this.paginationParams.pageSize
        );
    }
    onChangeRowSelection(params: { api: { getSelectedRows: () =&gt; InvCkdBillDto[] } }) {
        this.saveSelectedRow = params.api.getSelectedRows()[0] ?? new InvCkdBillDto();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InvCkdBillDto):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this._service.getBillToExcel(
			this.billofladingNo,
			this.shipmentId,
			this.billDate,
			this.status,
			this.statusCode,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Bill Of Lading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type='text' [placeholder]="l('Bill Date')" [(ngModel)]='billDate' 
									name='billDate'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[(ngModel)]='statusCode' name='statusCode'
									class='form-control' [placeholder]="l('Status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(click)="createOrEditModalBill.show()"&gt;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(click)="createOrEditModalBill.show(selectedRow)"&gt;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&lt;create-or-edit-bill-modal
    #createOrEditModalBill
    (modalSave)="callBackDataGrid(dataParams)"
    (modalClose)="onChangeRowSelection(dataParams)"
&gt;
&lt;/create-or-edit-bill-modal&gt;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#createOrEditModalBill="bs-modal"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Bill')}}&lt;/h3&gt;
                    &lt;h3 *ngIf="!rowdata.id"&gt;{{('Create New Bill')}}&lt;/h3&gt;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title'&gt;Bill Date&lt;/label&gt;
						&lt;input type='text' class='col-md-10 form-control input-text' name='billDate' 
						#datepicker='bsDatepicker' [(ngModel)]='rowdata.billDate'  bsDatepicker &gt;
					&lt;/div&gt;
					&lt;div class='col-md-12 form-group row'&gt;
						&lt;label class='col-md-2 form-control title'&gt;Status&lt;/label&gt;
						&lt;input type='number' class='col-md-10 form-control input-text' name='Status' [(ngModel)]='rowdata.status'&gt;
					&lt;/div&gt;
					&lt;div class='col-md-12 form-group row'&gt;
						&lt;label class='col-md-2 form-control title'&gt;Status Code&lt;/label&gt;
						&lt;input type='text' class='col-md-10 form-control input-text' name='StatusCode' [(ngModel)]='rowdata.statusCode'&gt;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CreateOrEditInvCkdBillDto, InvCkdBillServiceProxy } from '@shared/service-proxies/service-proxies';
import { BsDatepickerDirective } from 'ngx-bootstrap/datepicker';
@Component({
    selector: 'create-or-edit-bill-modal',
    templateUrl: './create-or-edit-bill-modal.component.html',
    styleUrls: ['./create-or-edit-bill-modal.component.less']
    })
export class CreateOrEditBillModalComponent extends AppComponentBase {
    @ViewChild('createOrEditModalBill',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CreateOrEditInvCkdBillDto = new CreateOrEditInvCkdBillDto();
    active: boolean = false;
    saving: boolean = false;
    _isActive: boolean;
    constructor(
        injector: Injector,
        private _mstwptBillService: InvCkdBillServiceProxy,
    ) 
    {
        super(injector);
    }
    show(rowdata?: CreateOrEditInvCkdBillDto): void {
        if (!rowdata) this.rowdata = new CreateOrEditInvCkdBillDto();
        else this.rowdata = rowdata;
		const dateValue =  this.rowdata.billDate ? new Date(this.rowdata.billDate?.toString())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this._mstwptBillService.createOrEdit(this.rowdata)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BillRoutingModule } from './bill-routing.module';
import { BillComponent } from './bill.component';
import { CreateOrEditBillModalComponent } from './create-or-edit-bill-modal.component';
@NgModule({
    declarations: [
       BillComponent, 
        CreateOrEditBillModalComponent
    ],
    imports: [
        AppSharedModule, BillRoutingModule]
})
export class BillModule {}</v>
      </c>
      <c r="J75" s="49" t="str">
        <f>B.Frontend!O10</f>
        <v>import {NgModule} from '@angular/core';
import {RouterModule, Routes} from '@angular/router';
import { BillComponent } from './bill.component';
const routes: Routes = [{
    path: '',
    component: BillComponent,
    pathMatch: 'full'
}];
@NgModule({
    imports: [RouterModule.forChild(routes)],
    exports: [RouterModule],
})
export class BillRoutingModule {}</v>
      </c>
      <c r="K75" s="49" t="str">
        <f>B.Frontend!P10</f>
        <v xml:space="preserve"> new AppMenuItem("Bill", "Pages.Inventory.CKD.Bill", "flaticon-book",   "/app/main/inventory/ckd/bill"),</v>
      </c>
      <c r="L75" s="50" t="str">
        <f>B.Frontend!Q10</f>
        <v>{
    path: 'inventory/ckd/bill',
    loadChildren: () =&gt; import('./inventory/ckd/bill/bill.module').then(m =&gt; m.BillModule),
    data: { permission: 'Pages.Inventory.CKD.Bill' }
},</v>
      </c>
      <c r="M75" s="48" t="str">
        <f>B.Frontend!R10</f>
        <v>ApiServiceProxies.InvCkdBillServiceProxy,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A14" sqref="A14:XFD14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355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CKD</v>
      </c>
      <c r="R3" s="32" t="str">
        <f>REPT(CHAR(9),1)&amp;"public class "&amp;B3&amp;"ExportInput"&amp;C3</f>
        <v xml:space="preserve">	public class InvCkdBillExportInput{
</v>
      </c>
      <c r="S3" s="11" t="str">
        <f>"namespace "&amp;$B$6&amp;".Exporting
"&amp;$C$3</f>
        <v xml:space="preserve">namespace prod.Inventory.CKD.Exporting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35">
      <c r="A4" s="1" t="s">
        <v>237</v>
      </c>
      <c r="B4" s="64" t="s">
        <v>326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prod.Inventory.CKD</v>
      </c>
      <c r="C6" s="11" t="str">
        <f>"namespace "&amp;$B$6&amp;"
"&amp;$C$3</f>
        <v xml:space="preserve">namespace prod.Inventory.CKD
{
</v>
      </c>
      <c r="D6" s="11" t="str">
        <f>REPT(CHAR(9),1)&amp;"public class "&amp;B3&amp;G3&amp;REPT(CHAR(9),1)&amp;"
"&amp;REPT(CHAR(9),1)&amp;C3</f>
        <v xml:space="preserve">	public class InvCkdBill: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InvCkdBillConsts	
	{
</v>
      </c>
      <c r="F6" s="11" t="str">
        <f>REPT(CHAR(9),1)&amp;"public class "&amp;B3&amp;"Dto"&amp;K3&amp;REPT(CHAR(9),1)&amp;"
"&amp;REPT(CHAR(9),1)&amp;C3</f>
        <v xml:space="preserve">	public class InvCkdBillDto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CreateOrEditInvCkdBillDto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GetInvCkdBillInput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InvCkdBill</v>
      </c>
      <c r="C7" s="11" t="str">
        <f>REPT(CHAR(9),1)&amp;"[Table("""&amp;B7&amp;""")]"&amp;"
"</f>
        <v xml:space="preserve">	[Table("InvCkdBill")]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[Table("InvCkdBill")]
	[Index(nameof(BillofladingNo), Name="IX_InvCkdBill_BillofladingNo")]
	[Index(nameof(ShipmentId), Name="IX_InvCkdBill_ShipmentId")]
	[Index(nameof(IsActive), Name="IX_InvCkdBill_IsActive")]	public class InvCkdBill: FullAuditedEntity&lt;long&gt;, IEntity&lt;long&gt;	
	{
		public const int MaxBillofladingNoLength = 20;
		public const int MaxStatusCodeLength = 50;
		public const int MaxIsActiveLength = 1;
		[StringLength(MaxBillofladingNoLength)]
		public virtual string BillofladingNo { get; set; }
		public virtual long ShipmentId { get; set; }
		[Column(TypeName="date")]
		public virtual DateTime BillDate { get; set; }
		public virtual int Status { get; set; }
		[StringLength(MaxStatusCodeLength)]
		public virtual string StatusCode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DbSet&lt;InvCkdBill&gt; InvCkdBills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prod.Inventory.CKD
{
	public class InvCkdBillConsts	
	{
		public const int MaxBillofladingNoLength = 20;
		public const int MaxStatusCodeLength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prod.Inventory.CKD.Dto
{
	public class InvCkdBillDto : EntityDto&lt;long?&gt;	
	{
		public virtual string BillofladingNo { get; set; }
		public virtual long ShipmentId { get; set; }
		public virtual DateTime? BillDate { get; set; }
		public virtual int Status { get; set; }
		public virtual string StatusCode { get; set; }
		public virtual string IsActive { get; set; }
	}
	public class CreateOrEditInvCkdBillDto : EntityDto&lt;long?&gt;	
	{
		[StringLength(InvCkdBillConsts.MaxBillofladingNoLength)]
		public virtual string BillofladingNo { get; set; }
		public virtual long ShipmentId { get; set; }
		public virtual DateTime? BillDate { get; set; }
		public virtual int Status { get; set; }
		[StringLength(InvCkdBillConsts.MaxStatusCodeLength)]
		public virtual string StatusCode { get; set; }
		[StringLength(InvCkdBillConsts.MaxIsActiveLength)]
		public virtual string IsActive { get; set; }
	}
	public class GetInvCkdBillInput : PagedAndSortedResultRequestDto	
	{
		public virtual string BillofladingNo { get; set; }
		public virtual DateTime? BillDate { get; set; }
		public virtual int Status { get; set; }
		public virtual string StatusCode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perInvCkdBill = PARENTS.CreateChildPermission(AppPermissions.Pages_Inventory_CKD_Bill, L( "InventoryCKDBill"), multiTenancySides: MultiTenancySides.Tenant);
		perInvCkdBill.CreateChildPermission(AppPermissions.Pages_Inventory_CKD_Bill_CreateEdit, L( "InventoryCKDBillCreateEdit"), multiTenancySides: MultiTenancySides.Tenant);
		perInvCkdBill.CreateChildPermission(AppPermissions.Pages_Inventory_CKD_Bill_Delete, L( "InventoryCKDBillDelete"),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Pages_Inventory_CKD_Bill = "Pages.Inventory.CKD.Bill";
		public const string Pages_Inventory_CKD_Bill_CreateEdit = "Pages.Inventory.CKD.Bill.CreateEdit";
		public const string Pages_Inventory_CKD_Bill_Delete = "Pages.Inventory.CKD.Bill.Delete";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IInvCkdBillAppService : IApplicationService
	{
		Task&lt;PagedResultDto&lt;InvCkdBillDto&gt;&gt; GetAll(GetInvCkdBillInput input);
		Task CreateOrEdit(CreateOrEditInvCkdBillDto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[AbpAuthorize(AppPermissions.Pages_Inventory_CKD_Bill)]
    public class InvCkdBillAppService : vovinaAppServiceBase, IInvCkdBillAppService
    {
        private readonly IDapperRepository&lt;InvCkdBill, long&gt; _dapperRepo;
        private readonly IRepository&lt;InvCkdBill, long&gt; _repo;
        private readonly IInvCkdBillExcelExporter _calendarListExcelExporter;
        public InvCkdBillAppService(IRepository&lt;InvCkdBill,long&gt; repo, 
                                         IDapperRepository&lt;InvCkdBill,long&gt; dapperRepo,
                                        IInvCkdBillExcelExporter calendarListExcelExporter
            )
        {
            _repo = repo;
            _dapperRepo = dapperRepo;
            _calendarListExcelExporter = calendarListExcelExporter;
        }
        [AbpAuthorize(AppPermissions.Pages_Inventory_CKD_Bill_CreateEdit)]
        public async Task CreateOrEdit(CreateOrEditInvCkdBillDto input)
        {
            if (input.Id == null) await Create(input);
            else await Update(input);
        }
        //CREATE
        private async Task Create(CreateOrEditInvCkdBillDto input)
        {          
            var mainObj = ObjectMapper.Map&lt;InvCkdBill&gt;(input);
            await CurrentUnitOfWork.GetDbContext&lt;vovinaDbContext&gt;().AddAsync(mainObj);
        }
        // EDIT
        private async Task Update(CreateOrEditInvCkdBillDto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[AbpAuthorize(AppPermissions.Pages_Inventory_CKD_Bill_Delete)]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Task&lt;PagedResultDto&lt;InvCkdBillDto&gt;&gt; GetAll(GetInvCkdBillInput input)
        {
            var filtered = _repo.GetAll()
				.WhereIf(!string.IsNullOrWhiteSpace(input.BillofladingNo), e =&gt; e.BillofladingNo.Contains(input.BillofladingNo))
				.WhereIf(input.BillDate.HasValue, t =&gt; t.BillDate == input.BillDate.Value)
				.WhereIf(!string.IsNullOrWhiteSpace(input.StatusCode), e =&gt; e.StatusCode.Contains(input.StatusCode))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InvCkdBillDto
                        {
							Id = o.Id,
							BillofladingNo = o.BillofladingNo,
							ShipmentId = o.ShipmentId,
							BillDate = o.BillDate,
							Status = o.Status,
							StatusCode = o.StatusCode,
							IsActive = o.IsActive,
                        };
            var totalCount = await filtered.CountAsync();
			var paged = system.PageBy(input);
            return new PagedResultDto&lt;InvCkdBillDto&gt;(
                totalCount,
                 await paged.ToListAsync()
            );
        }
        public async Task&lt;FileDto&gt; GetBillToExcel(InvCkdBillExportInput input)
        {
            var query = from o in _repo.GetAll()
                        select new InvCkdBillDto
                        {
							Id = o.Id,
							BillofladingNo = o.BillofladingNo,
							ShipmentId = o.ShipmentId,
							BillDate = o.BillDate,
							Status = o.Status,
							StatusCode = o.StatusCode,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_dapperRepo.ExecuteAsync(InvCkdBillConsts.SP_MST_WPT_CALENDAR_GENERATE);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prod.Inventory.CKD.Dto
{
	public class InvCkdBillExportInput{
		public virtual string BillofladingNo { get; set; }
		public virtual long ShipmentId { get; set; }
		public virtual DateTime? BillDate { get; set; }
		public virtual int Status { get; set; }
		public virtual string StatusCode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IInvCkdBillExcelExporter : IApplicationService
	{
		FileDto ExportToFile(List&lt;InvCkdBillDto&gt; invckdbill);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InvCkdBillExcelExporter : NpoiExcelExporterBase, IInvCkdBillExcelExporter
    {
        public InvCkdBillExcelExporter(ITempFileCacheManager tempFileCacheManager) : base(tempFileCacheManager) { }
        public FileDto ExportToFile(List&lt;InvCkdBillDto&gt; bill)
        {
            return CreateExcelPackage(
				"InventoryCKDBill.xlsx",
				excelPackage =&gt;
				 {
					var sheet = excelPackage.CreateSheet("Bill");
					AddHeader(
								sheet,
								("BillofladingNo"),
								("ShipmentId"),
								("BillDate"),
								("Status"),
								("StatusCode"),
								("IsActive"),
							   );
					AddObjects(
						 sheet, 1, bill,                                       
								_ =&gt; _.BillofladingNo,
								_ =&gt; _.ShipmentId,
								_ =&gt; _.BillDate,
								_ =&gt; _.Status,
								_ =&gt; _.StatusCode,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configuration.CreateMap&lt;InvCkdBillDto, InvCkdBill&gt;();
  configuration.CreateMap&lt;InvCkdBill, InvCkdBillDto&gt;();
  configuration.CreateMap&lt;CreateOrEditInvCkdBillDto, InvCkdBill&gt;();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t="s">
        <v>358</v>
      </c>
      <c r="B9" t="s">
        <v>362</v>
      </c>
      <c r="C9" t="s">
        <v>1</v>
      </c>
      <c r="D9" t="str">
        <f t="shared" ref="D9" si="0">SUBSTITUTE(PROPER(A9),"_","")</f>
        <v>BillofladingNo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MaxBillofladingNoLength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[StringLength(MaxBillofladingNoLength)]
		public virtual string BillofladingNo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[Index(nameof(BillofladingNo), Name="IX_InvCkdBill_BillofladingNo")]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BillofladingNo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[StringLength(InvCkdBillConsts.MaxBillofladingNoLength)]
		public virtual string BillofladingNo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BillofladingNo { get; set; }
</v>
      </c>
      <c r="P9" t="str">
        <f t="shared" ref="P9" si="9">REPT(CHAR(9),7)&amp;D9&amp;" = o." &amp;D9 &amp;","</f>
        <v xml:space="preserve">							BillofladingNo = o.BillofladingNo,</v>
      </c>
      <c r="T9" s="69" t="str">
        <f t="shared" ref="T9" si="10">REPT(CHAR(9),8)&amp;"("""&amp;D9&amp;"""),"</f>
        <v xml:space="preserve">								("BillofladingNo"),</v>
      </c>
      <c r="V9" s="70" t="str">
        <f t="shared" ref="V9" si="11">REPT(CHAR(9),8)&amp;"_ =&gt; _."&amp;D9&amp;","</f>
        <v xml:space="preserve">								_ =&gt; _.BillofladingNo,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.WhereIf(!string.IsNullOrWhiteSpace(input.BillofladingNo), e =&gt; e.BillofladingNo.Contains(input.BillofladingNo))</v>
      </c>
    </row>
    <row r="10" spans="1:23" customFormat="1" ht="18.75" customHeight="1" x14ac:dyDescent="0.35">
      <c r="A10" t="s">
        <v>359</v>
      </c>
      <c r="B10" t="s">
        <v>0</v>
      </c>
      <c r="C10" t="s">
        <v>1</v>
      </c>
      <c r="D10" t="str">
        <f t="shared" ref="D10:D11" si="13">SUBSTITUTE(PROPER(A10),"_","")</f>
        <v>ShipmentId</v>
      </c>
      <c r="E10" t="str">
        <f t="shared" ref="E10:E11" si="14">IFERROR(LEFT(B10, FIND("(",B10)-1),B10)</f>
        <v>bigint</v>
      </c>
      <c r="F10" s="7"/>
      <c r="G10" t="str">
        <f t="shared" ref="G10:G11" si="15">IFERROR(MID(B10,FIND("(",B10) +1, FIND(")",B10) - FIND("(",B10) - 1),"")</f>
        <v/>
      </c>
      <c r="H10" t="str">
        <f>+VLOOKUP(E10,'Data Type Mapping'!A:B,2,)</f>
        <v>long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 ShipmentId { get; set; }
</v>
      </c>
      <c r="K10" s="7" t="s">
        <v>206</v>
      </c>
      <c r="L10" t="str">
        <f t="shared" ref="L10:L11" si="18">IF(K10="","",REPT(CHAR(9),1)&amp;"[Index(nameof("&amp;IF(D10="","",""&amp;D10)&amp;")"&amp;", Name="&amp;"""IX_"&amp;$B$7&amp;"_"&amp;D10&amp;""")]")</f>
        <v xml:space="preserve">	[Index(nameof(ShipmentId), Name="IX_InvCkdBill_ShipmentId")]</v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long ShipmentId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 ShipmentId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ShipmentId = o.ShipmentId,</v>
      </c>
      <c r="T10" s="69" t="str">
        <f t="shared" ref="T10:T11" si="23">REPT(CHAR(9),8)&amp;"("""&amp;D10&amp;"""),"</f>
        <v xml:space="preserve">								("ShipmentId"),</v>
      </c>
      <c r="V10" s="70" t="str">
        <f t="shared" ref="V10:V11" si="24">REPT(CHAR(9),8)&amp;"_ =&gt; _."&amp;D10&amp;","</f>
        <v xml:space="preserve">								_ =&gt; _.ShipmentId,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5">
      <c r="A11" t="s">
        <v>360</v>
      </c>
      <c r="B11" t="s">
        <v>363</v>
      </c>
      <c r="C11" t="s">
        <v>1</v>
      </c>
      <c r="D11" t="str">
        <f t="shared" si="13"/>
        <v>BillDate</v>
      </c>
      <c r="E11" t="str">
        <f t="shared" si="14"/>
        <v>Date</v>
      </c>
      <c r="F11" s="7" t="s">
        <v>2</v>
      </c>
      <c r="G11" t="str">
        <f t="shared" si="15"/>
        <v/>
      </c>
      <c r="H11" t="str">
        <f>+VLOOKUP(E11,'Data Type Mapping'!A:B,2,)</f>
        <v>DateTime</v>
      </c>
      <c r="I11" t="str">
        <f t="shared" si="16"/>
        <v/>
      </c>
      <c r="J11" t="str">
        <f t="shared" si="17"/>
        <v xml:space="preserve">		[Column(TypeName="date")]
		public virtual DateTime BillDate { get; set; }
</v>
      </c>
      <c r="K11" s="7"/>
      <c r="L11" t="str">
        <f t="shared" si="18"/>
        <v/>
      </c>
      <c r="M11" t="str">
        <f t="shared" si="19"/>
        <v xml:space="preserve">		public virtual DateTime? BillDate { get; set; }
</v>
      </c>
      <c r="N11" t="str">
        <f t="shared" si="20"/>
        <v xml:space="preserve">		public virtual DateTime? BillDate { get; set; }
</v>
      </c>
      <c r="O11" t="str">
        <f t="shared" si="21"/>
        <v xml:space="preserve">		public virtual DateTime? BillDate { get; set; }
</v>
      </c>
      <c r="P11" t="str">
        <f t="shared" si="22"/>
        <v xml:space="preserve">							BillDate = o.BillDate,</v>
      </c>
      <c r="T11" s="69" t="str">
        <f t="shared" si="23"/>
        <v xml:space="preserve">								("BillDate"),</v>
      </c>
      <c r="V11" s="70" t="str">
        <f t="shared" si="24"/>
        <v xml:space="preserve">								_ =&gt; _.BillDate,</v>
      </c>
      <c r="W11" s="69" t="str">
        <f t="shared" si="25"/>
        <v xml:space="preserve">				.WhereIf(input.BillDate.HasValue, t =&gt; t.BillDate == input.BillDate.Value)</v>
      </c>
    </row>
    <row r="12" spans="1:23" customFormat="1" ht="18.75" customHeight="1" x14ac:dyDescent="0.35">
      <c r="A12" t="s">
        <v>361</v>
      </c>
      <c r="B12" t="s">
        <v>4</v>
      </c>
      <c r="C12" t="s">
        <v>1</v>
      </c>
      <c r="D12" t="str">
        <f t="shared" ref="D12:D13" si="26">SUBSTITUTE(PROPER(A12),"_","")</f>
        <v>Status</v>
      </c>
      <c r="E12" t="str">
        <f t="shared" ref="E12:E13" si="27">IFERROR(LEFT(B12, FIND("(",B12)-1),B12)</f>
        <v>int</v>
      </c>
      <c r="F12" s="7"/>
      <c r="G12" t="str">
        <f t="shared" ref="G12:G13" si="28">IFERROR(MID(B12,FIND("(",B12) +1, FIND(")",B12) - FIND("(",B12) - 1),"")</f>
        <v/>
      </c>
      <c r="H12" t="str">
        <f>+VLOOKUP(E12,'Data Type Mapping'!A:B,2,)</f>
        <v>int</v>
      </c>
      <c r="I12" t="str">
        <f t="shared" ref="I12:I13" si="29">IF(H12="string",REPT(CHAR(9),2)&amp;"public const int Max"&amp;D12&amp;"Length = "&amp;G12&amp;";"&amp;$E$3,"" )</f>
        <v/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Status { get; set; }
</v>
      </c>
      <c r="K12" s="7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int Status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 Status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int Status { get; set; }
</v>
      </c>
      <c r="P12" t="str">
        <f t="shared" ref="P12:P13" si="35">REPT(CHAR(9),7)&amp;D12&amp;" = o." &amp;D12 &amp;","</f>
        <v xml:space="preserve">							Status = o.Status,</v>
      </c>
      <c r="T12" s="69" t="str">
        <f t="shared" ref="T12:T13" si="36">REPT(CHAR(9),8)&amp;"("""&amp;D12&amp;"""),"</f>
        <v xml:space="preserve">								("Status"),</v>
      </c>
      <c r="V12" s="70" t="str">
        <f t="shared" ref="V12:V13" si="37">REPT(CHAR(9),8)&amp;"_ =&gt; _."&amp;D12&amp;","</f>
        <v xml:space="preserve">								_ =&gt; _.Status,</v>
      </c>
      <c r="W12" s="69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5">
      <c r="A13" t="s">
        <v>364</v>
      </c>
      <c r="B13" t="s">
        <v>365</v>
      </c>
      <c r="C13" t="s">
        <v>1</v>
      </c>
      <c r="D13" t="str">
        <f t="shared" si="26"/>
        <v>StatusCode</v>
      </c>
      <c r="E13" t="str">
        <f t="shared" si="27"/>
        <v>nvarchar</v>
      </c>
      <c r="F13" s="7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MaxStatusCodeLength = 50;
</v>
      </c>
      <c r="J13" t="str">
        <f t="shared" si="30"/>
        <v xml:space="preserve">		[StringLength(MaxStatusCodeLength)]
		public virtual string StatusCode { get; set; }
</v>
      </c>
      <c r="K13" s="7"/>
      <c r="L13" t="str">
        <f t="shared" si="31"/>
        <v/>
      </c>
      <c r="M13" t="str">
        <f t="shared" si="32"/>
        <v xml:space="preserve">		public virtual string StatusCode { get; set; }
</v>
      </c>
      <c r="N13" t="str">
        <f t="shared" si="33"/>
        <v xml:space="preserve">		[StringLength(InvCkdBillConsts.MaxStatusCodeLength)]
		public virtual string StatusCode { get; set; }
</v>
      </c>
      <c r="O13" t="str">
        <f t="shared" si="34"/>
        <v xml:space="preserve">		public virtual string StatusCode { get; set; }
</v>
      </c>
      <c r="P13" t="str">
        <f t="shared" si="35"/>
        <v xml:space="preserve">							StatusCode = o.StatusCode,</v>
      </c>
      <c r="T13" s="69" t="str">
        <f t="shared" si="36"/>
        <v xml:space="preserve">								("StatusCode"),</v>
      </c>
      <c r="V13" s="70" t="str">
        <f t="shared" si="37"/>
        <v xml:space="preserve">								_ =&gt; _.StatusCode,</v>
      </c>
      <c r="W13" s="69" t="str">
        <f t="shared" si="38"/>
        <v xml:space="preserve">				.WhereIf(!string.IsNullOrWhiteSpace(input.StatusCode), e =&gt; e.StatusCode.Contains(input.StatusCode))</v>
      </c>
    </row>
    <row r="14" spans="1:23" customFormat="1" ht="22.5" customHeight="1" x14ac:dyDescent="0.35">
      <c r="A14" t="s">
        <v>324</v>
      </c>
      <c r="B14" t="s">
        <v>325</v>
      </c>
      <c r="C14" t="s">
        <v>1</v>
      </c>
      <c r="D14" t="str">
        <f>SUBSTITUTE(PROPER(A14),"_","")</f>
        <v>IsActive</v>
      </c>
      <c r="E14" t="str">
        <f t="shared" ref="E14" si="39">IFERROR(LEFT(B14, FIND("(",B14)-1),B14)</f>
        <v>varchar</v>
      </c>
      <c r="F14" s="7"/>
      <c r="G14" t="str">
        <f t="shared" ref="G14" si="40">IFERROR(MID(B14,FIND("(",B14) +1, FIND(")",B14) - FIND("(",B14) - 1),"")</f>
        <v>1</v>
      </c>
      <c r="H14" t="str">
        <f>+VLOOKUP(E14,'[1]Data Type Mapping'!A:B,2,)</f>
        <v>string</v>
      </c>
      <c r="I14" t="str">
        <f t="shared" ref="I14" si="41">IF(H14="string",REPT(CHAR(9),2)&amp;"public const int Max"&amp;D14&amp;"Length = "&amp;G14&amp;";"&amp;$E$3,"" )</f>
        <v xml:space="preserve">		public const int MaxIsActiveLength = 1;
</v>
      </c>
      <c r="J14" t="str">
        <f t="shared" ref="J14" si="42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[Index(nameof(IsActive), Name="IX_InvCkdBill_IsActive")]</v>
      </c>
      <c r="M14" t="str">
        <f t="shared" ref="M14" si="43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44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[StringLength(InvCkdBillConsts.MaxIsActiveLength)]
		public virtual string IsActive { get; set; }
</v>
      </c>
      <c r="O14" t="str">
        <f t="shared" ref="O14" si="45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46">REPT(CHAR(9),7)&amp;D14&amp;" = o." &amp;D14 &amp;","</f>
        <v xml:space="preserve">							IsActive = o.IsActive,</v>
      </c>
      <c r="T14" s="69" t="str">
        <f t="shared" ref="T14" si="47">REPT(CHAR(9),8)&amp;"("""&amp;D14&amp;"""),"</f>
        <v xml:space="preserve">								("IsActive"),</v>
      </c>
      <c r="V14" s="70" t="str">
        <f t="shared" ref="V14" si="48">REPT(CHAR(9),8)&amp;"_ =&gt; _."&amp;D14&amp;","</f>
        <v xml:space="preserve">								_ =&gt; _.IsActive,</v>
      </c>
      <c r="W14" s="69" t="str">
        <f t="shared" ref="W14" si="49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35">
      <c r="H16" s="12"/>
      <c r="I16" s="34" t="str">
        <f ca="1">TEXTJOIN2("
", TRUE,INDIRECT( $H$1):INDIRECT( $H$3))</f>
        <v xml:space="preserve">		public const int MaxBillofladingNoLength = 20;
		public const int MaxStatusCodeLength = 50;
		public const int MaxIsActiveLength = 1;
</v>
      </c>
      <c r="J16" s="33" t="str">
        <f ca="1">TEXTJOIN2("
", TRUE,INDIRECT( $F$1):INDIRECT( $F$3))</f>
        <v xml:space="preserve">		[StringLength(MaxBillofladingNoLength)]
		public virtual string BillofladingNo { get; set; }
		public virtual long ShipmentId { get; set; }
		[Column(TypeName="date")]
		public virtual DateTime BillDate { get; set; }
		public virtual int Status { get; set; }
		[StringLength(MaxStatusCodeLength)]
		public virtual string StatusCode { get; set; }
		[StringLength(MaxIsActiveLength)]
		public virtual string IsActive { get; set; }
</v>
      </c>
      <c r="K16" s="35" t="str">
        <f ca="1">TEXTJOIN2("
", TRUE,INDIRECT( $J$1):INDIRECT( $J$3))</f>
        <v xml:space="preserve">	[Index(nameof(BillofladingNo), Name="IX_InvCkdBill_BillofladingNo")]
	[Index(nameof(ShipmentId), Name="IX_InvCkdBill_ShipmentId")]
	[Index(nameof(IsActive), Name="IX_InvCkdBill_IsActive")]</v>
      </c>
      <c r="L16" s="13" t="s">
        <v>60</v>
      </c>
      <c r="M16" s="36" t="str">
        <f ca="1">TEXTJOIN2("
",TRUE,INDIRECT( $L$1):INDIRECT($L$3))</f>
        <v xml:space="preserve">		public virtual string BillofladingNo { get; set; }
		public virtual long ShipmentId { get; set; }
		public virtual DateTime? BillDate { get; set; }
		public virtual int Status { get; set; }
		public virtual string StatusCode { get; set; }
		public virtual string IsActive { get; set; }
</v>
      </c>
      <c r="N16" s="33" t="str">
        <f ca="1">TEXTJOIN2("
",TRUE,INDIRECT( $M$1):INDIRECT($M$3))</f>
        <v xml:space="preserve">		[StringLength(InvCkdBillConsts.MaxBillofladingNoLength)]
		public virtual string BillofladingNo { get; set; }
		public virtual long ShipmentId { get; set; }
		public virtual DateTime? BillDate { get; set; }
		public virtual int Status { get; set; }
		[StringLength(InvCkdBillConsts.MaxStatusCodeLength)]
		public virtual string StatusCode { get; set; }
		[StringLength(InvCkdBillConsts.MaxIsActiveLength)]
		public virtual string IsActive { get; set; }
</v>
      </c>
      <c r="O16" s="33" t="str">
        <f ca="1">TEXTJOIN2("
",TRUE,INDIRECT( $N$1):INDIRECT($N$3))</f>
        <v xml:space="preserve">		public virtual string BillofladingNo { get; set; }
		public virtual DateTime? BillDate { get; set; }
		public virtual int Status { get; set; }
		public virtual string StatusCode { get; set; }
		public virtual string IsActive { get; set; }
</v>
      </c>
      <c r="P16" s="9" t="str">
        <f ca="1">TEXTJOIN2("
",TRUE,INDIRECT( $O$1):INDIRECT($O$3))</f>
        <v xml:space="preserve">							BillofladingNo = o.BillofladingNo,
							ShipmentId = o.ShipmentId,
							BillDate = o.BillDate,
							Status = o.Status,
							StatusCode = o.StatusCode,
							IsActive = o.IsActive,</v>
      </c>
      <c r="T16" s="9" t="str">
        <f ca="1">TEXTJOIN2("
",TRUE,INDIRECT( $T$2):INDIRECT($T$3))</f>
        <v xml:space="preserve">								("BillofladingNo"),
								("ShipmentId"),
								("BillDate"),
								("Status"),
								("StatusCode"),
								("IsActive"),</v>
      </c>
      <c r="V16" s="9" t="str">
        <f ca="1">TEXTJOIN2("
",TRUE,INDIRECT( $V$2):INDIRECT($V$3))</f>
        <v xml:space="preserve">								_ =&gt; _.BillofladingNo,
								_ =&gt; _.ShipmentId,
								_ =&gt; _.BillDate,
								_ =&gt; _.Status,
								_ =&gt; _.StatusCode,
								_ =&gt; _.IsActive,</v>
      </c>
      <c r="W16" s="9" t="str">
        <f ca="1">TEXTJOIN2("
",TRUE,INDIRECT( $W$2):INDIRECT($W$3))</f>
        <v xml:space="preserve">				.WhereIf(!string.IsNullOrWhiteSpace(input.BillofladingNo), e =&gt; e.BillofladingNo.Contains(input.BillofladingNo))
				.WhereIf(input.BillDate.HasValue, t =&gt; t.BillDate == input.BillDate.Value)
				.WhereIf(!string.IsNullOrWhiteSpace(input.StatusCode), e =&gt; e.StatusCode.Contains(input.StatusCode))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F15" sqref="F15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Inventory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inventory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CKD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ckd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InvCkdBill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Bill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bill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InvCkdBillDto, InvCkdBillServiceProxy } from '@shared/service-proxies/service-proxies';
import { finalize } from 'rxjs/internal/operators/finalize';
import { CreateOrEditBillModalComponent } from './create-or-edit-bill-modal.component';
import { DatePipe } from '@angular/common';
import { FileDownloadService } from '@shared/utils/file-download.service';
import ceil from 'lodash-es/ceil';
import { Paginator } from 'primeng/paginator';
@Component({
    templateUrl: './bill.component.html',
    styleUrls: ['./bill.component.less'],
})
export class BillComponent extends AppComponentBase implements OnInit {
    @ViewChild('createOrEditModalBill', { static: true }) createOrEditModalBill:| CreateOrEditBillModalComponent|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InvCkdBillDto = new InvCkdBillDto();
    saveSelectedRow: InvCkdBillDto = new InvCkdBillDto();
    datas: InvCkdBillDto = new InvCkdBillDto();
    isLoading: boolean = false;
    dataParams: GridParams | undefined;
    rowData: any[] = [];
    gridApi!: GridApi;
    rowSelection = 'multiple';
    filter: string = '';
	pipe = new DatePipe('en-US');
	frameworkComponents: FrameworkComponent;
    	billofladingNo : string = '' ; 
	shipmentId
billDate : any ;
	status : number = 0 ;
	statusCode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InvCkdBillServiceProxy,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this.l('Billoflading No'),headerTooltip: this.l('Billoflading No'),field: 'billofladingNo',flex: 1},
			{headerName: this.l('Shipment Id'),headerTooltip: this.l('Shipment Id'),field: 'shipmentId',flex: 1},
			{headerName: this.l('Bill Date'),headerTooltip: this.l('Bill Date'),field: 'billDate',valueGetter: (params) =&gt; this.pipe.transform(params.data?.billDate, 'dd/MM/yyyy'),flex: 1},
			{headerName: this.l('Status'),headerTooltip: this.l('Status'),field: 'status',flex: 1},
			{headerName: this.l('Status Code'),headerTooltip: this.l('Status Code'),field: 'statusCode',flex: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this.billofladingNo,
			this.shipmentId,
			this.billDate,
			this.status,
			this.statusCode,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this.billofladingNo = '',
		this.shipmentId = '',
this.billDate = '',
		this.status = 0,
		this.statusCode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this.billofladingNo,
			this.shipmentId,
			this.billDate,
			this.status,
			this.statusCode,
			this.isActive,
			'',
            this.paginationParams.skipCount,
            this.paginationParams.pageSize
        );
    }
    onChangeRowSelection(params: { api: { getSelectedRows: () =&gt; InvCkdBillDto[] } }) {
        this.saveSelectedRow = params.api.getSelectedRows()[0] ?? new InvCkdBillDto();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InvCkdBillDto):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this._service.getBillToExcel(
			this.billofladingNo,
			this.shipmentId,
			this.billDate,
			this.status,
			this.statusCode,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Bill Of Lading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type='text' [placeholder]="l('Bill Date')" [(ngModel)]='billDate' 
									name='billDate'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[(ngModel)]='statusCode' name='statusCode'
									class='form-control' [placeholder]="l('Status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(click)="createOrEditModalBill.show()"&gt;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(click)="createOrEditModalBill.show(selectedRow)"&gt;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&lt;create-or-edit-bill-modal
    #createOrEditModalBill
    (modalSave)="callBackDataGrid(dataParams)"
    (modalClose)="onChangeRowSelection(dataParams)"
&gt;
&lt;/create-or-edit-bill-modal&gt;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#createOrEditModalBill="bs-modal"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Bill')}}&lt;/h3&gt;
                    &lt;h3 *ngIf="!rowdata.id"&gt;{{('Create New Bill')}}&lt;/h3&gt;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title'&gt;Bill Date&lt;/label&gt;
						&lt;input type='text' class='col-md-10 form-control input-text' name='billDate' 
						#datepicker='bsDatepicker' [(ngModel)]='rowdata.billDate'  bsDatepicker &gt;
					&lt;/div&gt;
					&lt;div class='col-md-12 form-group row'&gt;
						&lt;label class='col-md-2 form-control title'&gt;Status&lt;/label&gt;
						&lt;input type='number' class='col-md-10 form-control input-text' name='Status' [(ngModel)]='rowdata.status'&gt;
					&lt;/div&gt;
					&lt;div class='col-md-12 form-group row'&gt;
						&lt;label class='col-md-2 form-control title'&gt;Status Code&lt;/label&gt;
						&lt;input type='text' class='col-md-10 form-control input-text' name='StatusCode' [(ngModel)]='rowdata.statusCode'&gt;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CreateOrEditInvCkdBillDto, InvCkdBillServiceProxy } from '@shared/service-proxies/service-proxies';
import { BsDatepickerDirective } from 'ngx-bootstrap/datepicker';
@Component({
    selector: 'create-or-edit-bill-modal',
    templateUrl: './create-or-edit-bill-modal.component.html',
    styleUrls: ['./create-or-edit-bill-modal.component.less']
    })
export class CreateOrEditBillModalComponent extends AppComponentBase {
    @ViewChild('createOrEditModalBill',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CreateOrEditInvCkdBillDto = new CreateOrEditInvCkdBillDto();
    active: boolean = false;
    saving: boolean = false;
    _isActive: boolean;
    constructor(
        injector: Injector,
        private _mstwptBillService: InvCkdBillServiceProxy,
    ) 
    {
        super(injector);
    }
    show(rowdata?: CreateOrEditInvCkdBillDto): void {
        if (!rowdata) this.rowdata = new CreateOrEditInvCkdBillDto();
        else this.rowdata = rowdata;
		const dateValue =  this.rowdata.billDate ? new Date(this.rowdata.billDate?.toString())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this._mstwptBillService.createOrEdit(this.rowdata)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BillRoutingModule } from './bill-routing.module';
import { BillComponent } from './bill.component';
import { CreateOrEditBillModalComponent } from './create-or-edit-bill-modal.component';
@NgModule({
    declarations: [
       BillComponent, 
        CreateOrEditBillModalComponent
    ],
    imports: [
        AppSharedModule, BillRoutingModule]
})
export class BillModule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BillComponent } from './bill.component';
const routes: Routes = [{
    path: '',
    component: BillComponent,
    pathMatch: 'full'
}];
@NgModule({
    imports: [RouterModule.forChild(routes)],
    exports: [RouterModule],
})
export class BillRoutingModule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AppMenuItem("Bill", "Pages.Inventory.CKD.Bill", "flaticon-book",   "/app/main/inventory/ckd/bill"),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'inventory/ckd/bill',
    loadChildren: () =&gt; import('./inventory/ckd/bill/bill.module').then(m =&gt; m.BillModule),
    data: { permission: 'Pages.Inventory.CKD.Bill' }
},</v>
      </c>
      <c r="R10" s="50" t="str">
        <f>SUBSTITUTE(R9,"MstWptCalendar",$B$6)</f>
        <v>ApiServiceProxies.InvCkdBillServiceProxy,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this.l('Billoflading No'),headerTooltip: this.l('Billoflading No'),field: 'billofladingNo',flex: 1},
			{headerName: this.l('Shipment Id'),headerTooltip: this.l('Shipment Id'),field: 'shipmentId',flex: 1},
			{headerName: this.l('Bill Date'),headerTooltip: this.l('Bill Date'),field: 'billDate',valueGetter: (params) =&gt; this.pipe.transform(params.data?.billDate, 'dd/MM/yyyy'),flex: 1},
			{headerName: this.l('Status'),headerTooltip: this.l('Status'),field: 'status',flex: 1},
			{headerName: this.l('Status Code'),headerTooltip: this.l('Status Code'),field: 'statusCode',flex: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type='text' [placeholder]="l('Bill Date')" [(ngModel)]='billDate' 
									name='billDate'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[(ngModel)]='statusCode' name='statusCode'
									class='form-control' [placeholder]="l('Status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title'&gt;Bill Date&lt;/label&gt;
						&lt;input type='text' class='col-md-10 form-control input-text' name='billDate' 
						#datepicker='bsDatepicker' [(ngModel)]='rowdata.billDate'  bsDatepicker &gt;
					&lt;/div&gt;
					&lt;div class='col-md-12 form-group row'&gt;
						&lt;label class='col-md-2 form-control title'&gt;Status&lt;/label&gt;
						&lt;input type='number' class='col-md-10 form-control input-text' name='Status' [(ngModel)]='rowdata.status'&gt;
					&lt;/div&gt;
					&lt;div class='col-md-12 form-group row'&gt;
						&lt;label class='col-md-2 form-control title'&gt;Status Code&lt;/label&gt;
						&lt;input type='text' class='col-md-10 form-control input-text' name='StatusCode' [(ngModel)]='rowdata.statusCode'&gt;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this.rowdata.billDate ? new Date(this.rowdata.billDate?.toString())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billofladingNo : string = '' ; 
	shipmentId
billDate : any ;
	status : number = 0 ;
	statusCode : string = '' ; 
	isActive : string = '' ; </v>
      </c>
      <c r="T13" s="68" t="str">
        <f ca="1">TEXTJOIN2("
",TRUE,INDIRECT(T11):INDIRECT(T12))</f>
        <v xml:space="preserve">			this.billofladingNo,
			this.shipmentId,
			this.billDate,
			this.status,
			this.statusCode,
			this.isActive,</v>
      </c>
      <c r="U13" s="68" t="str">
        <f ca="1">TEXTJOIN2("
",TRUE,INDIRECT(U11):INDIRECT(U12))</f>
        <v xml:space="preserve">		this.billofladingNo = '',
		this.shipmentId = '',
this.billDate = '',
		this.status = 0,
		this.statusCode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bill.component.ts</v>
      </c>
      <c r="I14" s="40" t="str">
        <f>B8&amp;".component.html"</f>
        <v>bill.component.html</v>
      </c>
      <c r="J14" s="39" t="str">
        <f>B8&amp;".component.less"</f>
        <v>bill.component.less</v>
      </c>
      <c r="K14" s="40" t="str">
        <f>"create-or-edit-"&amp;B8&amp;"-modal.component.html"</f>
        <v>create-or-edit-bill-modal.component.html</v>
      </c>
      <c r="L14" s="40" t="str">
        <f>"create-or-edit-"&amp;B8&amp;"-modal.component.ts"</f>
        <v>create-or-edit-bill-modal.component.ts</v>
      </c>
      <c r="M14" s="40" t="str">
        <f>"create-or-edit-"&amp;B8&amp;"-modal.component.less"</f>
        <v>create-or-edit-bill-modal.component.less</v>
      </c>
      <c r="N14" s="40" t="str">
        <f>B8&amp;".module.ts"</f>
        <v>bill.module.ts</v>
      </c>
      <c r="O14" s="40" t="str">
        <f>B8&amp;"-routing.module.ts"</f>
        <v>bill-routing.module.ts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s="31" t="s">
        <v>358</v>
      </c>
      <c r="B15" s="31" t="str">
        <f t="shared" ref="B15:B19" si="0">SUBSTITUTE(PROPER(A15),"_","")</f>
        <v>BillofladingNo</v>
      </c>
      <c r="C15" s="31" t="str">
        <f t="shared" ref="C15:C19" si="1">SUBSTITUTE(PROPER(A15),"_"," ")</f>
        <v>Billoflading No</v>
      </c>
      <c r="D15" s="31" t="str">
        <f t="shared" ref="D15:D19" si="2">LOWER(LEFT(B15,1))&amp;RIGHT(B15,LEN(B15) - 1)</f>
        <v>billofladingNo</v>
      </c>
      <c r="E15" s="31" t="str">
        <f>A.Backend!H9</f>
        <v>string</v>
      </c>
      <c r="F15" s="31" t="str">
        <f>A.Backend!G9</f>
        <v>20</v>
      </c>
      <c r="G15" s="31" t="str">
        <f t="shared" ref="G15:G19" si="3">IF(E15="string"," : string = '' ; ",IF(OR(E15="DateTime",E15="TimeSpan")," : any ;",IF(E15="int"," : number = 0 ;","")))</f>
        <v xml:space="preserve"> : string = '' ; </v>
      </c>
      <c r="H15" s="38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this.l('Billoflading No'),headerTooltip: this.l('Billoflading No'),field: 'billofladingNo',flex: 1},</v>
      </c>
      <c r="I15" s="38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</v>
      </c>
      <c r="J15" s="31"/>
      <c r="K15" s="38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</v>
      </c>
      <c r="L15" s="60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billofladingNo : string = '' ; </v>
      </c>
      <c r="T15" s="31" t="str">
        <f>REPT(CHAR(9),3)&amp;"this."&amp;D15&amp;","</f>
        <v xml:space="preserve">			this.billofladingNo,</v>
      </c>
      <c r="U15" s="31" t="str">
        <f>IF(E15="int",REPT(CHAR(9),2)&amp;"this."&amp;D15&amp;" = 0,",REPT(CHAR(9),2)&amp;"this."&amp;D15&amp;" = '',")</f>
        <v xml:space="preserve">		this.billofladingNo = '',</v>
      </c>
      <c r="V15" s="31" t="str">
        <f t="shared" ref="V15:V19" si="8">IF(AND(E15="string",F15="1"),D15,"")</f>
        <v/>
      </c>
    </row>
    <row r="16" spans="1:22" ht="18" customHeight="1" x14ac:dyDescent="0.35">
      <c r="A16" s="31" t="s">
        <v>359</v>
      </c>
      <c r="B16" s="31" t="str">
        <f t="shared" ref="B16" si="9">SUBSTITUTE(PROPER(A16),"_","")</f>
        <v>ShipmentId</v>
      </c>
      <c r="C16" s="31" t="str">
        <f t="shared" ref="C16" si="10">SUBSTITUTE(PROPER(A16),"_"," ")</f>
        <v>Shipment Id</v>
      </c>
      <c r="D16" s="31" t="str">
        <f t="shared" ref="D16" si="11">LOWER(LEFT(B16,1))&amp;RIGHT(B16,LEN(B16) - 1)</f>
        <v>shipmentId</v>
      </c>
      <c r="E16" s="31" t="str">
        <f>A.Backend!H10</f>
        <v>long</v>
      </c>
      <c r="F16" s="31" t="str">
        <f>A.Backend!G10</f>
        <v/>
      </c>
      <c r="G16" s="31" t="str">
        <f t="shared" ref="G16" si="12">IF(E16="string"," : string = '' ; ",IF(OR(E16="DateTime",E16="TimeSpan")," : any ;",IF(E16="int"," : number = 0 ;","")))</f>
        <v/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this.l('Shipment Id'),headerTooltip: this.l('Shipment Id'),field: 'shipmentId',flex: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/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shipmentId</v>
      </c>
      <c r="T16" s="31" t="str">
        <f t="shared" ref="T16" si="18">REPT(CHAR(9),3)&amp;"this."&amp;D16&amp;","</f>
        <v xml:space="preserve">			this.shipmentId,</v>
      </c>
      <c r="U16" s="31" t="str">
        <f t="shared" ref="U16" si="19">IF(E16="int",REPT(CHAR(9),2)&amp;"this."&amp;D16&amp;" = 0,",REPT(CHAR(9),2)&amp;"this."&amp;D16&amp;" = '',")</f>
        <v xml:space="preserve">		this.shipmentId = '',</v>
      </c>
      <c r="V16" s="31" t="str">
        <f t="shared" ref="V16" si="20">IF(AND(E16="string",F16="1"),D16,"")</f>
        <v/>
      </c>
    </row>
    <row r="17" spans="1:22" ht="18" customHeight="1" x14ac:dyDescent="0.35">
      <c r="A17" s="31" t="s">
        <v>360</v>
      </c>
      <c r="B17" s="31" t="str">
        <f>SUBSTITUTE(PROPER(A17),"_","")</f>
        <v>BillDate</v>
      </c>
      <c r="C17" s="31" t="str">
        <f>SUBSTITUTE(PROPER(A17),"_"," ")</f>
        <v>Bill Date</v>
      </c>
      <c r="D17" s="31" t="str">
        <f>LOWER(LEFT(B17,1))&amp;RIGHT(B17,LEN(B17) - 1)</f>
        <v>billDate</v>
      </c>
      <c r="E17" s="31" t="str">
        <f>A.Backend!H11</f>
        <v>DateTime</v>
      </c>
      <c r="F17" s="31" t="str">
        <f>A.Backend!G11</f>
        <v/>
      </c>
      <c r="G17" s="31" t="str">
        <f>IF(E17="string"," : string = '' ; ",IF(OR(E17="DateTime",E17="TimeSpan")," : any ;",IF(E17="int"," : number = 0 ;","")))</f>
        <v xml:space="preserve"> : any ;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this.l('Bill Date'),headerTooltip: this.l('Bill Date'),field: 'billDate',valueGetter: (params) =&gt; this.pipe.transform(params.data?.billDate, 'dd/MM/yyyy'),flex: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type='text' [placeholder]="l('Bill Date')" [(ngModel)]='billDate' 
									name='billDate' (keydown)='searchDatas()' class='form-control' 
									bsDatepicker #d='bsDatepicker' placement='bottom left'&gt;
									&lt;i class='fa fa-calendar-alt' (click)='d.toggle()'&gt;&lt;/i&gt;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title'&gt;Bill Date&lt;/label&gt;
						&lt;input type='text' class='col-md-10 form-control input-text' name='billDate' 
						#datepicker='bsDatepicker' [(ngModel)]='rowdata.billDate'  bsDatepicker 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 xml:space="preserve">		const dateValue =  this.rowdata.billDate ? new Date(this.rowdata.billDate?.toString()) : new Date();
		this.datepicker?.bsValueChange.emit(dateValue);</v>
      </c>
      <c r="M17" s="31"/>
      <c r="N17" s="31"/>
      <c r="O17" s="31"/>
      <c r="P17" s="31"/>
      <c r="Q17" s="31"/>
      <c r="R17" s="31"/>
      <c r="S17" s="31" t="str">
        <f>D17&amp;G17</f>
        <v>billDate : any ;</v>
      </c>
      <c r="T17" s="31" t="str">
        <f>REPT(CHAR(9),3)&amp;"this."&amp;D17&amp;","</f>
        <v xml:space="preserve">			this.billDate,</v>
      </c>
      <c r="U17" s="31" t="str">
        <f>IF(E17="int","this."&amp;D17&amp;" = 0,","this."&amp;D17&amp;" = '',")</f>
        <v>this.billDate = '',</v>
      </c>
      <c r="V17" s="31" t="str">
        <f>IF(AND(E17="string",F17="1"),D17,"")</f>
        <v/>
      </c>
    </row>
    <row r="18" spans="1:22" ht="15" customHeight="1" x14ac:dyDescent="0.35">
      <c r="A18" s="31" t="s">
        <v>361</v>
      </c>
      <c r="B18" s="31" t="str">
        <f t="shared" ref="B18" si="21">SUBSTITUTE(PROPER(A18),"_","")</f>
        <v>Status</v>
      </c>
      <c r="C18" s="31" t="str">
        <f t="shared" ref="C18" si="22">SUBSTITUTE(PROPER(A18),"_"," ")</f>
        <v>Status</v>
      </c>
      <c r="D18" s="31" t="str">
        <f t="shared" ref="D18" si="23">LOWER(LEFT(B18,1))&amp;RIGHT(B18,LEN(B18) - 1)</f>
        <v>status</v>
      </c>
      <c r="E18" s="31" t="str">
        <f>A.Backend!H12</f>
        <v>int</v>
      </c>
      <c r="F18" s="31" t="str">
        <f>A.Backend!G12</f>
        <v/>
      </c>
      <c r="G18" s="31" t="str">
        <f t="shared" ref="G18" si="24">IF(E18="string"," : string = '' ; ",IF(OR(E18="DateTime",E18="TimeSpan")," : any ;",IF(E18="int"," : number = 0 ;","")))</f>
        <v xml:space="preserve"> : number = 0 ;</v>
      </c>
      <c r="H18" s="38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this.l('Status'),headerTooltip: this.l('Status'),field: 'status',flex: 1},</v>
      </c>
      <c r="I18" s="38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31"/>
      <c r="K18" s="38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title'&gt;Status&lt;/label&gt;
						&lt;input type='number' class='col-md-10 form-control input-text' name='Status' [(ngModel)]='rowdata.status'&gt;
					&lt;/div&gt;</v>
      </c>
      <c r="L18" s="60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status : number = 0 ;</v>
      </c>
      <c r="T18" s="31" t="str">
        <f>REPT(CHAR(9),3)&amp;"this."&amp;D18&amp;","</f>
        <v xml:space="preserve">			this.status,</v>
      </c>
      <c r="U18" s="31" t="str">
        <f>IF(E18="int",REPT(CHAR(9),2)&amp;"this."&amp;D18&amp;" = 0,",REPT(CHAR(9),2)&amp;"this."&amp;D18&amp;" = '',")</f>
        <v xml:space="preserve">		this.status = 0,</v>
      </c>
      <c r="V18" s="31" t="str">
        <f t="shared" ref="V18" si="29">IF(AND(E18="string",F18="1"),D18,"")</f>
        <v/>
      </c>
    </row>
    <row r="19" spans="1:22" ht="18" customHeight="1" x14ac:dyDescent="0.35">
      <c r="A19" s="31" t="s">
        <v>364</v>
      </c>
      <c r="B19" s="31" t="str">
        <f t="shared" si="0"/>
        <v>StatusCode</v>
      </c>
      <c r="C19" s="31" t="str">
        <f t="shared" si="1"/>
        <v>Status Code</v>
      </c>
      <c r="D19" s="31" t="str">
        <f t="shared" si="2"/>
        <v>statusCode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this.l('Status Code'),headerTooltip: this.l('Status Code'),field: 'statusCode',flex: 1},</v>
      </c>
      <c r="I19" s="38" t="str">
        <f t="shared" si="5"/>
        <v xml:space="preserve">								&lt;div class='input-search'&gt;
									&lt;input [(ngModel)]='statusCode' name='statusCode'
									class='form-control' [placeholder]="l('Status Code')"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title'&gt;Status Code&lt;/label&gt;
						&lt;input type='text' class='col-md-10 form-control input-text' name='StatusCode' [(ngModel)]='rowdata.statusCode'&gt;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ref="S19" si="30">REPT(CHAR(9),1)&amp;D19&amp;G19</f>
        <v xml:space="preserve">	statusCode : string = '' ; </v>
      </c>
      <c r="T19" s="31" t="str">
        <f t="shared" ref="T19" si="31">REPT(CHAR(9),3)&amp;"this."&amp;D19&amp;","</f>
        <v xml:space="preserve">			this.statusCode,</v>
      </c>
      <c r="U19" s="31" t="str">
        <f t="shared" ref="U19" si="32">IF(E19="int",REPT(CHAR(9),2)&amp;"this."&amp;D19&amp;" = 0,",REPT(CHAR(9),2)&amp;"this."&amp;D19&amp;" = '',")</f>
        <v xml:space="preserve">		this.statusCode = '',</v>
      </c>
      <c r="V19" s="31" t="str">
        <f t="shared" si="8"/>
        <v/>
      </c>
    </row>
    <row r="20" spans="1:22" ht="18" customHeight="1" x14ac:dyDescent="0.35">
      <c r="A20" s="31" t="s">
        <v>324</v>
      </c>
      <c r="B20" s="31" t="str">
        <f t="shared" ref="B20" si="33">SUBSTITUTE(PROPER(A20),"_","")</f>
        <v>IsActive</v>
      </c>
      <c r="C20" s="31" t="str">
        <f t="shared" ref="C20" si="34">SUBSTITUTE(PROPER(A20),"_"," ")</f>
        <v>Is Active</v>
      </c>
      <c r="D20" s="31" t="str">
        <f t="shared" ref="D20" si="35">LOWER(LEFT(B20,1))&amp;RIGHT(B20,LEN(B20) - 1)</f>
        <v>isActive</v>
      </c>
      <c r="E20" s="31" t="str">
        <f>A.Backend!H14</f>
        <v>string</v>
      </c>
      <c r="F20" s="31" t="str">
        <f>A.Backend!G14</f>
        <v>1</v>
      </c>
      <c r="G20" s="31" t="str">
        <f t="shared" ref="G20" si="36">IF(E20="string"," : string = '' ; ",IF(OR(E20="DateTime",E20="TimeSpan")," : any ;",IF(E20="int"," : number = 0 ;","")))</f>
        <v xml:space="preserve"> : string = '' ; </v>
      </c>
      <c r="H20" s="38" t="str">
        <f t="shared" ref="H20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8" t="str">
        <f t="shared" ref="I20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 t="shared" ref="K20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60" t="str">
        <f t="shared" ref="L20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41">REPT(CHAR(9),1)&amp;D20&amp;G20</f>
        <v xml:space="preserve">	isActive : string = '' ; </v>
      </c>
      <c r="T20" s="31" t="str">
        <f t="shared" ref="T20" si="42">REPT(CHAR(9),3)&amp;"this."&amp;D20&amp;","</f>
        <v xml:space="preserve">			this.isActive,</v>
      </c>
      <c r="U20" s="31" t="str">
        <f t="shared" ref="U20" si="43">IF(E20="int",REPT(CHAR(9),2)&amp;"this."&amp;D20&amp;" = 0,",REPT(CHAR(9),2)&amp;"this."&amp;D20&amp;" = '',")</f>
        <v xml:space="preserve">		this.isActive = '',</v>
      </c>
      <c r="V20" s="31" t="str">
        <f t="shared" ref="V20" si="44">IF(AND(E20="string",F20="1"),D20,"")</f>
        <v>isActive</v>
      </c>
    </row>
    <row r="22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2023-04-12T09:23:34Z</dcterms:modified>
</cp:coreProperties>
</file>
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kd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5" l="1"/>
  <c r="E36" i="5"/>
  <c r="I36" i="5" s="1"/>
  <c r="C36" i="5"/>
  <c r="B36" i="5"/>
  <c r="D36" i="5" s="1"/>
  <c r="F35" i="5"/>
  <c r="E35" i="5"/>
  <c r="I35" i="5" s="1"/>
  <c r="C35" i="5"/>
  <c r="B35" i="5"/>
  <c r="D35" i="5" s="1"/>
  <c r="U35" i="5" s="1"/>
  <c r="F34" i="5"/>
  <c r="K34" i="5" s="1"/>
  <c r="E34" i="5"/>
  <c r="I34" i="5" s="1"/>
  <c r="C34" i="5"/>
  <c r="B34" i="5"/>
  <c r="D34" i="5" s="1"/>
  <c r="L33" i="5"/>
  <c r="F33" i="5"/>
  <c r="E33" i="5"/>
  <c r="I33" i="5" s="1"/>
  <c r="D33" i="5"/>
  <c r="U33" i="5" s="1"/>
  <c r="C33" i="5"/>
  <c r="B33" i="5"/>
  <c r="F32" i="5"/>
  <c r="E32" i="5"/>
  <c r="I32" i="5" s="1"/>
  <c r="C32" i="5"/>
  <c r="B32" i="5"/>
  <c r="D32" i="5" s="1"/>
  <c r="L30" i="1"/>
  <c r="G30" i="1"/>
  <c r="E30" i="1"/>
  <c r="H30" i="1" s="1"/>
  <c r="D30" i="1"/>
  <c r="V30" i="1" s="1"/>
  <c r="L29" i="1"/>
  <c r="G29" i="1"/>
  <c r="E29" i="1"/>
  <c r="H29" i="1" s="1"/>
  <c r="D29" i="1"/>
  <c r="T29" i="1" s="1"/>
  <c r="L28" i="1"/>
  <c r="G28" i="1"/>
  <c r="E28" i="1"/>
  <c r="H28" i="1" s="1"/>
  <c r="W28" i="1" s="1"/>
  <c r="D28" i="1"/>
  <c r="V28" i="1" s="1"/>
  <c r="L27" i="1"/>
  <c r="G27" i="1"/>
  <c r="E27" i="1"/>
  <c r="H27" i="1" s="1"/>
  <c r="D27" i="1"/>
  <c r="T27" i="1" s="1"/>
  <c r="L26" i="1"/>
  <c r="H26" i="1"/>
  <c r="W26" i="1" s="1"/>
  <c r="G26" i="1"/>
  <c r="E26" i="1"/>
  <c r="D26" i="1"/>
  <c r="V26" i="1" s="1"/>
  <c r="V35" i="5" l="1"/>
  <c r="V33" i="5"/>
  <c r="G35" i="5"/>
  <c r="S35" i="5" s="1"/>
  <c r="H33" i="5"/>
  <c r="G33" i="5"/>
  <c r="L35" i="5"/>
  <c r="H35" i="5"/>
  <c r="H32" i="5"/>
  <c r="H36" i="5"/>
  <c r="T32" i="5"/>
  <c r="U32" i="5"/>
  <c r="T34" i="5"/>
  <c r="U34" i="5"/>
  <c r="T36" i="5"/>
  <c r="U36" i="5"/>
  <c r="S33" i="5"/>
  <c r="K36" i="5"/>
  <c r="G32" i="5"/>
  <c r="S32" i="5" s="1"/>
  <c r="L32" i="5"/>
  <c r="V32" i="5"/>
  <c r="T33" i="5"/>
  <c r="G34" i="5"/>
  <c r="S34" i="5" s="1"/>
  <c r="L34" i="5"/>
  <c r="V34" i="5"/>
  <c r="T35" i="5"/>
  <c r="G36" i="5"/>
  <c r="S36" i="5" s="1"/>
  <c r="L36" i="5"/>
  <c r="V36" i="5"/>
  <c r="K33" i="5"/>
  <c r="H34" i="5"/>
  <c r="K32" i="5"/>
  <c r="K35" i="5"/>
  <c r="T30" i="1"/>
  <c r="W30" i="1"/>
  <c r="P30" i="1"/>
  <c r="T28" i="1"/>
  <c r="P28" i="1"/>
  <c r="P26" i="1"/>
  <c r="T26" i="1"/>
  <c r="M29" i="1"/>
  <c r="N29" i="1"/>
  <c r="I29" i="1"/>
  <c r="W29" i="1"/>
  <c r="O29" i="1"/>
  <c r="J29" i="1"/>
  <c r="M27" i="1"/>
  <c r="W27" i="1"/>
  <c r="O27" i="1"/>
  <c r="J27" i="1"/>
  <c r="N27" i="1"/>
  <c r="I27" i="1"/>
  <c r="M26" i="1"/>
  <c r="M28" i="1"/>
  <c r="N26" i="1"/>
  <c r="I30" i="1"/>
  <c r="N30" i="1"/>
  <c r="V27" i="1"/>
  <c r="V29" i="1"/>
  <c r="M30" i="1"/>
  <c r="I26" i="1"/>
  <c r="P27" i="1"/>
  <c r="I28" i="1"/>
  <c r="N28" i="1"/>
  <c r="P29" i="1"/>
  <c r="J26" i="1"/>
  <c r="O26" i="1"/>
  <c r="J28" i="1"/>
  <c r="O28" i="1"/>
  <c r="J30" i="1"/>
  <c r="O30" i="1"/>
  <c r="C30" i="5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31" i="1"/>
  <c r="G31" i="1"/>
  <c r="F37" i="5" s="1"/>
  <c r="E31" i="1"/>
  <c r="H31" i="1" s="1"/>
  <c r="E37" i="5" s="1"/>
  <c r="D31" i="1"/>
  <c r="T31" i="1" s="1"/>
  <c r="L25" i="1"/>
  <c r="G25" i="1"/>
  <c r="F31" i="5" s="1"/>
  <c r="E25" i="1"/>
  <c r="H25" i="1" s="1"/>
  <c r="D25" i="1"/>
  <c r="L24" i="1"/>
  <c r="G24" i="1"/>
  <c r="F30" i="5" s="1"/>
  <c r="E24" i="1"/>
  <c r="H24" i="1" s="1"/>
  <c r="E30" i="5" s="1"/>
  <c r="D24" i="1"/>
  <c r="V24" i="1" s="1"/>
  <c r="W25" i="1" l="1"/>
  <c r="G37" i="5"/>
  <c r="K30" i="5"/>
  <c r="L30" i="5"/>
  <c r="I30" i="5"/>
  <c r="H30" i="5"/>
  <c r="G30" i="5"/>
  <c r="S30" i="5" s="1"/>
  <c r="V30" i="5"/>
  <c r="U30" i="5"/>
  <c r="E31" i="5"/>
  <c r="P31" i="1"/>
  <c r="V31" i="1"/>
  <c r="M25" i="1"/>
  <c r="O31" i="1"/>
  <c r="N31" i="1"/>
  <c r="M31" i="1"/>
  <c r="W31" i="1"/>
  <c r="J31" i="1"/>
  <c r="I31" i="1"/>
  <c r="W24" i="1"/>
  <c r="J24" i="1"/>
  <c r="I24" i="1"/>
  <c r="O24" i="1"/>
  <c r="N24" i="1"/>
  <c r="M24" i="1"/>
  <c r="O25" i="1"/>
  <c r="P25" i="1"/>
  <c r="T25" i="1"/>
  <c r="P24" i="1"/>
  <c r="I25" i="1"/>
  <c r="V25" i="1"/>
  <c r="T24" i="1"/>
  <c r="J25" i="1"/>
  <c r="N25" i="1"/>
  <c r="B7" i="5"/>
  <c r="B6" i="5"/>
  <c r="B2" i="5"/>
  <c r="G31" i="5" l="1"/>
  <c r="V31" i="5"/>
  <c r="B8" i="5"/>
  <c r="B3" i="5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K29" i="5" l="1"/>
  <c r="I29" i="5"/>
  <c r="H29" i="5"/>
  <c r="G29" i="5"/>
  <c r="S29" i="5" s="1"/>
  <c r="V29" i="5"/>
  <c r="L29" i="5"/>
  <c r="U29" i="5"/>
  <c r="G25" i="5"/>
  <c r="S25" i="5" s="1"/>
  <c r="V25" i="5"/>
  <c r="U25" i="5"/>
  <c r="H25" i="5"/>
  <c r="K25" i="5"/>
  <c r="I25" i="5"/>
  <c r="L25" i="5"/>
  <c r="I27" i="5"/>
  <c r="H27" i="5"/>
  <c r="G27" i="5"/>
  <c r="S27" i="5" s="1"/>
  <c r="V27" i="5"/>
  <c r="U27" i="5"/>
  <c r="K27" i="5"/>
  <c r="L27" i="5"/>
  <c r="U23" i="5"/>
  <c r="K23" i="5"/>
  <c r="I23" i="5"/>
  <c r="H23" i="5"/>
  <c r="G23" i="5"/>
  <c r="S23" i="5" s="1"/>
  <c r="V23" i="5"/>
  <c r="L23" i="5"/>
  <c r="L21" i="5"/>
  <c r="K21" i="5"/>
  <c r="I21" i="5"/>
  <c r="H21" i="5"/>
  <c r="G21" i="5"/>
  <c r="S21" i="5" s="1"/>
  <c r="V21" i="5"/>
  <c r="U21" i="5"/>
  <c r="I20" i="1"/>
  <c r="E26" i="5"/>
  <c r="K28" i="5"/>
  <c r="I28" i="5"/>
  <c r="H28" i="5"/>
  <c r="G28" i="5"/>
  <c r="S28" i="5" s="1"/>
  <c r="V28" i="5"/>
  <c r="U28" i="5"/>
  <c r="L28" i="5"/>
  <c r="K22" i="5"/>
  <c r="I22" i="5"/>
  <c r="H22" i="5"/>
  <c r="G22" i="5"/>
  <c r="S22" i="5" s="1"/>
  <c r="L22" i="5"/>
  <c r="V22" i="5"/>
  <c r="U22" i="5"/>
  <c r="L24" i="5"/>
  <c r="V24" i="5"/>
  <c r="U24" i="5"/>
  <c r="K24" i="5"/>
  <c r="I24" i="5"/>
  <c r="H24" i="5"/>
  <c r="G24" i="5"/>
  <c r="S24" i="5" s="1"/>
  <c r="K20" i="5"/>
  <c r="I20" i="5"/>
  <c r="H20" i="5"/>
  <c r="G20" i="5"/>
  <c r="S20" i="5" s="1"/>
  <c r="L20" i="5"/>
  <c r="V20" i="5"/>
  <c r="U20" i="5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C17" i="5"/>
  <c r="B17" i="5"/>
  <c r="D17" i="5" s="1"/>
  <c r="T17" i="5" s="1"/>
  <c r="C16" i="5"/>
  <c r="B16" i="5"/>
  <c r="D16" i="5" s="1"/>
  <c r="T16" i="5" s="1"/>
  <c r="K31" i="5" l="1"/>
  <c r="H31" i="5"/>
  <c r="T31" i="5"/>
  <c r="U31" i="5"/>
  <c r="I31" i="5"/>
  <c r="S31" i="5"/>
  <c r="L26" i="5"/>
  <c r="H26" i="5"/>
  <c r="G26" i="5"/>
  <c r="S26" i="5" s="1"/>
  <c r="V26" i="5"/>
  <c r="U26" i="5"/>
  <c r="K26" i="5"/>
  <c r="I26" i="5"/>
  <c r="B6" i="1"/>
  <c r="G13" i="1"/>
  <c r="F19" i="5" s="1"/>
  <c r="E13" i="1"/>
  <c r="H13" i="1" s="1"/>
  <c r="E19" i="5" s="1"/>
  <c r="D13" i="1"/>
  <c r="V13" i="1" s="1"/>
  <c r="I19" i="5" l="1"/>
  <c r="H19" i="5"/>
  <c r="G19" i="5"/>
  <c r="S19" i="5" s="1"/>
  <c r="V19" i="5"/>
  <c r="U19" i="5"/>
  <c r="K19" i="5"/>
  <c r="L19" i="5"/>
  <c r="W13" i="1"/>
  <c r="N13" i="1"/>
  <c r="I13" i="1"/>
  <c r="M13" i="1"/>
  <c r="O13" i="1"/>
  <c r="J13" i="1"/>
  <c r="L13" i="1"/>
  <c r="P13" i="1"/>
  <c r="T13" i="1"/>
  <c r="C37" i="5"/>
  <c r="B37" i="5"/>
  <c r="D37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T37" i="5" l="1"/>
  <c r="V37" i="5"/>
  <c r="U37" i="5"/>
  <c r="I37" i="5"/>
  <c r="S37" i="5"/>
  <c r="H37" i="5"/>
  <c r="K37" i="5"/>
  <c r="H18" i="5"/>
  <c r="G18" i="5"/>
  <c r="S18" i="5" s="1"/>
  <c r="V18" i="5"/>
  <c r="U18" i="5"/>
  <c r="K18" i="5"/>
  <c r="I18" i="5"/>
  <c r="L18" i="5"/>
  <c r="G17" i="5"/>
  <c r="S17" i="5" s="1"/>
  <c r="V17" i="5"/>
  <c r="U17" i="5"/>
  <c r="K17" i="5"/>
  <c r="I17" i="5"/>
  <c r="H17" i="5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L37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3" i="1"/>
  <c r="K12" i="5" l="1"/>
  <c r="H12" i="5"/>
  <c r="V12" i="5"/>
  <c r="T12" i="5"/>
  <c r="U12" i="5"/>
  <c r="I12" i="5"/>
  <c r="L12" i="5"/>
  <c r="S12" i="5"/>
  <c r="R3" i="1" l="1"/>
  <c r="D1" i="1"/>
  <c r="F6" i="1"/>
  <c r="T33" i="1"/>
  <c r="T13" i="5"/>
  <c r="T7" i="1" l="1"/>
  <c r="W33" i="1"/>
  <c r="G6" i="1" l="1"/>
  <c r="I13" i="5"/>
  <c r="S13" i="5"/>
  <c r="H13" i="5"/>
  <c r="L13" i="5"/>
  <c r="V13" i="5"/>
  <c r="K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P33" i="1"/>
  <c r="I33" i="1"/>
  <c r="O33" i="1"/>
  <c r="N33" i="1"/>
  <c r="J33" i="1"/>
  <c r="Q7" i="1" l="1"/>
  <c r="M68" i="3" s="1"/>
  <c r="L7" i="1"/>
  <c r="G68" i="3" s="1"/>
  <c r="K68" i="3"/>
  <c r="J68" i="3"/>
  <c r="M33" i="1"/>
  <c r="K3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<sst xmlns="http://schemas.openxmlformats.org/spreadsheetml/2006/main" count="523" uniqueCount="389">
  <si>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</si>
  <si>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</si>
  <si>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</si>
  <si>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</si>
  <si>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</si>
  <si>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</si>
  <si>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</si>
  <si>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</si>
  <si>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</si>
  <si>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</si>
  <si>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</si>
  <si>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</si>
  <si>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</si>
  <si>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</si>
  <si>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</si>
  <si>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</si>
  <si>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</si>
  <si>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</si>
  <si>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</si>
  <si>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</si>
  <si>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</si>
  <si>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</si>
  <si>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</si>
  <si>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</si>
  <si>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</si>
  <si>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</si>
  <si>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</si>
  <si>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</si>
  <si>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</si>
  <si>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</si>
  <si>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</si>
  <si>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</si>
  <si>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</si>
  <si>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</si>
  <si>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</si>
  <si>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</si>
  <si>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</si>
  <si>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</si>
  <si>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</si>
  <si>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</si>
  <si>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</si>
  <si>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</si>
  <si>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</si>
  <si>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</si>
  <si>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</si>
  <si>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</si>
  <si>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</si>
  <si>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</si>
  <si>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</si>
  <si>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</si>
  <si>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</si>
  <si>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</si>
  <si>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</si>
  <si>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</si>
  <si>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</si>
  <si>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</si>
  <si>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</si>
  <si>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</si>
  <si>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</si>
  <si>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</si>
  <si>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</si>
  <si>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</si>
  <si>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</si>
  <si>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</si>
  <si>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</si>
  <si>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</si>
  <si>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</si>
  <si>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</si>
  <si>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</si>
  <si>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</si>
  <si>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</si>
  <si>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</si>
  <si>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</si>
  <si>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</si>
  <si>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</si>
  <si>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</si>
  <si>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</si>
  <si>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</si>
  <si>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</si>
  <si>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</si>
  <si>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</si>
  <si>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</si>
  <si>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</si>
  <si>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</si>
  <si>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</si>
  <si>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</si>
  <si>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</si>
  <si>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</si>
  <si>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</si>
  <si>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</si>
  <si>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</si>
  <si>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</si>
  <si>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</si>
  <si>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</si>
  <si>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</si>
  <si>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</si>
  <si>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</si>
  <si>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</si>
  <si>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</si>
  <si>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</si>
  <si>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</si>
  <si>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</si>
  <si>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</si>
  <si>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</si>
  <si>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</si>
  <si>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</si>
  <si>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</si>
  <si>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</si>
  <si>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</si>
  <si>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</si>
  <si>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</si>
  <si>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</si>
  <si>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</si>
  <si>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</si>
  <si>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</si>
  <si>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</si>
  <si>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</si>
  <si>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</si>
  <si>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</si>
  <si>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</si>
  <si>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</si>
  <si>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</si>
  <si>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</si>
  <si>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</si>
  <si>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</si>
  <si>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</si>
  <si>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</si>
  <si>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</si>
  <si>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</si>
  <si>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</si>
  <si>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</si>
  <si>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</si>
  <si>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</si>
  <si>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</si>
  <si>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</si>
  <si>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</si>
  <si>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</si>
  <si>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</si>
  <si>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</si>
  <si>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</si>
  <si>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</si>
  <si>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</si>
  <si>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</si>
  <si>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</si>
  <si>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</si>
  <si>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</si>
  <si>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</si>
  <si>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</si>
  <si>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</si>
  <si>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</si>
  <si>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</si>
  <si>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</si>
  <si>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</si>
  <si>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</si>
  <si>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</si>
  <si>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</si>
  <si>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</si>
  <si>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</si>
  <si>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</si>
  <si>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</si>
  <si>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</si>
  <si>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</si>
  <si>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</si>
  <si>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</si>
  <si>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</si>
  <si>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</si>
  <si>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</si>
  <si>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</si>
  <si>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</si>
  <si>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</si>
  <si>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</si>
  <si>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</si>
  <si>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</si>
  <si>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</si>
  <si>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</si>
  <si>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</si>
  <si>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</si>
  <si>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</si>
  <si>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</si>
  <si>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</si>
  <si>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</si>
  <si>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</si>
  <si>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</si>
  <si>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</si>
  <si>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</si>
  <si>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</si>
  <si>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</si>
  <si>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</si>
  <si>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</si>
  <si>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</si>
  <si>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</si>
  <si>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</si>
  <si>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</si>
  <si>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</si>
  <si>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</si>
  <si>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</si>
  <si>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</si>
  <si>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</si>
  <si>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</si>
  <si>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</si>
  <si>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</si>
  <si>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</si>
  <si>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</si>
  <si>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</si>
  <si>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</si>
  <si>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</si>
  <si>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</si>
  <si>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</si>
  <si>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</si>
  <si>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</si>
  <si>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</si>
  <si>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</si>
  <si>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</si>
  <si>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</si>
  <si>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</si>
  <si>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</si>
  <si>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</si>
  <si>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</si>
  <si>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</si>
  <si>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</si>
  <si>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</si>
  <si>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</si>
  <si>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</si>
  <si>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</si>
  <si>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</si>
  <si>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</si>
  <si>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</si>
  <si>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</si>
  <si>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</si>
  <si>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</si>
  <si>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</si>
  <si>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</si>
  <si>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</si>
  <si>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</si>
  <si>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</si>
  <si>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</si>
  <si>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</si>
  <si>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</si>
  <si>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</si>
  <si>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</si>
  <si>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</si>
  <si>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</si>
  <si>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</si>
  <si>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</si>
  <si>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</si>
  <si>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</si>
  <si>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</si>
  <si>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</si>
  <si>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</si>
  <si>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</si>
  <si>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</si>
  <si>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</si>
  <si>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</si>
  <si>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</si>
  <si>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</si>
  <si>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</si>
  <si>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</si>
  <si>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</si>
  <si>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</si>
  <si>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</si>
  <si>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</si>
  <si>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</si>
  <si>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</si>
  <si>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</si>
  <si>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</si>
  <si>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</si>
  <si>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</si>
  <si>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</si>
  <si>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</si>
  <si>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</si>
  <si>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</si>
  <si>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</si>
  <si>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</si>
  <si>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</si>
  <si>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</si>
  <si>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</si>
  <si>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</si>
  <si>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</si>
  <si>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</si>
  <si>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</si>
  <si>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</si>
  <si>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</si>
  <si>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</si>
  <si>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</si>
  <si>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</si>
  <si>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</si>
  <si>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</si>
  <si>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</si>
  <si>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</si>
  <si>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</si>
  <si>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</si>
  <si>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</si>
  <si>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</si>
  <si>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</si>
  <si>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</si>
  <si>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</si>
  <si>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</si>
  <si>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</si>
  <si>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</si>
  <si>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</si>
  <si>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</si>
  <si>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</si>
  <si>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</si>
  <si>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</si>
  <si>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</si>
  <si>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</si>
  <si>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</si>
  <si>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</si>
  <si>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</si>
  <si>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</si>
  <si>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</si>
  <si>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</si>
  <si>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</si>
  <si>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</si>
  <si>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</si>
  <si>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</si>
  <si>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</si>
  <si>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</si>
  <si>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</si>
  <si>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</si>
  <si>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</si>
  <si>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</si>
  <si>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</si>
  <si>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</si>
  <si>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</si>
  <si>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</si>
  <si>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</si>
  <si>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</si>
  <si>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</si>
  <si>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</si>
  <si>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</si>
  <si>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</si>
  <si>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</si>
  <si>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</si>
  <si>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</si>
  <si>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</si>
  <si>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</si>
  <si>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</si>
  <si>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</si>
  <si>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</si>
  <si>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</si>
  <si>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</si>
  <si>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</si>
  <si>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</si>
  <si>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</si>
  <si>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</si>
  <si>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</si>
  <si>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</si>
  <si>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</si>
  <si>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</si>
  <si>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</si>
  <si>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SUPPLIER_NO</t>
  </si>
  <si>
    <t>PERIOD_ID</t>
  </si>
  <si>
    <t>int?</t>
  </si>
  <si>
    <t>long?</t>
  </si>
  <si>
    <t>DateTime?</t>
  </si>
  <si>
    <t>TimeSpan?</t>
  </si>
  <si>
    <t>decimal?</t>
  </si>
  <si>
    <t>byte?</t>
  </si>
  <si>
    <t>VARCHAR(10)</t>
  </si>
  <si>
    <t>DECIMAL(14,5)</t>
  </si>
  <si>
    <t>CONTAINER_NO</t>
  </si>
  <si>
    <t>VARCHAR(15)</t>
  </si>
  <si>
    <t>INVOICE_ID</t>
  </si>
  <si>
    <t>THC</t>
  </si>
  <si>
    <t>INLAND</t>
  </si>
  <si>
    <t>DATE</t>
  </si>
  <si>
    <t>THC_VN</t>
  </si>
  <si>
    <t>INLAND_VN</t>
  </si>
  <si>
    <t>PERIOD_DATE</t>
  </si>
  <si>
    <t>VARCHAR(20)</t>
  </si>
  <si>
    <t>VARCHAR(200)</t>
  </si>
  <si>
    <t>VARCHAR(1)</t>
  </si>
  <si>
    <t>RENBAN</t>
  </si>
  <si>
    <t>VARCHAR(6)</t>
  </si>
  <si>
    <t>SEAL_NO</t>
  </si>
  <si>
    <t>CONTAINER_SIZE</t>
  </si>
  <si>
    <t>PLANDEDVANNING_DATE</t>
  </si>
  <si>
    <t>ACTUALVANNING_DATE</t>
  </si>
  <si>
    <t>CD_DATE</t>
  </si>
  <si>
    <t>DATE_STATUS</t>
  </si>
  <si>
    <t>InvCkdContainerInvoice</t>
  </si>
  <si>
    <t>ContainerInvoice</t>
  </si>
  <si>
    <t>Container Invoice</t>
  </si>
  <si>
    <t>FOB</t>
  </si>
  <si>
    <t>FREIGHT</t>
  </si>
  <si>
    <t>INSURANCE</t>
  </si>
  <si>
    <t>AMOUNT</t>
  </si>
  <si>
    <t>INVOICE_NO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</si>
</sst>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346</v>
      </c>
      <c r="F18" s="1" t="s">
        <v>348</v>
      </c>
      <c r="G18" t="s">
        <v>347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320</v>
      </c>
      <c r="F42" s="1" t="s">
        <v>333</v>
      </c>
      <c r="G42" t="s">
        <v>333</v>
      </c>
    </row>
    <row r="43" spans="1:8" x14ac:dyDescent="0.25">
      <c r="A43" s="1"/>
      <c r="D43" t="s">
        <v>321</v>
      </c>
      <c r="F43" s="1" t="s">
        <v>327</v>
      </c>
      <c r="G43" t="s">
        <v>334</v>
      </c>
    </row>
    <row r="44" spans="1:8" x14ac:dyDescent="0.25">
      <c r="A44" s="1"/>
      <c r="D44" t="s">
        <v>323</v>
      </c>
      <c r="F44" s="1" t="s">
        <v>328</v>
      </c>
      <c r="G44" t="s">
        <v>335</v>
      </c>
    </row>
    <row r="45" spans="1:8" x14ac:dyDescent="0.25">
      <c r="A45" s="1"/>
      <c r="D45" t="s">
        <v>322</v>
      </c>
      <c r="F45" s="1" t="s">
        <v>329</v>
      </c>
      <c r="G45" t="s">
        <v>336</v>
      </c>
    </row>
    <row r="46" spans="1:8" x14ac:dyDescent="0.25">
      <c r="A46" s="1"/>
      <c r="D46" t="s">
        <v>325</v>
      </c>
      <c r="F46" s="1" t="s">
        <v>330</v>
      </c>
      <c r="G46" t="s">
        <v>337</v>
      </c>
    </row>
    <row r="47" spans="1:8" x14ac:dyDescent="0.25">
      <c r="A47" s="1"/>
      <c r="D47" t="s">
        <v>343</v>
      </c>
      <c r="F47" s="1" t="s">
        <v>344</v>
      </c>
      <c r="G47" t="s">
        <v>345</v>
      </c>
    </row>
    <row r="48" spans="1:8" x14ac:dyDescent="0.25">
      <c r="A48" s="1"/>
      <c r="D48" t="s">
        <v>326</v>
      </c>
      <c r="F48" s="1" t="s">
        <v>331</v>
      </c>
      <c r="G48" t="s">
        <v>338</v>
      </c>
    </row>
    <row r="49" spans="1:7" x14ac:dyDescent="0.25">
      <c r="A49" s="1"/>
      <c r="D49" t="s">
        <v>324</v>
      </c>
      <c r="F49" s="1" t="s">
        <v>332</v>
      </c>
      <c r="G49" t="s">
        <v>339</v>
      </c>
    </row>
    <row r="50" spans="1:7" x14ac:dyDescent="0.25">
      <c r="A50" s="1"/>
      <c r="D50" t="s">
        <v>340</v>
      </c>
      <c r="F50" s="1" t="s">
        <v>341</v>
      </c>
      <c r="G50" t="s">
        <v>342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[Table("InvCkdContainerInvoice")]
	public class InvCkdContainerInvoice: FullAuditedEntity&lt;long&gt;, IEntity&lt;long&gt;	
	{
		public const int MaxContainerNoLength = 15;
		public const int MaxRenbanLength = 6;
		public const int MaxSupplierNoLength = 10;
		public const int MaxSealNoLength = 20;
		public const int MaxStatusLength = 10;
		public const int MaxDateStatusLength = 200;
		public const int MaxIsActiveLength = 1;
		[StringLength(MaxContainerNoLength)]
		public virtual string ContainerNo { get; set; }
		[StringLength(MaxRenbanLength)]
		public virtual string Renban { get; set; }
		public virtual long? InvoiceId { get; set; }
		[StringLength(MaxSupplierNoLength)]
		public virtual string SupplierNo { get; set; }
		[StringLength(MaxSealNoLength)]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[StringLength(MaxStatusLength)]
		public virtual string Status { get; set; }
		public virtual decimal? ThcVn { get; set; }
		public virtual decimal? InlandVn { get; set; }
		public virtual DateTime? PeriodDate { get; set; }
		public virtual long? PeriodId { get; set; }
		[StringLength(MaxDateStatusLength)]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[StringLength(MaxIsActiveLength)]
		public virtual string IsActive { get; set; }
	}
}
</v>
      </c>
      <c r="D68" s="48" t="str">
        <f>A.Backend!O7</f>
        <v xml:space="preserve">		public const string Pages_Inventory_CKD_ContainerInvoice = "Pages.Inventory.CKD.ContainerInvoice";
		public const string Pages_Inventory_CKD_ContainerInvoice_CreateEdit = "Pages.Inventory.CKD.ContainerInvoice.CreateEdit";
		public const string Pages_Inventory_CKD_ContainerInvoice_Delete = "Pages.Inventory.CKD.ContainerInvoice.Delete";
</v>
      </c>
      <c r="E68" s="48" t="str">
        <f>A.Backend!N7</f>
        <v xml:space="preserve">		var perInvCkdContainerInvoice = PARENTS.CreateChildPermission(AppPermissions.Pages_Inventory_CKD_ContainerInvoice, L( "InventoryCKDContainerInvoice"), multiTenancySides: MultiTenancySides.Tenant);
		perInvCkdContainerInvoice.CreateChildPermission(AppPermissions.Pages_Inventory_CKD_ContainerInvoice_CreateEdit, L( "InventoryCKDContainerInvoiceCreateEdit"), multiTenancySides: MultiTenancySides.Tenant);
		perInvCkdContainerInvoice.CreateChildPermission(AppPermissions.Pages_Inventory_CKD_ContainerInvoice_Delete, L( "InventoryCKDContainerInvoiceDelete"), multiTenancySides: MultiTenancySides.Tenant);</v>
      </c>
      <c r="F68" s="48" t="str">
        <f>A.Backend!K7</f>
        <v>public virtual DbSet&lt;InvCkdContainerInvoice&gt; InvCkdContainerInvoices { get; set; }</v>
      </c>
      <c r="G68" s="48" t="str">
        <f ca="1">A.Backend!L7</f>
        <v xml:space="preserve">namespace prod.Inventory.CKD
{
	public class InvCkdContainerInvoiceConsts	
	{
		public const int MaxContainerNoLength = 15;
		public const int MaxRenbanLength = 6;
		public const int MaxSupplierNoLength = 10;
		public const int MaxSealNoLength = 20;
		public const int MaxStatusLength = 10;
		public const int MaxDateStatusLength = 200;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InvCkdContainerInvoiceDto : EntityDto&lt;long?&gt;	
	{
		public virtual string ContainerNo { get; set; }
		public virtual string Renban { get; set; }
		public virtual long? InvoiceId { get; set; }
		public virtual string SupplierNo { get; set; }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public virtual string Status { get; set; }
		public virtual decimal? ThcVn { get; set; }
		public virtual decimal? InlandVn { get; set; }
		public virtual DateTime? PeriodDate { get; set; }
		public virtual long? PeriodId { get; set; }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public virtual string IsActive { get; set; }
	}
	public class CreateOrEditInvCkdContainerInvoiceDto : EntityDto&lt;long?&gt;	
	{
		[StringLength(InvCkdContainerInvoiceConsts.MaxContainerNoLength)]
		public virtual string ContainerNo { get; set; }
		[StringLength(InvCkdContainerInvoiceConsts.MaxRenbanLength)]
		public virtual string Renban { get; set; }
		public virtual long? InvoiceId { get; set; }
		[StringLength(InvCkdContainerInvoiceConsts.MaxSupplierNoLength)]
		public virtual string SupplierNo { get; set; }
		[StringLength(InvCkdContainerInvoiceConsts.MaxSealNoLength)]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[StringLength(InvCkdContainerInvoiceConsts.MaxStatusLength)]
		public virtual string Status { get; set; }
		public virtual decimal? ThcVn { get; set; }
		public virtual decimal? InlandVn { get; set; }
		public virtual DateTime? PeriodDate { get; set; }
		public virtual long? PeriodId { get; set; }
		[StringLength(InvCkdContainerInvoiceConsts.MaxDateStatusLength)]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[StringLength(InvCkdContainerInvoiceConsts.MaxIsActiveLength)]
		public virtual string IsActive { get; set; }
	}
	public class GetInvCkdContainerInvoiceInput : PagedAndSortedResultRequestDto	
	{
		public virtual string ContainerNo { get; set; }
		public virtual string Renban { get; set; }
		public virtual string SupplierNo { get; set; }
		public virtual string SealNo { get; set; }
		public virtual string Status { get; set; }
		public virtual string DateStatus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InvCkdContainerInvoiceExportInput{
		public virtual string ContainerNo { get; set; }
		public virtual string Renban { get; set; }
		public virtual long? InvoiceId { get; set; }
		public virtual string SupplierNo { get; set; }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public virtual string Status { get; set; }
		public virtual decimal? ThcVn { get; set; }
		public virtual decimal? InlandVn { get; set; }
		public virtual DateTime? PeriodDate { get; set; }
		public virtual long? PeriodId { get; set; }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IInvCkdContainerInvoiceAppService : IApplicationService
	{
		Task&lt;PagedResultDto&lt;InvCkdContainerInvoiceDto&gt;&gt; GetAll(GetInvCkdContainerInvoiceInput input);
		Task CreateOrEdit(CreateOrEditInvCkdContainerInvoiceDto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IInvCkdContainerInvoiceExcelExporter : IApplicationService
	{
		FileDto ExportToFile(List&lt;InvCkdContainerInvoiceDto&gt; invckdcontainerinvoice);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InvCkdContainerInvoiceExcelExporter : NpoiExcelExporterBase, IInvCkdContainerInvoiceExcelExporter
    {
        public InvCkdContainerInvoiceExcelExporter(ITempFileCacheManager tempFileCacheManager) : base(tempFileCacheManager) { }
        public FileDto ExportToFile(List&lt;InvCkdContainerInvoiceDto&gt; containerinvoice)
        {
            return CreateExcelPackage(
				"InventoryCKDContainerInvoice.xlsx",
				excelPackage =&gt;
				 {
					var sheet = excelPackage.CreateSheet("ContainerInvoice");
					AddHeader(
								sheet,
								("ContainerNo"),
								("Renban"),
								("InvoiceId"),
								("SupplierNo"),
								("SealNo"),
								("ContainerSize"),
								("PlandedvanningDate"),
								("ActualvanningDate"),
								("Thc"),
								("Inland"),
								("CdDate"),
								("Status"),
								("ThcVn"),
								("InlandVn"),
								("PeriodDate"),
								("PeriodId"),
								("DateStatus"),
								("Fob"),
								("Freight"),
								("Insurance"),
								("Amount"),
								("InvoiceNo"),
								("IsActive"),
							   );
					AddObjects(
						 sheet, 1, containerinvoice,                                       
								_ =&gt; _.ContainerNo,
								_ =&gt; _.Renban,
								_ =&gt; _.InvoiceId,
								_ =&gt; _.SupplierNo,
								_ =&gt; _.SealNo,
								_ =&gt; _.ContainerSize,
								_ =&gt; _.PlandedvanningDate,
								_ =&gt; _.ActualvanningDate,
								_ =&gt; _.Thc,
								_ =&gt; _.Inland,
								_ =&gt; _.CdDate,
								_ =&gt; _.Status,
								_ =&gt; _.ThcVn,
								_ =&gt; _.InlandVn,
								_ =&gt; _.PeriodDate,
								_ =&gt; _.PeriodId,
								_ =&gt; _.DateStatus,
								_ =&gt; _.Fob,
								_ =&gt; _.Freight,
								_ =&gt; _.Insurance,
								_ =&gt; _.Amount,
								_ =&gt; _.InvoiceNo,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[AbpAuthorize(AppPermissions.Pages_Inventory_CKD_ContainerInvoice)]
    public class InvCkdContainerInvoiceAppService : vovinaAppServiceBase, IInvCkdContainerInvoiceAppService
    {
        private readonly IDapperRepository&lt;InvCkdContainerInvoice, long&gt; _dapperRepo;
        private readonly IRepository&lt;InvCkdContainerInvoice, long&gt; _repo;
        private readonly IInvCkdContainerInvoiceExcelExporter _calendarListExcelExporter;
        public InvCkdContainerInvoiceAppService(IRepository&lt;InvCkdContainerInvoice,long&gt; repo, 
                                         IDapperRepository&lt;InvCkdContainerInvoice,long&gt; dapperRepo,
                                        IInvCkdContainerInvoiceExcelExporter calendarListExcelExporter
            )
        {
            _repo = repo;
            _dapperRepo = dapperRepo;
            _calendarListExcelExporter = calendarListExcelExporter;
        }
        [AbpAuthorize(AppPermissions.Pages_Inventory_CKD_ContainerInvoice_CreateEdit)]
        public async Task CreateOrEdit(CreateOrEditInvCkdContainerInvoiceDto input)
        {
            if (input.Id == null) await Create(input);
            else await Update(input);
        }
        //CREATE
        private async Task Create(CreateOrEditInvCkdContainerInvoiceDto input)
        {          
            var mainObj = ObjectMapper.Map&lt;InvCkdContainerInvoice&gt;(input);
            await CurrentUnitOfWork.GetDbContext&lt;vovinaDbContext&gt;().AddAsync(mainObj);
        }
        // EDIT
        private async Task Update(CreateOrEditInvCkdContainerInvoiceDto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[AbpAuthorize(AppPermissions.Pages_Inventory_CKD_ContainerInvoice_Delete)]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Task&lt;PagedResultDto&lt;InvCkdContainerInvoiceDto&gt;&gt; GetAll(GetInvCkdContainerInvoiceInput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.WhereIf(!string.IsNullOrWhiteSpace(input.SealNo), e =&gt; e.SealNo.Contains(input.SealNo))
				.WhereIf(!string.IsNullOrWhiteSpace(input.Status), e =&gt; e.Status.Contains(input.Status))
				.WhereIf(!string.IsNullOrWhiteSpace(input.DateStatus), e =&gt; e.DateStatus.Contains(input.DateStatus))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InvCkdContainerInvoiceDto
                        {
							Id = o.Id,
							ContainerNo = o.ContainerNo,
							Renban = o.Renban,
							InvoiceId = o.InvoiceId,
							SupplierNo = o.SupplierNo,
							SealNo = o.SealNo,
							ContainerSize = o.ContainerSize,
							PlandedvanningDate = o.PlandedvanningDate,
							ActualvanningDate = o.ActualvanningDate,
							Thc = o.Thc,
							Inland = o.Inland,
							CdDate = o.CdDate,
							Status = o.Status,
							ThcVn = o.ThcVn,
							InlandVn = o.InlandVn,
							PeriodDate = o.PeriodDate,
							PeriodId = o.PeriodId,
							DateStatus = o.DateStatus,
							Fob = o.Fob,
							Freight = o.Freight,
							Insurance = o.Insurance,
							Amount = o.Amount,
							InvoiceNo = o.InvoiceNo,
							IsActive = o.IsActive,
                        };
            var totalCount = await filtered.CountAsync();
			var paged = system.PageBy(input);
            return new PagedResultDto&lt;InvCkdContainerInvoiceDto&gt;(
                totalCount,
                 await paged.ToListAsync()
            );
        }
        public async Task&lt;FileDto&gt; GetContainerInvoiceToExcel(InvCkdContainerInvoiceExportInput input)
        {
            var query = from o in _repo.GetAll()
                        select new InvCkdContainerInvoiceDto
                        {
							Id = o.Id,
							ContainerNo = o.ContainerNo,
							Renban = o.Renban,
							InvoiceId = o.InvoiceId,
							SupplierNo = o.SupplierNo,
							SealNo = o.SealNo,
							ContainerSize = o.ContainerSize,
							PlandedvanningDate = o.PlandedvanningDate,
							ActualvanningDate = o.ActualvanningDate,
							Thc = o.Thc,
							Inland = o.Inland,
							CdDate = o.CdDate,
							Status = o.Status,
							ThcVn = o.ThcVn,
							InlandVn = o.InlandVn,
							PeriodDate = o.PeriodDate,
							PeriodId = o.PeriodId,
							DateStatus = o.DateStatus,
							Fob = o.Fob,
							Freight = o.Freight,
							Insurance = o.Insurance,
							Amount = o.Amount,
							InvoiceNo = o.InvoiceNo,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_dapperRepo.ExecuteAsync(InvCkdContainerInvoiceConsts.SP_MST_WPT_CALENDAR_GENERATE);
       // }
    }
}</v>
      </c>
      <c r="N68" s="58" t="str">
        <f>A.Backend!U7</f>
        <v xml:space="preserve">  configuration.CreateMap&lt;InvCkdContainerInvoiceDto, InvCkdContainerInvoice&gt;();
  configuration.CreateMap&lt;InvCkdContainerInvoice, InvCkdContainerInvoiceDto&gt;();
  configuration.CreateMap&lt;CreateOrEditInvCkdContainerInvoiceDto, InvCkdContainerInvoice&gt;();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containerinvoice</v>
      </c>
      <c r="C73" s="66" t="str">
        <f>"create folder " &amp;B73</f>
        <v>create folder containerinvoice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containerinvoice.component.ts</v>
      </c>
      <c r="D74" s="28" t="str">
        <f>B.Frontend!I14</f>
        <v>containerinvoice.component.html</v>
      </c>
      <c r="E74" s="28" t="str">
        <f>B.Frontend!J14</f>
        <v>containerinvoice.component.less</v>
      </c>
      <c r="F74" s="28" t="str">
        <f>B.Frontend!K14</f>
        <v>create-or-edit-containerinvoice-modal.component.html</v>
      </c>
      <c r="G74" s="28" t="str">
        <f>B.Frontend!L14</f>
        <v>create-or-edit-containerinvoice-modal.component.ts</v>
      </c>
      <c r="H74" s="28" t="str">
        <f>B.Frontend!M14</f>
        <v>create-or-edit-containerinvoice-modal.component.less</v>
      </c>
      <c r="I74" s="28" t="str">
        <f>B.Frontend!N14</f>
        <v>containerinvoice.module.ts</v>
      </c>
      <c r="J74" s="28" t="str">
        <f>B.Frontend!O14</f>
        <v>containerinvoice-routing.module.ts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InvCkdContainerInvoiceDto, InvCkdContainerInvoiceServiceProxy } from '@shared/service-proxies/service-proxies';
import { finalize } from 'rxjs/internal/operators/finalize';
import { CreateOrEditContainerInvoiceModalComponent } from './create-or-edit-containerinvoice-modal.component';
import { DatePipe } from '@angular/common';
import { FileDownloadService } from '@shared/utils/file-download.service';
import ceil from 'lodash-es/ceil';
import { Paginator } from 'primeng/paginator';
@Component({
    templateUrl: './containerinvoice.component.html',
    styleUrls: ['./containerinvoice.component.less'],
})
export class ContainerInvoiceComponent extends AppComponentBase implements OnInit {
    @ViewChild('createOrEditModalContainerInvoice', { static: true }) createOrEditModalContainerInvoice:| CreateOrEditContainerInvoiceModalComponent|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InvCkdContainerInvoiceDto = new InvCkdContainerInvoiceDto();
    saveSelectedRow: InvCkdContainerInvoiceDto = new InvCkdContainerInvoiceDto();
    datas: InvCkdContainerInvoiceDto = new InvCkdContainerInvoiceDto();
    isLoading: boolean = false;
    dataParams: GridParams | undefined;
    rowData: any[] = [];
    gridApi!: GridApi;
    rowSelection = 'multiple';
    filter: string = '';
	pipe = new DatePipe('en-US');
	frameworkComponents: FrameworkComponent;
    	containerNo : string = '' ; 
	renban : string = '' ; 
	invoiceId
	supplierNo : string = '' ; 
	sealNo : string = '' ; 
	containerSize
	plandedvanningDate
	actualvanningDate
	thc
	inland
	cdDate
	status : string = '' ; 
	thcVn
	inlandVn
	periodDate
	periodId
	dateStatus : string = '' ; 
	fob
	freight
	insurance
	amount
	invoiceNo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InvCkdContainerInvoiceServiceProxy,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this.l('Supplier No'),headerTooltip: this.l('Supplier No'),field: 'supplierNo',flex: 1},
			{headerName: this.l('Seal No'),headerTooltip: this.l('Seal No'),field: 'sealNo',flex: 1},
			{headerName: this.l('Container Size'),headerTooltip: this.l('Container Size'),field: 'containerSize',flex: 1},
			{headerName: this.l('Plandedvanning Date'),headerTooltip: this.l('Plandedvanning Date'),field: 'plandedvanningDate',flex: 1},
			{headerName: this.l('Actualvanning Date'),headerTooltip: this.l('Actualvanning Date'),field: 'actualvanningDate',flex: 1},
			{headerName: this.l('Thc'),headerTooltip: this.l('Thc'),field: 'thc',flex: 1},
			{headerName: this.l('Inland'),headerTooltip: this.l('Inland'),field: 'inland',flex: 1},
			{headerName: this.l('Cd Date'),headerTooltip: this.l('Cd Date'),field: 'cdDate',flex: 1},
			{headerName: this.l('Status'),headerTooltip: this.l('Status'),field: 'status',flex: 1},
			{headerName: this.l('Thc Vn'),headerTooltip: this.l('Thc Vn'),field: 'thcVn',flex: 1},
			{headerName: this.l('Inland Vn'),headerTooltip: this.l('Inland Vn'),field: 'inlandVn',flex: 1},
			{headerName: this.l('Period Date'),headerTooltip: this.l('Period Date'),field: 'periodDate',flex: 1},
			{headerName: this.l('Period Id'),headerTooltip: this.l('Period Id'),field: 'periodId',flex: 1},
			{headerName: this.l('Date Status'),headerTooltip: this.l('Date Status'),field: 'dateStatus',flex: 1},
			{headerName: this.l('Fob'),headerTooltip: this.l('Fob'),field: 'fob',flex: 1},
			{headerName: this.l('Freight'),headerTooltip: this.l('Freight'),field: 'freight',flex: 1},
			{headerName: this.l('Insurance'),headerTooltip: this.l('Insurance'),field: 'insurance',flex: 1},
			{headerName: this.l('Amount'),headerTooltip: this.l('Amount'),field: 'amount',flex: 1},
			{headerName: this.l('Invoice No'),headerTooltip: this.l('Invoice No'),field: 'invoiceNo',flex: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this.invoiceId,
			this.supplierNo,
			this.sealNo,
			this.containerSize,
			this.plandedvanningDate,
			this.actualvanningDate,
			this.thc,
			this.inland,
			this.cdDate,
			this.status,
			this.thcVn,
			this.inlandVn,
			this.periodDate,
			this.periodId,
			this.dateStatus,
			this.fob,
			this.freight,
			this.insurance,
			this.amount,
			this.invoiceNo,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this.containerNo = '',
		this.renban = '',
		this.invoiceId = '',
		this.supplierNo = '',
		this.sealNo = '',
		this.containerSize = '',
		this.plandedvanningDate = '',
		this.actualvanningDate = '',
		this.thc = '',
		this.inland = '',
		this.cdDate = '',
		this.status = '',
		this.thcVn = '',
		this.inlandVn = '',
		this.periodDate = '',
		this.periodId = '',
		this.dateStatus = '',
		this.fob = '',
		this.freight = '',
		this.insurance = '',
		this.amount = '',
		this.invoiceNo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this.invoiceId,
			this.supplierNo,
			this.sealNo,
			this.containerSize,
			this.plandedvanningDate,
			this.actualvanningDate,
			this.thc,
			this.inland,
			this.cdDate,
			this.status,
			this.thcVn,
			this.inlandVn,
			this.periodDate,
			this.periodId,
			this.dateStatus,
			this.fob,
			this.freight,
			this.insurance,
			this.amount,
			this.invoiceNo,
			this.isActive,
			'',
            this.paginationParams.skipCount,
            this.paginationParams.pageSize
        );
    }
    onChangeRowSelection(params: { api: { getSelectedRows: () =&gt; InvCkdContainerInvoiceDto[] } }) {
        this.saveSelectedRow = params.api.getSelectedRows()[0] ?? new InvCkdContainerInvoiceDto();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InvCkdContainerInvoiceDto):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this._service.getContainerInvoiceToExcel(
			this.containerNo,
			this.renban,
			this.invoiceId,
			this.supplierNo,
			this.sealNo,
			this.containerSize,
			this.plandedvanningDate,
			this.actualvanningDate,
			this.thc,
			this.inland,
			this.cdDate,
			this.status,
			this.thcVn,
			this.inlandVn,
			this.periodDate,
			this.periodId,
			this.dateStatus,
			this.fob,
			this.freight,
			this.insurance,
			this.amount,
			this.invoiceNo,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[(ngModel)]='sealNo' name='sealNo'
									class='form-control' [placeholder]="l('Seal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[(ngModel)]='dateStatus' name='dateStatus'
									class='form-control' [placeholder]="l('Date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(click)="createOrEditModalContainerInvoice.show()"&gt;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(click)="createOrEditModalContainerInvoice.show(selectedRow)"&gt;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&lt;create-or-edit-containerinvoice-modal
    #createOrEditModalContainerInvoice
    (modalSave)="callBackDataGrid(dataParams)"
    (modalClose)="onChangeRowSelection(dataParams)"
&gt;
&lt;/create-or-edit-containerinvoice-modal&gt;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#createOrEditModalContainerInvoice="bs-modal"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ContainerInvoice')}}&lt;/h3&gt;
                    &lt;h3 *ngIf="!rowdata.id"&gt;{{('Create New ContainerInvoice')}}&lt;/h3&gt;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title'&gt;Seal No&lt;/label&gt;
						&lt;input type='text' class='col-md-10 form-control input-text' name='SealNo' [(ngModel)]='rowdata.sealNo'&gt;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title'&gt;Date Status&lt;/label&gt;
						&lt;input type='text' class='col-md-10 form-control input-text' name='DateStatus' [(ngModel)]='rowdata.dateStatus'&gt;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CreateOrEditInvCkdContainerInvoiceDto, InvCkdContainerInvoiceServiceProxy } from '@shared/service-proxies/service-proxies';
import { BsDatepickerDirective } from 'ngx-bootstrap/datepicker';
@Component({
    selector: 'create-or-edit-containerinvoice-modal',
    templateUrl: './create-or-edit-containerinvoice-modal.component.html',
    styleUrls: ['./create-or-edit-containerinvoice-modal.component.less']
    })
export class CreateOrEditContainerInvoiceModalComponent extends AppComponentBase {
    @ViewChild('createOrEditModalContainerInvoice',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CreateOrEditInvCkdContainerInvoiceDto = new CreateOrEditInvCkdContainerInvoiceDto();
    active: boolean = false;
    saving: boolean = false;
    _isActive: boolean;
    constructor(
        injector: Injector,
        private _mstwptContainerInvoiceService: InvCkdContainerInvoiceServiceProxy,
    ) 
    {
        super(injector);
    }
    show(rowdata?: CreateOrEditInvCkdContainerInvoiceDto): void {
        if (!rowdata) this.rowdata = new CreateOrEditInvCkdContainerInvoiceDto();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this._mstwptContainerInvoiceService.createOrEdit(this.rowdata)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ContainerInvoiceRoutingModule } from './containerinvoice-routing.module';
import { ContainerInvoiceComponent } from './containerinvoice.component';
import { CreateOrEditContainerInvoiceModalComponent } from './create-or-edit-containerinvoice-modal.component';
@NgModule({
    declarations: [
       ContainerInvoiceComponent, 
        CreateOrEditContainerInvoiceModalComponent
    ],
    imports: [
        AppSharedModule, ContainerInvoiceRoutingModule]
})
export class ContainerInvoiceModule {}</v>
      </c>
      <c r="J75" s="46" t="str">
        <f>B.Frontend!O10</f>
        <v>import {NgModule} from '@angular/core';
import {RouterModule, Routes} from '@angular/router';
import { ContainerInvoiceComponent } from './containerinvoice.component';
const routes: Routes = [{
    path: '',
    component: ContainerInvoiceComponent,
    pathMatch: 'full'
}];
@NgModule({
    imports: [RouterModule.forChild(routes)],
    exports: [RouterModule],
})
export class ContainerInvoiceRoutingModule {}</v>
      </c>
      <c r="K75" s="46" t="str">
        <f>B.Frontend!P10</f>
        <v xml:space="preserve"> new AppMenuItem("ContainerInvoice", "Pages.Inventory.CKD.ContainerInvoice", "flaticon-book",   "/app/main/inventory/ckd/containerinvoice"),</v>
      </c>
      <c r="L75" s="47" t="str">
        <f>B.Frontend!Q10</f>
        <v>{
    path: 'inventory/ckd/containerinvoice',
    loadChildren: () =&gt; import('./inventory/ckd/containerinvoice/containerinvoice.module').then(m =&gt; m.ContainerInvoiceModule),
    data: { permission: 'Pages.Inventory.CKD.ContainerInvoice' }
},</v>
      </c>
      <c r="M75" s="45" t="str">
        <f>B.Frontend!R10</f>
        <v>ApiServiceProxies.InvCkdContainerInvoiceServiceProxy,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3"/>
  <sheetViews>
    <sheetView topLeftCell="A7" workbookViewId="0">
      <pane xSplit="1" topLeftCell="B1" activePane="topRight" state="frozen"/>
      <selection pane="topRight" activeCell="B33" sqref="B3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381</v>
      </c>
      <c r="C3" s="9" t="s">
        <v>41</v>
      </c>
      <c r="D3" s="9" t="s">
        <v>42</v>
      </c>
      <c r="E3" s="9" t="s">
        <v>37</v>
      </c>
      <c r="F3" s="10" t="str">
        <f>"J"&amp;COUNTA($A:$A)</f>
        <v>J31</v>
      </c>
      <c r="G3" s="4" t="s">
        <v>54</v>
      </c>
      <c r="H3" s="9" t="str">
        <f>"I"&amp;COUNTA($A:$A)</f>
        <v>I31</v>
      </c>
      <c r="I3" s="9" t="str">
        <f>REPT(CHAR(9),2)&amp;"[Required]"&amp;"
"</f>
        <v xml:space="preserve">		[Required]
</v>
      </c>
      <c r="J3" s="10" t="str">
        <f>"L"&amp;COUNTA($A:$A)</f>
        <v>L31</v>
      </c>
      <c r="K3" s="5" t="s">
        <v>53</v>
      </c>
      <c r="L3" s="10" t="str">
        <f>"M"&amp;COUNTA($A:$A)</f>
        <v>M31</v>
      </c>
      <c r="M3" s="10" t="str">
        <f>"N"&amp;COUNTA($A:$A)</f>
        <v>N31</v>
      </c>
      <c r="N3" s="10" t="str">
        <f>"O"&amp;COUNTA($A:$A)</f>
        <v>O31</v>
      </c>
      <c r="O3" s="10" t="str">
        <f>"P"&amp;COUNTA($A:$A)</f>
        <v>P31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InvCkdContainerInvoiceExportInput{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T31</v>
      </c>
      <c r="V3" s="10" t="str">
        <f>"V"&amp;COUNTA($A:$A)</f>
        <v>V31</v>
      </c>
      <c r="W3" s="9" t="str">
        <f>"W"&amp;COUNTA($A:$A)</f>
        <v>W31</v>
      </c>
    </row>
    <row r="4" spans="1:23" s="10" customFormat="1" ht="33" customHeight="1" x14ac:dyDescent="0.2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382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InvCkdContainerInvoice: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InvCkdContainerInvoiceConsts	
	{
</v>
      </c>
      <c r="F6" s="10" t="str">
        <f>REPT(CHAR(9),1)&amp;"public class "&amp;B3&amp;"Dto"&amp;K3&amp;REPT(CHAR(9),1)&amp;"
"&amp;REPT(CHAR(9),1)&amp;C3</f>
        <v xml:space="preserve">	public class InvCkdContainerInvoiceDto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CreateOrEditInvCkdContainerInvoiceDto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GetInvCkdContainerInvoiceInput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InvCkdContainerInvoice</v>
      </c>
      <c r="C7" s="10" t="str">
        <f>REPT(CHAR(9),1)&amp;"[Table("""&amp;B7&amp;""")]"&amp;"
"</f>
        <v xml:space="preserve">	[Table("InvCkdContainerInvoice")]
</v>
      </c>
      <c r="D7" s="10"/>
      <c r="E7" s="10"/>
      <c r="F7" s="10"/>
      <c r="G7" s="10"/>
      <c r="H7" s="10"/>
      <c r="I7" s="10"/>
      <c r="J7" t="str">
        <f ca="1">SUBSTITUTE(SUBSTITUTE((B1&amp;C6&amp;C7&amp;K33&amp;D6&amp;I33&amp;E3&amp;J33&amp;""&amp;REPT(CHAR(9),1)&amp;D3&amp;D3),"WorkingPattern",$Q$3),"Master",$B$4)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[Table("InvCkdContainerInvoice")]
	public class InvCkdContainerInvoice: FullAuditedEntity&lt;long&gt;, IEntity&lt;long&gt;	
	{
		public const int MaxContainerNoLength = 15;
		public const int MaxRenbanLength = 6;
		public const int MaxSupplierNoLength = 10;
		public const int MaxSealNoLength = 20;
		public const int MaxStatusLength = 10;
		public const int MaxDateStatusLength = 200;
		public const int MaxIsActiveLength = 1;
		[StringLength(MaxContainerNoLength)]
		public virtual string ContainerNo { get; set; }
		[StringLength(MaxRenbanLength)]
		public virtual string Renban { get; set; }
		public virtual long? InvoiceId { get; set; }
		[StringLength(MaxSupplierNoLength)]
		public virtual string SupplierNo { get; set; }
		[StringLength(MaxSealNoLength)]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[StringLength(MaxStatusLength)]
		public virtual string Status { get; set; }
		public virtual decimal? ThcVn { get; set; }
		public virtual decimal? InlandVn { get; set; }
		public virtual DateTime? PeriodDate { get; set; }
		public virtual long? PeriodId { get; set; }
		[StringLength(MaxDateStatusLength)]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DbSet&lt;InvCkdContainerInvoice&gt; InvCkdContainerInvoices { get; set; }</v>
      </c>
      <c r="L7" t="str">
        <f ca="1">SUBSTITUTE(SUBSTITUTE((C6&amp;E6&amp;I33&amp;"
"&amp;REPT(CHAR(9),2)&amp;"// Define Store Name: Format SP_ + &lt;Store Name&gt; = &lt;Store Name&gt;
"&amp;E3&amp;REPT(CHAR(9),1)&amp;D3&amp;D3),"WorkingPattern",$Q$3),"Master",$B$4)</f>
        <v xml:space="preserve">namespace prod.Inventory.CKD
{
	public class InvCkdContainerInvoiceConsts	
	{
		public const int MaxContainerNoLength = 15;
		public const int MaxRenbanLength = 6;
		public const int MaxSupplierNoLength = 10;
		public const int MaxSealNoLength = 20;
		public const int MaxStatusLength = 10;
		public const int MaxDateStatusLength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"&amp;B6&amp;".Dto"&amp;E3&amp;C3&amp;F6&amp;M33&amp;E3&amp;REPT(CHAR(9),1)&amp;D3&amp;G6&amp;N33&amp;REPT(CHAR(9),1)&amp;D3&amp;H6&amp;O33&amp;"
"&amp;REPT(CHAR(9),1)&amp;D3&amp;D3),"WorkingPattern",$Q$3),"Master",$B$4)</f>
        <v xml:space="preserve">using Abp.Application.Services.Dto;
using System;
using System.ComponentModel.DataAnnotations;
namespace prod.Inventory.CKD.Dto
{
	public class InvCkdContainerInvoiceDto : EntityDto&lt;long?&gt;	
	{
		public virtual string ContainerNo { get; set; }
		public virtual string Renban { get; set; }
		public virtual long? InvoiceId { get; set; }
		public virtual string SupplierNo { get; set; }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public virtual string Status { get; set; }
		public virtual decimal? ThcVn { get; set; }
		public virtual decimal? InlandVn { get; set; }
		public virtual DateTime? PeriodDate { get; set; }
		public virtual long? PeriodId { get; set; }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public virtual string IsActive { get; set; }
	}
	public class CreateOrEditInvCkdContainerInvoiceDto : EntityDto&lt;long?&gt;	
	{
		[StringLength(InvCkdContainerInvoiceConsts.MaxContainerNoLength)]
		public virtual string ContainerNo { get; set; }
		[StringLength(InvCkdContainerInvoiceConsts.MaxRenbanLength)]
		public virtual string Renban { get; set; }
		public virtual long? InvoiceId { get; set; }
		[StringLength(InvCkdContainerInvoiceConsts.MaxSupplierNoLength)]
		public virtual string SupplierNo { get; set; }
		[StringLength(InvCkdContainerInvoiceConsts.MaxSealNoLength)]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[StringLength(InvCkdContainerInvoiceConsts.MaxStatusLength)]
		public virtual string Status { get; set; }
		public virtual decimal? ThcVn { get; set; }
		public virtual decimal? InlandVn { get; set; }
		public virtual DateTime? PeriodDate { get; set; }
		public virtual long? PeriodId { get; set; }
		[StringLength(InvCkdContainerInvoiceConsts.MaxDateStatusLength)]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[StringLength(InvCkdContainerInvoiceConsts.MaxIsActiveLength)]
		public virtual string IsActive { get; set; }
	}
	public class GetInvCkdContainerInvoiceInput : PagedAndSortedResultRequestDto	
	{
		public virtual string ContainerNo { get; set; }
		public virtual string Renban { get; set; }
		public virtual string SupplierNo { get; set; }
		public virtual string SealNo { get; set; }
		public virtual string Status { get; set; }
		public virtual string DateStatus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perInvCkdContainerInvoice = PARENTS.CreateChildPermission(AppPermissions.Pages_Inventory_CKD_ContainerInvoice, L( "InventoryCKDContainerInvoice"), multiTenancySides: MultiTenancySides.Tenant);
		perInvCkdContainerInvoice.CreateChildPermission(AppPermissions.Pages_Inventory_CKD_ContainerInvoice_CreateEdit, L( "InventoryCKDContainerInvoiceCreateEdit"), multiTenancySides: MultiTenancySides.Tenant);
		perInvCkdContainerInvoice.CreateChildPermission(AppPermissions.Pages_Inventory_CKD_ContainerInvoice_Delete, L( "InventoryCKDContainerInvoiceDelete"),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Pages_Inventory_CKD_ContainerInvoice = "Pages.Inventory.CKD.ContainerInvoice";
		public const string Pages_Inventory_CKD_ContainerInvoice_CreateEdit = "Pages.Inventory.CKD.ContainerInvoice.CreateEdit";
		public const string Pages_Inventory_CKD_ContainerInvoice_Delete = "Pages.Inventory.CKD.ContainerInvoice.Delete";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IInvCkdContainerInvoiceAppService : IApplicationService
	{
		Task&lt;PagedResultDto&lt;InvCkdContainerInvoiceDto&gt;&gt; GetAll(GetInvCkdContainerInvoiceInput input);
		Task CreateOrEdit(CreateOrEditInvCkdContainerInvoiceDto input);
		Task Delete(EntityDto input);
	}
}
</v>
      </c>
      <c r="Q7" t="str">
        <f ca="1">SUBSTITUTE(SUBSTITUTE(SUBSTITUTE(SUBSTITUTE(SUBSTITUTE(SUBSTITUTE(E1,"MstWptCalendar",$B$3),"&lt;PROPERTIES&gt;",P33),"Calendar",$B$5),"WorkingPattern",$Q$3),"Master",$B$4),"&lt;PARAMS_SEARCH&gt;",$W$33)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[AbpAuthorize(AppPermissions.Pages_Inventory_CKD_ContainerInvoice)]
    public class InvCkdContainerInvoiceAppService : vovinaAppServiceBase, IInvCkdContainerInvoiceAppService
    {
        private readonly IDapperRepository&lt;InvCkdContainerInvoice, long&gt; _dapperRepo;
        private readonly IRepository&lt;InvCkdContainerInvoice, long&gt; _repo;
        private readonly IInvCkdContainerInvoiceExcelExporter _calendarListExcelExporter;
        public InvCkdContainerInvoiceAppService(IRepository&lt;InvCkdContainerInvoice,long&gt; repo, 
                                         IDapperRepository&lt;InvCkdContainerInvoice,long&gt; dapperRepo,
                                        IInvCkdContainerInvoiceExcelExporter calendarListExcelExporter
            )
        {
            _repo = repo;
            _dapperRepo = dapperRepo;
            _calendarListExcelExporter = calendarListExcelExporter;
        }
        [AbpAuthorize(AppPermissions.Pages_Inventory_CKD_ContainerInvoice_CreateEdit)]
        public async Task CreateOrEdit(CreateOrEditInvCkdContainerInvoiceDto input)
        {
            if (input.Id == null) await Create(input);
            else await Update(input);
        }
        //CREATE
        private async Task Create(CreateOrEditInvCkdContainerInvoiceDto input)
        {          
            var mainObj = ObjectMapper.Map&lt;InvCkdContainerInvoice&gt;(input);
            await CurrentUnitOfWork.GetDbContext&lt;vovinaDbContext&gt;().AddAsync(mainObj);
        }
        // EDIT
        private async Task Update(CreateOrEditInvCkdContainerInvoiceDto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[AbpAuthorize(AppPermissions.Pages_Inventory_CKD_ContainerInvoice_Delete)]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Task&lt;PagedResultDto&lt;InvCkdContainerInvoiceDto&gt;&gt; GetAll(GetInvCkdContainerInvoiceInput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.WhereIf(!string.IsNullOrWhiteSpace(input.SealNo), e =&gt; e.SealNo.Contains(input.SealNo))
				.WhereIf(!string.IsNullOrWhiteSpace(input.Status), e =&gt; e.Status.Contains(input.Status))
				.WhereIf(!string.IsNullOrWhiteSpace(input.DateStatus), e =&gt; e.DateStatus.Contains(input.DateStatus))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InvCkdContainerInvoiceDto
                        {
							Id = o.Id,
							ContainerNo = o.ContainerNo,
							Renban = o.Renban,
							InvoiceId = o.InvoiceId,
							SupplierNo = o.SupplierNo,
							SealNo = o.SealNo,
							ContainerSize = o.ContainerSize,
							PlandedvanningDate = o.PlandedvanningDate,
							ActualvanningDate = o.ActualvanningDate,
							Thc = o.Thc,
							Inland = o.Inland,
							CdDate = o.CdDate,
							Status = o.Status,
							ThcVn = o.ThcVn,
							InlandVn = o.InlandVn,
							PeriodDate = o.PeriodDate,
							PeriodId = o.PeriodId,
							DateStatus = o.DateStatus,
							Fob = o.Fob,
							Freight = o.Freight,
							Insurance = o.Insurance,
							Amount = o.Amount,
							InvoiceNo = o.InvoiceNo,
							IsActive = o.IsActive,
                        };
            var totalCount = await filtered.CountAsync();
			var paged = system.PageBy(input);
            return new PagedResultDto&lt;InvCkdContainerInvoiceDto&gt;(
                totalCount,
                 await paged.ToListAsync()
            );
        }
        public async Task&lt;FileDto&gt; GetContainerInvoiceToExcel(InvCkdContainerInvoiceExportInput input)
        {
            var query = from o in _repo.GetAll()
                        select new InvCkdContainerInvoiceDto
                        {
							Id = o.Id,
							ContainerNo = o.ContainerNo,
							Renban = o.Renban,
							InvoiceId = o.InvoiceId,
							SupplierNo = o.SupplierNo,
							SealNo = o.SealNo,
							ContainerSize = o.ContainerSize,
							PlandedvanningDate = o.PlandedvanningDate,
							ActualvanningDate = o.ActualvanningDate,
							Thc = o.Thc,
							Inland = o.Inland,
							CdDate = o.CdDate,
							Status = o.Status,
							ThcVn = o.ThcVn,
							InlandVn = o.InlandVn,
							PeriodDate = o.PeriodDate,
							PeriodId = o.PeriodId,
							DateStatus = o.DateStatus,
							Fob = o.Fob,
							Freight = o.Freight,
							Insurance = o.Insurance,
							Amount = o.Amount,
							InvoiceNo = o.InvoiceNo,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_dapperRepo.ExecuteAsync(InvCkdContainerInvoiceConsts.SP_MST_WPT_CALENDAR_GENERATE);
       // }
    }
}</v>
      </c>
      <c r="R7" t="str">
        <f ca="1">SUBSTITUTE(SUBSTITUTE((C1&amp;"namespace "&amp;B6&amp;".Dto"&amp;E3&amp;C3&amp;R3&amp;M33&amp;E3&amp;REPT(CHAR(9),1)&amp;D3&amp;D3),"WorkingPattern",$Q$3),"Master",$B$4)</f>
        <v xml:space="preserve">using Abp.Application.Services.Dto;
using System;
using System.ComponentModel.DataAnnotations;
namespace prod.Inventory.CKD.Dto
{
	public class InvCkdContainerInvoiceExportInput{
		public virtual string ContainerNo { get; set; }
		public virtual string Renban { get; set; }
		public virtual long? InvoiceId { get; set; }
		public virtual string SupplierNo { get; set; }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public virtual string Status { get; set; }
		public virtual decimal? ThcVn { get; set; }
		public virtual decimal? InlandVn { get; set; }
		public virtual DateTime? PeriodDate { get; set; }
		public virtual long? PeriodId { get; set; }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IInvCkdContainerInvoiceExcelExporter : IApplicationService
	{
		FileDto ExportToFile(List&lt;InvCkdContainerInvoiceDto&gt; invckdcontainerinvoice);
	}
}
</v>
      </c>
      <c r="T7" s="26" t="str">
        <f ca="1">SUBSTITUTE(SUBSTITUTE(SUBSTITUTE(SUBSTITUTE(SUBSTITUTE(SUBSTITUTE(SUBSTITUTE(T1,"MstWptCalendar",$B$3),"&lt;PROPERTIES1&gt;",V33),"&lt;PROPERTIES&gt;",T33),"Calendar",$B$5),"calendar",LOWER(B5)),"WorkingPattern",$Q$3),"Master",$B$4)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InvCkdContainerInvoiceExcelExporter : NpoiExcelExporterBase, IInvCkdContainerInvoiceExcelExporter
    {
        public InvCkdContainerInvoiceExcelExporter(ITempFileCacheManager tempFileCacheManager) : base(tempFileCacheManager) { }
        public FileDto ExportToFile(List&lt;InvCkdContainerInvoiceDto&gt; containerinvoice)
        {
            return CreateExcelPackage(
				"InventoryCKDContainerInvoice.xlsx",
				excelPackage =&gt;
				 {
					var sheet = excelPackage.CreateSheet("ContainerInvoice");
					AddHeader(
								sheet,
								("ContainerNo"),
								("Renban"),
								("InvoiceId"),
								("SupplierNo"),
								("SealNo"),
								("ContainerSize"),
								("PlandedvanningDate"),
								("ActualvanningDate"),
								("Thc"),
								("Inland"),
								("CdDate"),
								("Status"),
								("ThcVn"),
								("InlandVn"),
								("PeriodDate"),
								("PeriodId"),
								("DateStatus"),
								("Fob"),
								("Freight"),
								("Insurance"),
								("Amount"),
								("InvoiceNo"),
								("IsActive"),
							   );
					AddObjects(
						 sheet, 1, containerinvoice,                                       
								_ =&gt; _.ContainerNo,
								_ =&gt; _.Renban,
								_ =&gt; _.InvoiceId,
								_ =&gt; _.SupplierNo,
								_ =&gt; _.SealNo,
								_ =&gt; _.ContainerSize,
								_ =&gt; _.PlandedvanningDate,
								_ =&gt; _.ActualvanningDate,
								_ =&gt; _.Thc,
								_ =&gt; _.Inland,
								_ =&gt; _.CdDate,
								_ =&gt; _.Status,
								_ =&gt; _.ThcVn,
								_ =&gt; _.InlandVn,
								_ =&gt; _.PeriodDate,
								_ =&gt; _.PeriodId,
								_ =&gt; _.DateStatus,
								_ =&gt; _.Fob,
								_ =&gt; _.Freight,
								_ =&gt; _.Insurance,
								_ =&gt; _.Amount,
								_ =&gt; _.InvoiceNo,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configuration.CreateMap&lt;InvCkdContainerInvoiceDto, InvCkdContainerInvoice&gt;();
  configuration.CreateMap&lt;InvCkdContainerInvoice, InvCkdContainerInvoiceDto&gt;();
  configuration.CreateMap&lt;CreateOrEditInvCkdContainerInvoiceDto, InvCkdContainerInvoice&gt;();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361</v>
      </c>
      <c r="B9" t="s">
        <v>362</v>
      </c>
      <c r="C9" t="s">
        <v>1</v>
      </c>
      <c r="D9" t="str">
        <f t="shared" ref="D9" si="0">SUBSTITUTE(PROPER(A9),"_","")</f>
        <v>ContainerNo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MaxContainerNoLength = 15;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[StringLength(MaxContainerNoLength)]
		public virtual string ContainerNo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ContainerNo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[StringLength(InvCkdContainerInvoiceConsts.MaxContainerNoLength)]
		public virtual string ContainerNo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ContainerNo { get; set; }
</v>
      </c>
      <c r="P9" t="str">
        <f t="shared" ref="P9" si="9">REPT(CHAR(9),7)&amp;D9&amp;" = o." &amp;D9 &amp;","</f>
        <v xml:space="preserve">							ContainerNo = o.ContainerNo,</v>
      </c>
      <c r="T9" s="63" t="str">
        <f t="shared" ref="T9" si="10">REPT(CHAR(9),8)&amp;"("""&amp;D9&amp;"""),"</f>
        <v xml:space="preserve">								("ContainerNo"),</v>
      </c>
      <c r="V9" s="64" t="str">
        <f t="shared" ref="V9" si="11">REPT(CHAR(9),8)&amp;"_ =&gt; _."&amp;D9&amp;","</f>
        <v xml:space="preserve">								_ =&gt; _.ContainerNo,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.WhereIf(!string.IsNullOrWhiteSpace(input.ContainerNo), e =&gt; e.ContainerNo.Contains(input.ContainerNo))</v>
      </c>
    </row>
    <row r="10" spans="1:23" customFormat="1" ht="18.75" customHeight="1" x14ac:dyDescent="0.25">
      <c r="A10" t="s">
        <v>373</v>
      </c>
      <c r="B10" t="s">
        <v>374</v>
      </c>
      <c r="C10" t="s">
        <v>1</v>
      </c>
      <c r="D10" t="str">
        <f t="shared" ref="D10:D11" si="13">SUBSTITUTE(PROPER(A10),"_","")</f>
        <v>Renban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6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MaxRenbanLength = 6;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[StringLength(MaxRenbanLength)]
		public virtual string Renban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Renban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[StringLength(InvCkdContainerInvoiceConsts.MaxRenbanLength)]
		public virtual string Renban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Renban { get; set; }
</v>
      </c>
      <c r="P10" t="str">
        <f t="shared" ref="P10:P11" si="22">REPT(CHAR(9),7)&amp;D10&amp;" = o." &amp;D10 &amp;","</f>
        <v xml:space="preserve">							Renban = o.Renban,</v>
      </c>
      <c r="T10" s="63" t="str">
        <f t="shared" ref="T10:T11" si="23">REPT(CHAR(9),8)&amp;"("""&amp;D10&amp;"""),"</f>
        <v xml:space="preserve">								("Renban"),</v>
      </c>
      <c r="V10" s="64" t="str">
        <f t="shared" ref="V10:V11" si="24">REPT(CHAR(9),8)&amp;"_ =&gt; _."&amp;D10&amp;","</f>
        <v xml:space="preserve">								_ =&gt; _.Renban,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.WhereIf(!string.IsNullOrWhiteSpace(input.Renban), e =&gt; e.Renban.Contains(input.Renban))</v>
      </c>
    </row>
    <row r="11" spans="1:23" customFormat="1" ht="18.75" customHeight="1" x14ac:dyDescent="0.25">
      <c r="A11" t="s">
        <v>363</v>
      </c>
      <c r="B11" t="s">
        <v>0</v>
      </c>
      <c r="C11" t="s">
        <v>1</v>
      </c>
      <c r="D11" t="str">
        <f t="shared" si="13"/>
        <v>InvoiceId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InvoiceId { get; set; }
</v>
      </c>
      <c r="K11" s="6"/>
      <c r="L11" t="str">
        <f t="shared" si="18"/>
        <v/>
      </c>
      <c r="M11" t="str">
        <f t="shared" si="19"/>
        <v xml:space="preserve">		public virtual long? InvoiceId { get; set; }
</v>
      </c>
      <c r="N11" t="str">
        <f t="shared" si="20"/>
        <v xml:space="preserve">		public virtual long? InvoiceId { get; set; }
</v>
      </c>
      <c r="O11" t="str">
        <f t="shared" si="21"/>
        <v/>
      </c>
      <c r="P11" t="str">
        <f t="shared" si="22"/>
        <v xml:space="preserve">							InvoiceId = o.InvoiceId,</v>
      </c>
      <c r="T11" s="63" t="str">
        <f t="shared" si="23"/>
        <v xml:space="preserve">								("InvoiceId"),</v>
      </c>
      <c r="V11" s="64" t="str">
        <f t="shared" si="24"/>
        <v xml:space="preserve">								_ =&gt; _.InvoiceId,</v>
      </c>
      <c r="W11" s="63" t="str">
        <f t="shared" si="25"/>
        <v/>
      </c>
    </row>
    <row r="12" spans="1:23" customFormat="1" ht="18.75" customHeight="1" x14ac:dyDescent="0.25">
      <c r="A12" t="s">
        <v>351</v>
      </c>
      <c r="B12" t="s">
        <v>359</v>
      </c>
      <c r="C12" t="s">
        <v>1</v>
      </c>
      <c r="D12" t="str">
        <f t="shared" ref="D12:D15" si="26">SUBSTITUTE(PROPER(A12),"_","")</f>
        <v>SupplierNo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10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MaxSupplierNoLength = 10;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[StringLength(MaxSupplierNoLength)]
		public virtual string SupplierNo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SupplierNo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[StringLength(InvCkdContainerInvoiceConsts.MaxSupplierNoLength)]
		public virtual string SupplierNo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SupplierNo { get; set; }
</v>
      </c>
      <c r="P12" t="str">
        <f t="shared" ref="P12:P15" si="35">REPT(CHAR(9),7)&amp;D12&amp;" = o." &amp;D12 &amp;","</f>
        <v xml:space="preserve">							SupplierNo = o.SupplierNo,</v>
      </c>
      <c r="T12" s="63" t="str">
        <f t="shared" ref="T12:T15" si="36">REPT(CHAR(9),8)&amp;"("""&amp;D12&amp;"""),"</f>
        <v xml:space="preserve">								("SupplierNo"),</v>
      </c>
      <c r="V12" s="64" t="str">
        <f t="shared" ref="V12:V15" si="37">REPT(CHAR(9),8)&amp;"_ =&gt; _."&amp;D12&amp;","</f>
        <v xml:space="preserve">								_ =&gt; _.SupplierNo,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.WhereIf(!string.IsNullOrWhiteSpace(input.SupplierNo), e =&gt; e.SupplierNo.Contains(input.SupplierNo))</v>
      </c>
    </row>
    <row r="13" spans="1:23" customFormat="1" ht="18.75" customHeight="1" x14ac:dyDescent="0.25">
      <c r="A13" t="s">
        <v>375</v>
      </c>
      <c r="B13" t="s">
        <v>370</v>
      </c>
      <c r="C13" t="s">
        <v>1</v>
      </c>
      <c r="D13" t="str">
        <f t="shared" si="26"/>
        <v>SealNo</v>
      </c>
      <c r="E13" t="str">
        <f t="shared" si="27"/>
        <v>VARCHAR</v>
      </c>
      <c r="F13" s="6"/>
      <c r="G13" t="str">
        <f t="shared" si="28"/>
        <v>20</v>
      </c>
      <c r="H13" t="str">
        <f>+VLOOKUP(E13,'Data Type Mapping'!A:B,2,)</f>
        <v>string</v>
      </c>
      <c r="I13" t="str">
        <f t="shared" si="29"/>
        <v xml:space="preserve">		public const int MaxSealNoLength = 20;
</v>
      </c>
      <c r="J13" t="str">
        <f t="shared" si="30"/>
        <v xml:space="preserve">		[StringLength(MaxSealNoLength)]
		public virtual string SealNo { get; set; }
</v>
      </c>
      <c r="K13" s="6"/>
      <c r="L13" t="str">
        <f t="shared" si="31"/>
        <v/>
      </c>
      <c r="M13" t="str">
        <f t="shared" si="32"/>
        <v xml:space="preserve">		public virtual string SealNo { get; set; }
</v>
      </c>
      <c r="N13" t="str">
        <f t="shared" si="33"/>
        <v xml:space="preserve">		[StringLength(InvCkdContainerInvoiceConsts.MaxSealNoLength)]
		public virtual string SealNo { get; set; }
</v>
      </c>
      <c r="O13" t="str">
        <f t="shared" si="34"/>
        <v xml:space="preserve">		public virtual string SealNo { get; set; }
</v>
      </c>
      <c r="P13" t="str">
        <f t="shared" si="35"/>
        <v xml:space="preserve">							SealNo = o.SealNo,</v>
      </c>
      <c r="T13" s="63" t="str">
        <f t="shared" si="36"/>
        <v xml:space="preserve">								("SealNo"),</v>
      </c>
      <c r="V13" s="64" t="str">
        <f t="shared" si="37"/>
        <v xml:space="preserve">								_ =&gt; _.SealNo,</v>
      </c>
      <c r="W13" s="63" t="str">
        <f t="shared" si="38"/>
        <v xml:space="preserve">				.WhereIf(!string.IsNullOrWhiteSpace(input.SealNo), e =&gt; e.SealNo.Contains(input.SealNo))</v>
      </c>
    </row>
    <row r="14" spans="1:23" customFormat="1" ht="18.75" customHeight="1" x14ac:dyDescent="0.25">
      <c r="A14" t="s">
        <v>376</v>
      </c>
      <c r="B14" t="s">
        <v>4</v>
      </c>
      <c r="C14" t="s">
        <v>1</v>
      </c>
      <c r="D14" t="str">
        <f t="shared" si="26"/>
        <v>ContainerSize</v>
      </c>
      <c r="E14" t="str">
        <f t="shared" si="27"/>
        <v>int</v>
      </c>
      <c r="F14" s="6"/>
      <c r="G14" t="str">
        <f t="shared" si="28"/>
        <v/>
      </c>
      <c r="H14" t="str">
        <f>+VLOOKUP(E14,'Data Type Mapping'!A:B,2,)</f>
        <v>int?</v>
      </c>
      <c r="I14" t="str">
        <f t="shared" si="29"/>
        <v/>
      </c>
      <c r="J14" t="str">
        <f t="shared" si="30"/>
        <v xml:space="preserve">		public virtual int? ContainerSize { get; set; }
</v>
      </c>
      <c r="K14" s="6"/>
      <c r="L14" t="str">
        <f t="shared" si="31"/>
        <v/>
      </c>
      <c r="M14" t="str">
        <f t="shared" si="32"/>
        <v xml:space="preserve">		public virtual int? ContainerSize { get; set; }
</v>
      </c>
      <c r="N14" t="str">
        <f t="shared" si="33"/>
        <v xml:space="preserve">		public virtual int? ContainerSize { get; set; }
</v>
      </c>
      <c r="O14" t="str">
        <f t="shared" si="34"/>
        <v/>
      </c>
      <c r="P14" t="str">
        <f t="shared" si="35"/>
        <v xml:space="preserve">							ContainerSize = o.ContainerSize,</v>
      </c>
      <c r="T14" s="63" t="str">
        <f t="shared" si="36"/>
        <v xml:space="preserve">								("ContainerSize"),</v>
      </c>
      <c r="V14" s="64" t="str">
        <f t="shared" si="37"/>
        <v xml:space="preserve">								_ =&gt; _.ContainerSize,</v>
      </c>
      <c r="W14" s="63" t="str">
        <f t="shared" si="38"/>
        <v/>
      </c>
    </row>
    <row r="15" spans="1:23" customFormat="1" ht="18.75" customHeight="1" x14ac:dyDescent="0.25">
      <c r="A15" t="s">
        <v>377</v>
      </c>
      <c r="B15" t="s">
        <v>366</v>
      </c>
      <c r="C15" t="s">
        <v>1</v>
      </c>
      <c r="D15" t="str">
        <f t="shared" si="26"/>
        <v>PlandedvanningDate</v>
      </c>
      <c r="E15" t="str">
        <f t="shared" si="27"/>
        <v>DATE</v>
      </c>
      <c r="F15" s="6"/>
      <c r="G15" t="str">
        <f t="shared" si="28"/>
        <v/>
      </c>
      <c r="H15" t="str">
        <f>+VLOOKUP(E15,'Data Type Mapping'!A:B,2,)</f>
        <v>DateTime?</v>
      </c>
      <c r="I15" t="str">
        <f t="shared" si="29"/>
        <v/>
      </c>
      <c r="J15" t="str">
        <f t="shared" si="30"/>
        <v xml:space="preserve">		public virtual DateTime? PlandedvanningDate { get; set; }
</v>
      </c>
      <c r="K15" s="6"/>
      <c r="L15" t="str">
        <f t="shared" si="31"/>
        <v/>
      </c>
      <c r="M15" t="str">
        <f t="shared" si="32"/>
        <v xml:space="preserve">		public virtual DateTime? PlandedvanningDate { get; set; }
</v>
      </c>
      <c r="N15" t="str">
        <f t="shared" si="33"/>
        <v xml:space="preserve">		public virtual DateTime? PlandedvanningDate { get; set; }
</v>
      </c>
      <c r="O15" t="str">
        <f t="shared" si="34"/>
        <v/>
      </c>
      <c r="P15" t="str">
        <f t="shared" si="35"/>
        <v xml:space="preserve">							PlandedvanningDate = o.PlandedvanningDate,</v>
      </c>
      <c r="T15" s="63" t="str">
        <f t="shared" si="36"/>
        <v xml:space="preserve">								("PlandedvanningDate"),</v>
      </c>
      <c r="V15" s="64" t="str">
        <f t="shared" si="37"/>
        <v xml:space="preserve">								_ =&gt; _.PlandedvanningDate,</v>
      </c>
      <c r="W15" s="63" t="str">
        <f t="shared" si="38"/>
        <v/>
      </c>
    </row>
    <row r="16" spans="1:23" customFormat="1" ht="18.75" customHeight="1" x14ac:dyDescent="0.25">
      <c r="A16" t="s">
        <v>378</v>
      </c>
      <c r="B16" t="s">
        <v>366</v>
      </c>
      <c r="C16" t="s">
        <v>1</v>
      </c>
      <c r="D16" t="str">
        <f t="shared" ref="D16:D23" si="39">SUBSTITUTE(PROPER(A16),"_","")</f>
        <v>ActualvanningDate</v>
      </c>
      <c r="E16" t="str">
        <f t="shared" ref="E16:E23" si="40">IFERROR(LEFT(B16, FIND("(",B16)-1),B16)</f>
        <v>DATE</v>
      </c>
      <c r="F16" s="6"/>
      <c r="G16" t="str">
        <f t="shared" ref="G16:G23" si="41">IFERROR(MID(B16,FIND("(",B16) +1, FIND(")",B16) - FIND("(",B16) - 1),"")</f>
        <v/>
      </c>
      <c r="H16" t="str">
        <f>+VLOOKUP(E16,'Data Type Mapping'!A:B,2,)</f>
        <v>DateTime?</v>
      </c>
      <c r="I16" t="str">
        <f t="shared" ref="I16:I23" si="42">IF(H16="string",REPT(CHAR(9),2)&amp;"public const int Max"&amp;D16&amp;"Length = "&amp;G16&amp;";"&amp;$E$3,"" )</f>
        <v/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DateTime? ActualvanningDate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DateTime? ActualvanningDate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DateTime? ActualvanningDate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3" si="48">REPT(CHAR(9),7)&amp;D16&amp;" = o." &amp;D16 &amp;","</f>
        <v xml:space="preserve">							ActualvanningDate = o.ActualvanningDate,</v>
      </c>
      <c r="T16" s="63" t="str">
        <f t="shared" ref="T16:T23" si="49">REPT(CHAR(9),8)&amp;"("""&amp;D16&amp;"""),"</f>
        <v xml:space="preserve">								("ActualvanningDate"),</v>
      </c>
      <c r="V16" s="64" t="str">
        <f t="shared" ref="V16:V23" si="50">REPT(CHAR(9),8)&amp;"_ =&gt; _."&amp;D16&amp;","</f>
        <v xml:space="preserve">								_ =&gt; _.ActualvanningDate,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364</v>
      </c>
      <c r="B17" t="s">
        <v>360</v>
      </c>
      <c r="C17" t="s">
        <v>1</v>
      </c>
      <c r="D17" t="str">
        <f t="shared" si="39"/>
        <v>Thc</v>
      </c>
      <c r="E17" t="str">
        <f t="shared" si="40"/>
        <v>DECIMAL</v>
      </c>
      <c r="F17" s="6"/>
      <c r="G17" t="str">
        <f t="shared" si="41"/>
        <v>14,5</v>
      </c>
      <c r="H17" t="str">
        <f>+VLOOKUP(E17,'Data Type Mapping'!A:B,2,)</f>
        <v>decimal?</v>
      </c>
      <c r="I17" t="str">
        <f t="shared" si="42"/>
        <v/>
      </c>
      <c r="J17" t="str">
        <f t="shared" si="43"/>
        <v xml:space="preserve">		public virtual decimal? Thc { get; set; }
</v>
      </c>
      <c r="K17" s="6"/>
      <c r="L17" t="str">
        <f t="shared" si="44"/>
        <v/>
      </c>
      <c r="M17" t="str">
        <f t="shared" si="45"/>
        <v xml:space="preserve">		public virtual decimal? Thc { get; set; }
</v>
      </c>
      <c r="N17" t="str">
        <f t="shared" si="46"/>
        <v xml:space="preserve">		public virtual decimal? Thc { get; set; }
</v>
      </c>
      <c r="O17" t="str">
        <f t="shared" si="47"/>
        <v/>
      </c>
      <c r="P17" t="str">
        <f t="shared" si="48"/>
        <v xml:space="preserve">							Thc = o.Thc,</v>
      </c>
      <c r="T17" s="63" t="str">
        <f t="shared" si="49"/>
        <v xml:space="preserve">								("Thc"),</v>
      </c>
      <c r="V17" s="64" t="str">
        <f t="shared" si="50"/>
        <v xml:space="preserve">								_ =&gt; _.Thc,</v>
      </c>
      <c r="W17" s="63" t="str">
        <f t="shared" si="51"/>
        <v/>
      </c>
    </row>
    <row r="18" spans="1:23" customFormat="1" ht="18.75" customHeight="1" x14ac:dyDescent="0.25">
      <c r="A18" t="s">
        <v>365</v>
      </c>
      <c r="B18" t="s">
        <v>360</v>
      </c>
      <c r="C18" t="s">
        <v>1</v>
      </c>
      <c r="D18" t="str">
        <f t="shared" si="39"/>
        <v>Inland</v>
      </c>
      <c r="E18" t="str">
        <f t="shared" si="40"/>
        <v>DECIMAL</v>
      </c>
      <c r="F18" s="6"/>
      <c r="G18" t="str">
        <f t="shared" si="41"/>
        <v>14,5</v>
      </c>
      <c r="H18" t="str">
        <f>+VLOOKUP(E18,'Data Type Mapping'!A:B,2,)</f>
        <v>decimal?</v>
      </c>
      <c r="I18" t="str">
        <f t="shared" si="42"/>
        <v/>
      </c>
      <c r="J18" t="str">
        <f t="shared" si="43"/>
        <v xml:space="preserve">		public virtual decimal? Inland { get; set; }
</v>
      </c>
      <c r="K18" s="6"/>
      <c r="L18" t="str">
        <f t="shared" si="44"/>
        <v/>
      </c>
      <c r="M18" t="str">
        <f t="shared" si="45"/>
        <v xml:space="preserve">		public virtual decimal? Inland { get; set; }
</v>
      </c>
      <c r="N18" t="str">
        <f t="shared" si="46"/>
        <v xml:space="preserve">		public virtual decimal? Inland { get; set; }
</v>
      </c>
      <c r="O18" t="str">
        <f t="shared" si="47"/>
        <v/>
      </c>
      <c r="P18" t="str">
        <f t="shared" si="48"/>
        <v xml:space="preserve">							Inland = o.Inland,</v>
      </c>
      <c r="T18" s="63" t="str">
        <f t="shared" si="49"/>
        <v xml:space="preserve">								("Inland"),</v>
      </c>
      <c r="V18" s="64" t="str">
        <f t="shared" si="50"/>
        <v xml:space="preserve">								_ =&gt; _.Inland,</v>
      </c>
      <c r="W18" s="63" t="str">
        <f t="shared" si="51"/>
        <v/>
      </c>
    </row>
    <row r="19" spans="1:23" customFormat="1" ht="18.75" customHeight="1" x14ac:dyDescent="0.25">
      <c r="A19" t="s">
        <v>379</v>
      </c>
      <c r="B19" t="s">
        <v>366</v>
      </c>
      <c r="C19" t="s">
        <v>1</v>
      </c>
      <c r="D19" t="str">
        <f t="shared" si="39"/>
        <v>CdDate</v>
      </c>
      <c r="E19" t="str">
        <f t="shared" si="40"/>
        <v>DATE</v>
      </c>
      <c r="F19" s="6"/>
      <c r="G19" t="str">
        <f t="shared" si="41"/>
        <v/>
      </c>
      <c r="H19" t="str">
        <f>+VLOOKUP(E19,'Data Type Mapping'!A:B,2,)</f>
        <v>DateTime?</v>
      </c>
      <c r="I19" t="str">
        <f t="shared" si="42"/>
        <v/>
      </c>
      <c r="J19" t="str">
        <f t="shared" si="43"/>
        <v xml:space="preserve">		public virtual DateTime? CdDate { get; set; }
</v>
      </c>
      <c r="K19" s="6"/>
      <c r="L19" t="str">
        <f t="shared" si="44"/>
        <v/>
      </c>
      <c r="M19" t="str">
        <f t="shared" si="45"/>
        <v xml:space="preserve">		public virtual DateTime? CdDate { get; set; }
</v>
      </c>
      <c r="N19" t="str">
        <f t="shared" si="46"/>
        <v xml:space="preserve">		public virtual DateTime? CdDate { get; set; }
</v>
      </c>
      <c r="O19" t="str">
        <f t="shared" si="47"/>
        <v/>
      </c>
      <c r="P19" t="str">
        <f t="shared" si="48"/>
        <v xml:space="preserve">							CdDate = o.CdDate,</v>
      </c>
      <c r="T19" s="63" t="str">
        <f t="shared" si="49"/>
        <v xml:space="preserve">								("CdDate"),</v>
      </c>
      <c r="V19" s="64" t="str">
        <f t="shared" si="50"/>
        <v xml:space="preserve">								_ =&gt; _.CdDate,</v>
      </c>
      <c r="W19" s="63" t="str">
        <f t="shared" si="51"/>
        <v/>
      </c>
    </row>
    <row r="20" spans="1:23" customFormat="1" ht="18.75" customHeight="1" x14ac:dyDescent="0.25">
      <c r="A20" t="s">
        <v>350</v>
      </c>
      <c r="B20" t="s">
        <v>359</v>
      </c>
      <c r="C20" t="s">
        <v>1</v>
      </c>
      <c r="D20" t="str">
        <f t="shared" si="39"/>
        <v>Status</v>
      </c>
      <c r="E20" t="str">
        <f t="shared" si="40"/>
        <v>VARCHAR</v>
      </c>
      <c r="F20" s="6"/>
      <c r="G20" t="str">
        <f t="shared" si="41"/>
        <v>10</v>
      </c>
      <c r="H20" t="str">
        <f>+VLOOKUP(E20,'Data Type Mapping'!A:B,2,)</f>
        <v>string</v>
      </c>
      <c r="I20" t="str">
        <f t="shared" si="42"/>
        <v xml:space="preserve">		public const int MaxStatusLength = 10;
</v>
      </c>
      <c r="J20" t="str">
        <f t="shared" si="43"/>
        <v xml:space="preserve">		[StringLength(MaxStatusLength)]
		public virtual string Status { get; set; }
</v>
      </c>
      <c r="K20" s="6"/>
      <c r="L20" t="str">
        <f t="shared" si="44"/>
        <v/>
      </c>
      <c r="M20" t="str">
        <f t="shared" si="45"/>
        <v xml:space="preserve">		public virtual string Status { get; set; }
</v>
      </c>
      <c r="N20" t="str">
        <f t="shared" si="46"/>
        <v xml:space="preserve">		[StringLength(InvCkdContainerInvoiceConsts.MaxStatusLength)]
		public virtual string Status { get; set; }
</v>
      </c>
      <c r="O20" t="str">
        <f t="shared" si="47"/>
        <v xml:space="preserve">		public virtual string Status { get; set; }
</v>
      </c>
      <c r="P20" t="str">
        <f t="shared" si="48"/>
        <v xml:space="preserve">							Status = o.Status,</v>
      </c>
      <c r="T20" s="63" t="str">
        <f t="shared" si="49"/>
        <v xml:space="preserve">								("Status"),</v>
      </c>
      <c r="V20" s="64" t="str">
        <f t="shared" si="50"/>
        <v xml:space="preserve">								_ =&gt; _.Status,</v>
      </c>
      <c r="W20" s="63" t="str">
        <f t="shared" si="51"/>
        <v xml:space="preserve">				.WhereIf(!string.IsNullOrWhiteSpace(input.Status), e =&gt; e.Status.Contains(input.Status))</v>
      </c>
    </row>
    <row r="21" spans="1:23" customFormat="1" ht="18.75" customHeight="1" x14ac:dyDescent="0.25">
      <c r="A21" t="s">
        <v>367</v>
      </c>
      <c r="B21" t="s">
        <v>360</v>
      </c>
      <c r="C21" t="s">
        <v>1</v>
      </c>
      <c r="D21" t="str">
        <f t="shared" si="39"/>
        <v>ThcVn</v>
      </c>
      <c r="E21" t="str">
        <f t="shared" si="40"/>
        <v>DECIMAL</v>
      </c>
      <c r="F21" s="6"/>
      <c r="G21" t="str">
        <f t="shared" si="41"/>
        <v>14,5</v>
      </c>
      <c r="H21" t="str">
        <f>+VLOOKUP(E21,'Data Type Mapping'!A:B,2,)</f>
        <v>decimal?</v>
      </c>
      <c r="I21" t="str">
        <f t="shared" si="42"/>
        <v/>
      </c>
      <c r="J21" t="str">
        <f t="shared" si="43"/>
        <v xml:space="preserve">		public virtual decimal? ThcVn { get; set; }
</v>
      </c>
      <c r="K21" s="6"/>
      <c r="L21" t="str">
        <f t="shared" si="44"/>
        <v/>
      </c>
      <c r="M21" t="str">
        <f t="shared" si="45"/>
        <v xml:space="preserve">		public virtual decimal? ThcVn { get; set; }
</v>
      </c>
      <c r="N21" t="str">
        <f t="shared" si="46"/>
        <v xml:space="preserve">		public virtual decimal? ThcVn { get; set; }
</v>
      </c>
      <c r="O21" t="str">
        <f t="shared" si="47"/>
        <v/>
      </c>
      <c r="P21" t="str">
        <f t="shared" si="48"/>
        <v xml:space="preserve">							ThcVn = o.ThcVn,</v>
      </c>
      <c r="T21" s="63" t="str">
        <f t="shared" si="49"/>
        <v xml:space="preserve">								("ThcVn"),</v>
      </c>
      <c r="V21" s="64" t="str">
        <f t="shared" si="50"/>
        <v xml:space="preserve">								_ =&gt; _.ThcVn,</v>
      </c>
      <c r="W21" s="63" t="str">
        <f t="shared" si="51"/>
        <v/>
      </c>
    </row>
    <row r="22" spans="1:23" customFormat="1" ht="18.75" customHeight="1" x14ac:dyDescent="0.25">
      <c r="A22" t="s">
        <v>368</v>
      </c>
      <c r="B22" t="s">
        <v>360</v>
      </c>
      <c r="C22" t="s">
        <v>1</v>
      </c>
      <c r="D22" t="str">
        <f t="shared" si="39"/>
        <v>InlandVn</v>
      </c>
      <c r="E22" t="str">
        <f t="shared" si="40"/>
        <v>DECIMAL</v>
      </c>
      <c r="F22" s="6"/>
      <c r="G22" t="str">
        <f t="shared" si="41"/>
        <v>14,5</v>
      </c>
      <c r="H22" t="str">
        <f>+VLOOKUP(E22,'Data Type Mapping'!A:B,2,)</f>
        <v>decimal?</v>
      </c>
      <c r="I22" t="str">
        <f t="shared" si="42"/>
        <v/>
      </c>
      <c r="J22" t="str">
        <f t="shared" si="43"/>
        <v xml:space="preserve">		public virtual decimal? InlandVn { get; set; }
</v>
      </c>
      <c r="K22" s="6"/>
      <c r="L22" t="str">
        <f t="shared" si="44"/>
        <v/>
      </c>
      <c r="M22" t="str">
        <f t="shared" si="45"/>
        <v xml:space="preserve">		public virtual decimal? InlandVn { get; set; }
</v>
      </c>
      <c r="N22" t="str">
        <f t="shared" si="46"/>
        <v xml:space="preserve">		public virtual decimal? InlandVn { get; set; }
</v>
      </c>
      <c r="O22" t="str">
        <f t="shared" si="47"/>
        <v/>
      </c>
      <c r="P22" t="str">
        <f t="shared" si="48"/>
        <v xml:space="preserve">							InlandVn = o.InlandVn,</v>
      </c>
      <c r="T22" s="63" t="str">
        <f t="shared" si="49"/>
        <v xml:space="preserve">								("InlandVn"),</v>
      </c>
      <c r="V22" s="64" t="str">
        <f t="shared" si="50"/>
        <v xml:space="preserve">								_ =&gt; _.InlandVn,</v>
      </c>
      <c r="W22" s="63" t="str">
        <f t="shared" si="51"/>
        <v/>
      </c>
    </row>
    <row r="23" spans="1:23" customFormat="1" ht="18.75" customHeight="1" x14ac:dyDescent="0.25">
      <c r="A23" t="s">
        <v>369</v>
      </c>
      <c r="B23" t="s">
        <v>366</v>
      </c>
      <c r="C23" t="s">
        <v>1</v>
      </c>
      <c r="D23" t="str">
        <f t="shared" si="39"/>
        <v>PeriodDate</v>
      </c>
      <c r="E23" t="str">
        <f t="shared" si="40"/>
        <v>DATE</v>
      </c>
      <c r="F23" s="6"/>
      <c r="G23" t="str">
        <f t="shared" si="41"/>
        <v/>
      </c>
      <c r="H23" t="str">
        <f>+VLOOKUP(E23,'Data Type Mapping'!A:B,2,)</f>
        <v>DateTime?</v>
      </c>
      <c r="I23" t="str">
        <f t="shared" si="42"/>
        <v/>
      </c>
      <c r="J23" t="str">
        <f t="shared" si="43"/>
        <v xml:space="preserve">		public virtual DateTime? PeriodDate { get; set; }
</v>
      </c>
      <c r="K23" s="6"/>
      <c r="L23" t="str">
        <f t="shared" si="44"/>
        <v/>
      </c>
      <c r="M23" t="str">
        <f t="shared" si="45"/>
        <v xml:space="preserve">		public virtual DateTime? PeriodDate { get; set; }
</v>
      </c>
      <c r="N23" t="str">
        <f t="shared" si="46"/>
        <v xml:space="preserve">		public virtual DateTime? PeriodDate { get; set; }
</v>
      </c>
      <c r="O23" t="str">
        <f t="shared" si="47"/>
        <v/>
      </c>
      <c r="P23" t="str">
        <f t="shared" si="48"/>
        <v xml:space="preserve">							PeriodDate = o.PeriodDate,</v>
      </c>
      <c r="T23" s="63" t="str">
        <f t="shared" si="49"/>
        <v xml:space="preserve">								("PeriodDate"),</v>
      </c>
      <c r="V23" s="64" t="str">
        <f t="shared" si="50"/>
        <v xml:space="preserve">								_ =&gt; _.PeriodDate,</v>
      </c>
      <c r="W23" s="63" t="str">
        <f t="shared" si="51"/>
        <v/>
      </c>
    </row>
    <row r="24" spans="1:23" customFormat="1" ht="18.75" customHeight="1" x14ac:dyDescent="0.25">
      <c r="A24" t="s">
        <v>352</v>
      </c>
      <c r="B24" t="s">
        <v>0</v>
      </c>
      <c r="C24" t="s">
        <v>1</v>
      </c>
      <c r="D24" t="str">
        <f t="shared" ref="D24:D31" si="52">SUBSTITUTE(PROPER(A24),"_","")</f>
        <v>PeriodId</v>
      </c>
      <c r="E24" t="str">
        <f t="shared" ref="E24:E31" si="53">IFERROR(LEFT(B24, FIND("(",B24)-1),B24)</f>
        <v>bigint</v>
      </c>
      <c r="F24" s="6"/>
      <c r="G24" t="str">
        <f t="shared" ref="G24:G31" si="54">IFERROR(MID(B24,FIND("(",B24) +1, FIND(")",B24) - FIND("(",B24) - 1),"")</f>
        <v/>
      </c>
      <c r="H24" t="str">
        <f>+VLOOKUP(E24,'Data Type Mapping'!A:B,2,)</f>
        <v>long?</v>
      </c>
      <c r="I24" t="str">
        <f t="shared" ref="I24:I31" si="55">IF(H24="string",REPT(CHAR(9),2)&amp;"public const int Max"&amp;D24&amp;"Length = "&amp;G24&amp;";"&amp;$E$3,"" )</f>
        <v/>
      </c>
      <c r="J24" t="str">
        <f t="shared" ref="J24:J31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long? PeriodId { get; set; }
</v>
      </c>
      <c r="K24" s="6"/>
      <c r="L24" t="str">
        <f t="shared" ref="L24:L31" si="57">IF(K24="","",REPT(CHAR(9),1)&amp;"[Index(nameof("&amp;IF(D24="","",""&amp;D24)&amp;")"&amp;", Name="&amp;"""IX_"&amp;$B$7&amp;"_"&amp;D24&amp;""")]")</f>
        <v/>
      </c>
      <c r="M24" t="str">
        <f t="shared" ref="M24:M31" si="58">REPT(CHAR(9),2)&amp;"public virtual "&amp;IF(OR(H24="DateTime",H24="TimeSpan"),H24&amp;"?",H24)&amp;IF(C24="?","? "," ")&amp;D24&amp;" { get; set; }" &amp; "
"</f>
        <v xml:space="preserve">		public virtual long? PeriodId { get; set; }
</v>
      </c>
      <c r="N24" t="str">
        <f t="shared" ref="N24:N31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long? PeriodId { get; set; }
</v>
      </c>
      <c r="O24" t="str">
        <f t="shared" ref="O24:O31" si="60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31" si="61">REPT(CHAR(9),7)&amp;D24&amp;" = o." &amp;D24 &amp;","</f>
        <v xml:space="preserve">							PeriodId = o.PeriodId,</v>
      </c>
      <c r="T24" s="63" t="str">
        <f t="shared" ref="T24:T31" si="62">REPT(CHAR(9),8)&amp;"("""&amp;D24&amp;"""),"</f>
        <v xml:space="preserve">								("PeriodId"),</v>
      </c>
      <c r="V24" s="64" t="str">
        <f t="shared" ref="V24:V31" si="63">REPT(CHAR(9),8)&amp;"_ =&gt; _."&amp;D24&amp;","</f>
        <v xml:space="preserve">								_ =&gt; _.PeriodId,</v>
      </c>
      <c r="W24" s="63" t="str">
        <f t="shared" ref="W24:W31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25">
      <c r="A25" t="s">
        <v>380</v>
      </c>
      <c r="B25" t="s">
        <v>371</v>
      </c>
      <c r="C25" t="s">
        <v>1</v>
      </c>
      <c r="D25" t="str">
        <f t="shared" si="52"/>
        <v>DateStatus</v>
      </c>
      <c r="E25" t="str">
        <f t="shared" si="53"/>
        <v>VARCHAR</v>
      </c>
      <c r="F25" s="6"/>
      <c r="G25" t="str">
        <f t="shared" si="54"/>
        <v>200</v>
      </c>
      <c r="H25" t="str">
        <f>+VLOOKUP(E25,'Data Type Mapping'!A:B,2,)</f>
        <v>string</v>
      </c>
      <c r="I25" t="str">
        <f t="shared" si="55"/>
        <v xml:space="preserve">		public const int MaxDateStatusLength = 200;
</v>
      </c>
      <c r="J25" t="str">
        <f t="shared" si="56"/>
        <v xml:space="preserve">		[StringLength(MaxDateStatusLength)]
		public virtual string DateStatus { get; set; }
</v>
      </c>
      <c r="K25" s="6"/>
      <c r="L25" t="str">
        <f t="shared" si="57"/>
        <v/>
      </c>
      <c r="M25" t="str">
        <f t="shared" si="58"/>
        <v xml:space="preserve">		public virtual string DateStatus { get; set; }
</v>
      </c>
      <c r="N25" t="str">
        <f t="shared" si="59"/>
        <v xml:space="preserve">		[StringLength(InvCkdContainerInvoiceConsts.MaxDateStatusLength)]
		public virtual string DateStatus { get; set; }
</v>
      </c>
      <c r="O25" t="str">
        <f t="shared" si="60"/>
        <v xml:space="preserve">		public virtual string DateStatus { get; set; }
</v>
      </c>
      <c r="P25" t="str">
        <f t="shared" si="61"/>
        <v xml:space="preserve">							DateStatus = o.DateStatus,</v>
      </c>
      <c r="T25" s="63" t="str">
        <f t="shared" si="62"/>
        <v xml:space="preserve">								("DateStatus"),</v>
      </c>
      <c r="V25" s="64" t="str">
        <f t="shared" si="63"/>
        <v xml:space="preserve">								_ =&gt; _.DateStatus,</v>
      </c>
      <c r="W25" s="63" t="str">
        <f t="shared" si="64"/>
        <v xml:space="preserve">				.WhereIf(!string.IsNullOrWhiteSpace(input.DateStatus), e =&gt; e.DateStatus.Contains(input.DateStatus))</v>
      </c>
    </row>
    <row r="26" spans="1:23" customFormat="1" ht="18.75" customHeight="1" x14ac:dyDescent="0.25">
      <c r="A26" t="s">
        <v>384</v>
      </c>
      <c r="B26" t="s">
        <v>360</v>
      </c>
      <c r="C26" t="s">
        <v>1</v>
      </c>
      <c r="D26" t="str">
        <f t="shared" si="52"/>
        <v>Fob</v>
      </c>
      <c r="E26" t="str">
        <f t="shared" si="53"/>
        <v>DECIMAL</v>
      </c>
      <c r="F26" s="6"/>
      <c r="G26" t="str">
        <f t="shared" si="54"/>
        <v>14,5</v>
      </c>
      <c r="H26" t="str">
        <f>+VLOOKUP(E26,'Data Type Mapping'!A:B,2,)</f>
        <v>decimal?</v>
      </c>
      <c r="I26" t="str">
        <f t="shared" si="55"/>
        <v/>
      </c>
      <c r="J26" t="str">
        <f t="shared" si="56"/>
        <v xml:space="preserve">		public virtual decimal? Fob { get; set; }
</v>
      </c>
      <c r="K26" s="6"/>
      <c r="L26" t="str">
        <f t="shared" si="57"/>
        <v/>
      </c>
      <c r="M26" t="str">
        <f t="shared" si="58"/>
        <v xml:space="preserve">		public virtual decimal? Fob { get; set; }
</v>
      </c>
      <c r="N26" t="str">
        <f t="shared" si="59"/>
        <v xml:space="preserve">		public virtual decimal? Fob { get; set; }
</v>
      </c>
      <c r="O26" t="str">
        <f t="shared" si="60"/>
        <v/>
      </c>
      <c r="P26" t="str">
        <f t="shared" si="61"/>
        <v xml:space="preserve">							Fob = o.Fob,</v>
      </c>
      <c r="T26" s="63" t="str">
        <f t="shared" si="62"/>
        <v xml:space="preserve">								("Fob"),</v>
      </c>
      <c r="V26" s="64" t="str">
        <f t="shared" si="63"/>
        <v xml:space="preserve">								_ =&gt; _.Fob,</v>
      </c>
      <c r="W26" s="63" t="str">
        <f t="shared" si="64"/>
        <v/>
      </c>
    </row>
    <row r="27" spans="1:23" customFormat="1" ht="18.75" customHeight="1" x14ac:dyDescent="0.25">
      <c r="A27" t="s">
        <v>385</v>
      </c>
      <c r="B27" t="s">
        <v>360</v>
      </c>
      <c r="C27" t="s">
        <v>1</v>
      </c>
      <c r="D27" t="str">
        <f t="shared" si="52"/>
        <v>Freight</v>
      </c>
      <c r="E27" t="str">
        <f t="shared" si="53"/>
        <v>DECIMAL</v>
      </c>
      <c r="F27" s="6"/>
      <c r="G27" t="str">
        <f t="shared" si="54"/>
        <v>14,5</v>
      </c>
      <c r="H27" t="str">
        <f>+VLOOKUP(E27,'Data Type Mapping'!A:B,2,)</f>
        <v>decimal?</v>
      </c>
      <c r="I27" t="str">
        <f t="shared" si="55"/>
        <v/>
      </c>
      <c r="J27" t="str">
        <f t="shared" si="56"/>
        <v xml:space="preserve">		public virtual decimal? Freight { get; set; }
</v>
      </c>
      <c r="K27" s="6"/>
      <c r="L27" t="str">
        <f t="shared" si="57"/>
        <v/>
      </c>
      <c r="M27" t="str">
        <f t="shared" si="58"/>
        <v xml:space="preserve">		public virtual decimal? Freight { get; set; }
</v>
      </c>
      <c r="N27" t="str">
        <f t="shared" si="59"/>
        <v xml:space="preserve">		public virtual decimal? Freight { get; set; }
</v>
      </c>
      <c r="O27" t="str">
        <f t="shared" si="60"/>
        <v/>
      </c>
      <c r="P27" t="str">
        <f t="shared" si="61"/>
        <v xml:space="preserve">							Freight = o.Freight,</v>
      </c>
      <c r="T27" s="63" t="str">
        <f t="shared" si="62"/>
        <v xml:space="preserve">								("Freight"),</v>
      </c>
      <c r="V27" s="64" t="str">
        <f t="shared" si="63"/>
        <v xml:space="preserve">								_ =&gt; _.Freight,</v>
      </c>
      <c r="W27" s="63" t="str">
        <f t="shared" si="64"/>
        <v/>
      </c>
    </row>
    <row r="28" spans="1:23" customFormat="1" ht="18.75" customHeight="1" x14ac:dyDescent="0.25">
      <c r="A28" t="s">
        <v>386</v>
      </c>
      <c r="B28" t="s">
        <v>360</v>
      </c>
      <c r="C28" t="s">
        <v>1</v>
      </c>
      <c r="D28" t="str">
        <f t="shared" si="52"/>
        <v>Insurance</v>
      </c>
      <c r="E28" t="str">
        <f t="shared" si="53"/>
        <v>DECIMAL</v>
      </c>
      <c r="F28" s="6"/>
      <c r="G28" t="str">
        <f t="shared" si="54"/>
        <v>14,5</v>
      </c>
      <c r="H28" t="str">
        <f>+VLOOKUP(E28,'Data Type Mapping'!A:B,2,)</f>
        <v>decimal?</v>
      </c>
      <c r="I28" t="str">
        <f t="shared" si="55"/>
        <v/>
      </c>
      <c r="J28" t="str">
        <f t="shared" si="56"/>
        <v xml:space="preserve">		public virtual decimal? Insurance { get; set; }
</v>
      </c>
      <c r="K28" s="6"/>
      <c r="L28" t="str">
        <f t="shared" si="57"/>
        <v/>
      </c>
      <c r="M28" t="str">
        <f t="shared" si="58"/>
        <v xml:space="preserve">		public virtual decimal? Insurance { get; set; }
</v>
      </c>
      <c r="N28" t="str">
        <f t="shared" si="59"/>
        <v xml:space="preserve">		public virtual decimal? Insurance { get; set; }
</v>
      </c>
      <c r="O28" t="str">
        <f t="shared" si="60"/>
        <v/>
      </c>
      <c r="P28" t="str">
        <f t="shared" si="61"/>
        <v xml:space="preserve">							Insurance = o.Insurance,</v>
      </c>
      <c r="T28" s="63" t="str">
        <f t="shared" si="62"/>
        <v xml:space="preserve">								("Insurance"),</v>
      </c>
      <c r="V28" s="64" t="str">
        <f t="shared" si="63"/>
        <v xml:space="preserve">								_ =&gt; _.Insurance,</v>
      </c>
      <c r="W28" s="63" t="str">
        <f t="shared" si="64"/>
        <v/>
      </c>
    </row>
    <row r="29" spans="1:23" customFormat="1" ht="18.75" customHeight="1" x14ac:dyDescent="0.25">
      <c r="A29" t="s">
        <v>387</v>
      </c>
      <c r="B29" t="s">
        <v>360</v>
      </c>
      <c r="C29" t="s">
        <v>1</v>
      </c>
      <c r="D29" t="str">
        <f t="shared" ref="D29:D30" si="65">SUBSTITUTE(PROPER(A29),"_","")</f>
        <v>Amount</v>
      </c>
      <c r="E29" t="str">
        <f t="shared" ref="E29:E30" si="66">IFERROR(LEFT(B29, FIND("(",B29)-1),B29)</f>
        <v>DECIMAL</v>
      </c>
      <c r="F29" s="6"/>
      <c r="G29" t="str">
        <f t="shared" ref="G29:G30" si="67">IFERROR(MID(B29,FIND("(",B29) +1, FIND(")",B29) - FIND("(",B29) - 1),"")</f>
        <v>14,5</v>
      </c>
      <c r="H29" t="str">
        <f>+VLOOKUP(E29,'Data Type Mapping'!A:B,2,)</f>
        <v>decimal?</v>
      </c>
      <c r="I29" t="str">
        <f t="shared" ref="I29:I30" si="68">IF(H29="string",REPT(CHAR(9),2)&amp;"public const int Max"&amp;D29&amp;"Length = "&amp;G29&amp;";"&amp;$E$3,"" )</f>
        <v/>
      </c>
      <c r="J29" t="str">
        <f t="shared" ref="J29:J30" si="69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public virtual decimal? Amount { get; set; }
</v>
      </c>
      <c r="K29" s="6"/>
      <c r="L29" t="str">
        <f t="shared" ref="L29:L30" si="70">IF(K29="","",REPT(CHAR(9),1)&amp;"[Index(nameof("&amp;IF(D29="","",""&amp;D29)&amp;")"&amp;", Name="&amp;"""IX_"&amp;$B$7&amp;"_"&amp;D29&amp;""")]")</f>
        <v/>
      </c>
      <c r="M29" t="str">
        <f t="shared" ref="M29:M30" si="71">REPT(CHAR(9),2)&amp;"public virtual "&amp;IF(OR(H29="DateTime",H29="TimeSpan"),H29&amp;"?",H29)&amp;IF(C29="?","? "," ")&amp;D29&amp;" { get; set; }" &amp; "
"</f>
        <v xml:space="preserve">		public virtual decimal? Amount { get; set; }
</v>
      </c>
      <c r="N29" t="str">
        <f t="shared" ref="N29:N30" si="72"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public virtual decimal? Amount { get; set; }
</v>
      </c>
      <c r="O29" t="str">
        <f t="shared" ref="O29:O30" si="73">IF(OR(H29="string",H29="DateTime",H29="int"),REPT(CHAR(9),2)&amp;"public virtual "&amp;IF(OR(H29="DateTime",H29="TimeSpan"),H29&amp;"?",H29)&amp;IF(C29="?","? "," ")&amp;D29&amp;" { get; set; }"&amp;$E$3,"")</f>
        <v/>
      </c>
      <c r="P29" t="str">
        <f t="shared" ref="P29:P30" si="74">REPT(CHAR(9),7)&amp;D29&amp;" = o." &amp;D29 &amp;","</f>
        <v xml:space="preserve">							Amount = o.Amount,</v>
      </c>
      <c r="T29" s="63" t="str">
        <f t="shared" ref="T29:T30" si="75">REPT(CHAR(9),8)&amp;"("""&amp;D29&amp;"""),"</f>
        <v xml:space="preserve">								("Amount"),</v>
      </c>
      <c r="V29" s="64" t="str">
        <f t="shared" ref="V29:V30" si="76">REPT(CHAR(9),8)&amp;"_ =&gt; _."&amp;D29&amp;","</f>
        <v xml:space="preserve">								_ =&gt; _.Amount,</v>
      </c>
      <c r="W29" s="63" t="str">
        <f t="shared" ref="W29:W30" si="77"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/>
      </c>
    </row>
    <row r="30" spans="1:23" customFormat="1" ht="18.75" customHeight="1" x14ac:dyDescent="0.25">
      <c r="A30" t="s">
        <v>388</v>
      </c>
      <c r="B30" t="s">
        <v>360</v>
      </c>
      <c r="C30" t="s">
        <v>1</v>
      </c>
      <c r="D30" t="str">
        <f t="shared" si="65"/>
        <v>InvoiceNo</v>
      </c>
      <c r="E30" t="str">
        <f t="shared" si="66"/>
        <v>DECIMAL</v>
      </c>
      <c r="F30" s="6"/>
      <c r="G30" t="str">
        <f t="shared" si="67"/>
        <v>14,5</v>
      </c>
      <c r="H30" t="str">
        <f>+VLOOKUP(E30,'Data Type Mapping'!A:B,2,)</f>
        <v>decimal?</v>
      </c>
      <c r="I30" t="str">
        <f t="shared" si="68"/>
        <v/>
      </c>
      <c r="J30" t="str">
        <f t="shared" si="69"/>
        <v xml:space="preserve">		public virtual decimal? InvoiceNo { get; set; }
</v>
      </c>
      <c r="K30" s="6"/>
      <c r="L30" t="str">
        <f t="shared" si="70"/>
        <v/>
      </c>
      <c r="M30" t="str">
        <f t="shared" si="71"/>
        <v xml:space="preserve">		public virtual decimal? InvoiceNo { get; set; }
</v>
      </c>
      <c r="N30" t="str">
        <f t="shared" si="72"/>
        <v xml:space="preserve">		public virtual decimal? InvoiceNo { get; set; }
</v>
      </c>
      <c r="O30" t="str">
        <f t="shared" si="73"/>
        <v/>
      </c>
      <c r="P30" t="str">
        <f t="shared" si="74"/>
        <v xml:space="preserve">							InvoiceNo = o.InvoiceNo,</v>
      </c>
      <c r="T30" s="63" t="str">
        <f t="shared" si="75"/>
        <v xml:space="preserve">								("InvoiceNo"),</v>
      </c>
      <c r="V30" s="64" t="str">
        <f t="shared" si="76"/>
        <v xml:space="preserve">								_ =&gt; _.InvoiceNo,</v>
      </c>
      <c r="W30" s="63" t="str">
        <f t="shared" si="77"/>
        <v/>
      </c>
    </row>
    <row r="31" spans="1:23" customFormat="1" ht="18.75" customHeight="1" x14ac:dyDescent="0.25">
      <c r="A31" t="s">
        <v>319</v>
      </c>
      <c r="B31" t="s">
        <v>372</v>
      </c>
      <c r="C31" t="s">
        <v>1</v>
      </c>
      <c r="D31" t="str">
        <f t="shared" si="52"/>
        <v>IsActive</v>
      </c>
      <c r="E31" t="str">
        <f t="shared" si="53"/>
        <v>VARCHAR</v>
      </c>
      <c r="F31" s="6"/>
      <c r="G31" t="str">
        <f t="shared" si="54"/>
        <v>1</v>
      </c>
      <c r="H31" t="str">
        <f>+VLOOKUP(E31,'Data Type Mapping'!A:B,2,)</f>
        <v>string</v>
      </c>
      <c r="I31" t="str">
        <f t="shared" si="55"/>
        <v xml:space="preserve">		public const int MaxIsActiveLength = 1;
</v>
      </c>
      <c r="J31" t="str">
        <f t="shared" si="56"/>
        <v xml:space="preserve">		[StringLength(MaxIsActiveLength)]
		public virtual string IsActive { get; set; }
</v>
      </c>
      <c r="K31" s="6"/>
      <c r="L31" t="str">
        <f t="shared" si="57"/>
        <v/>
      </c>
      <c r="M31" t="str">
        <f t="shared" si="58"/>
        <v xml:space="preserve">		public virtual string IsActive { get; set; }
</v>
      </c>
      <c r="N31" t="str">
        <f t="shared" si="59"/>
        <v xml:space="preserve">		[StringLength(InvCkdContainerInvoiceConsts.MaxIsActiveLength)]
		public virtual string IsActive { get; set; }
</v>
      </c>
      <c r="O31" t="str">
        <f t="shared" si="60"/>
        <v xml:space="preserve">		public virtual string IsActive { get; set; }
</v>
      </c>
      <c r="P31" t="str">
        <f t="shared" si="61"/>
        <v xml:space="preserve">							IsActive = o.IsActive,</v>
      </c>
      <c r="T31" s="63" t="str">
        <f t="shared" si="62"/>
        <v xml:space="preserve">								("IsActive"),</v>
      </c>
      <c r="V31" s="64" t="str">
        <f t="shared" si="63"/>
        <v xml:space="preserve">								_ =&gt; _.IsActive,</v>
      </c>
      <c r="W31" s="63" t="str">
        <f t="shared" si="64"/>
        <v xml:space="preserve">				.WhereIf(!string.IsNullOrWhiteSpace(input.IsActive), e =&gt; e.IsActive.Contains(input.IsActive))</v>
      </c>
    </row>
    <row r="33" spans="8:23" ht="45.75" customHeight="1" x14ac:dyDescent="0.25">
      <c r="H33" s="11"/>
      <c r="I33" s="31" t="str">
        <f ca="1">TEXTJOIN2("
", TRUE,INDIRECT( $H$1):INDIRECT( $H$3))</f>
        <v xml:space="preserve">		public const int MaxContainerNoLength = 15;
		public const int MaxRenbanLength = 6;
		public const int MaxSupplierNoLength = 10;
		public const int MaxSealNoLength = 20;
		public const int MaxStatusLength = 10;
		public const int MaxDateStatusLength = 200;
		public const int MaxIsActiveLength = 1;
</v>
      </c>
      <c r="J33" s="30" t="str">
        <f ca="1">TEXTJOIN2("
", TRUE,INDIRECT( $F$1):INDIRECT( $F$3))</f>
        <v xml:space="preserve">		[StringLength(MaxContainerNoLength)]
		public virtual string ContainerNo { get; set; }
		[StringLength(MaxRenbanLength)]
		public virtual string Renban { get; set; }
		public virtual long? InvoiceId { get; set; }
		[StringLength(MaxSupplierNoLength)]
		public virtual string SupplierNo { get; set; }
		[StringLength(MaxSealNoLength)]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[StringLength(MaxStatusLength)]
		public virtual string Status { get; set; }
		public virtual decimal? ThcVn { get; set; }
		public virtual decimal? InlandVn { get; set; }
		public virtual DateTime? PeriodDate { get; set; }
		public virtual long? PeriodId { get; set; }
		[StringLength(MaxDateStatusLength)]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[StringLength(MaxIsActiveLength)]
		public virtual string IsActive { get; set; }
</v>
      </c>
      <c r="K33" s="32" t="str">
        <f ca="1">TEXTJOIN2("
", TRUE,INDIRECT( $J$1):INDIRECT( $J$3))</f>
        <v/>
      </c>
      <c r="L33" s="12" t="s">
        <v>57</v>
      </c>
      <c r="M33" s="33" t="str">
        <f ca="1">TEXTJOIN2("
",TRUE,INDIRECT( $L$1):INDIRECT($L$3))</f>
        <v xml:space="preserve">		public virtual string ContainerNo { get; set; }
		public virtual string Renban { get; set; }
		public virtual long? InvoiceId { get; set; }
		public virtual string SupplierNo { get; set; }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public virtual string Status { get; set; }
		public virtual decimal? ThcVn { get; set; }
		public virtual decimal? InlandVn { get; set; }
		public virtual DateTime? PeriodDate { get; set; }
		public virtual long? PeriodId { get; set; }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public virtual string IsActive { get; set; }
</v>
      </c>
      <c r="N33" s="30" t="str">
        <f ca="1">TEXTJOIN2("
",TRUE,INDIRECT( $M$1):INDIRECT($M$3))</f>
        <v xml:space="preserve">		[StringLength(InvCkdContainerInvoiceConsts.MaxContainerNoLength)]
		public virtual string ContainerNo { get; set; }
		[StringLength(InvCkdContainerInvoiceConsts.MaxRenbanLength)]
		public virtual string Renban { get; set; }
		public virtual long? InvoiceId { get; set; }
		[StringLength(InvCkdContainerInvoiceConsts.MaxSupplierNoLength)]
		public virtual string SupplierNo { get; set; }
		[StringLength(InvCkdContainerInvoiceConsts.MaxSealNoLength)]
		public virtual string SealNo { get; set; }
		public virtual int? ContainerSize { get; set; }
		public virtual DateTime? PlandedvanningDate { get; set; }
		public virtual DateTime? ActualvanningDate { get; set; }
		public virtual decimal? Thc { get; set; }
		public virtual decimal? Inland { get; set; }
		public virtual DateTime? CdDate { get; set; }
		[StringLength(InvCkdContainerInvoiceConsts.MaxStatusLength)]
		public virtual string Status { get; set; }
		public virtual decimal? ThcVn { get; set; }
		public virtual decimal? InlandVn { get; set; }
		public virtual DateTime? PeriodDate { get; set; }
		public virtual long? PeriodId { get; set; }
		[StringLength(InvCkdContainerInvoiceConsts.MaxDateStatusLength)]
		public virtual string DateStatus { get; set; }
		public virtual decimal? Fob { get; set; }
		public virtual decimal? Freight { get; set; }
		public virtual decimal? Insurance { get; set; }
		public virtual decimal? Amount { get; set; }
		public virtual decimal? InvoiceNo { get; set; }
		[StringLength(InvCkdContainerInvoiceConsts.MaxIsActiveLength)]
		public virtual string IsActive { get; set; }
</v>
      </c>
      <c r="O33" s="30" t="str">
        <f ca="1">TEXTJOIN2("
",TRUE,INDIRECT( $N$1):INDIRECT($N$3))</f>
        <v xml:space="preserve">		public virtual string ContainerNo { get; set; }
		public virtual string Renban { get; set; }
		public virtual string SupplierNo { get; set; }
		public virtual string SealNo { get; set; }
		public virtual string Status { get; set; }
		public virtual string DateStatus { get; set; }
		public virtual string IsActive { get; set; }
</v>
      </c>
      <c r="P33" s="8" t="str">
        <f ca="1">TEXTJOIN2("
",TRUE,INDIRECT( $O$1):INDIRECT($O$3))</f>
        <v xml:space="preserve">							ContainerNo = o.ContainerNo,
							Renban = o.Renban,
							InvoiceId = o.InvoiceId,
							SupplierNo = o.SupplierNo,
							SealNo = o.SealNo,
							ContainerSize = o.ContainerSize,
							PlandedvanningDate = o.PlandedvanningDate,
							ActualvanningDate = o.ActualvanningDate,
							Thc = o.Thc,
							Inland = o.Inland,
							CdDate = o.CdDate,
							Status = o.Status,
							ThcVn = o.ThcVn,
							InlandVn = o.InlandVn,
							PeriodDate = o.PeriodDate,
							PeriodId = o.PeriodId,
							DateStatus = o.DateStatus,
							Fob = o.Fob,
							Freight = o.Freight,
							Insurance = o.Insurance,
							Amount = o.Amount,
							InvoiceNo = o.InvoiceNo,
							IsActive = o.IsActive,</v>
      </c>
      <c r="T33" s="8" t="str">
        <f ca="1">TEXTJOIN2("
",TRUE,INDIRECT( $T$2):INDIRECT($T$3))</f>
        <v xml:space="preserve">								("ContainerNo"),
								("Renban"),
								("InvoiceId"),
								("SupplierNo"),
								("SealNo"),
								("ContainerSize"),
								("PlandedvanningDate"),
								("ActualvanningDate"),
								("Thc"),
								("Inland"),
								("CdDate"),
								("Status"),
								("ThcVn"),
								("InlandVn"),
								("PeriodDate"),
								("PeriodId"),
								("DateStatus"),
								("Fob"),
								("Freight"),
								("Insurance"),
								("Amount"),
								("InvoiceNo"),
								("IsActive"),</v>
      </c>
      <c r="V33" s="8" t="str">
        <f ca="1">TEXTJOIN2("
",TRUE,INDIRECT( $V$2):INDIRECT($V$3))</f>
        <v xml:space="preserve">								_ =&gt; _.ContainerNo,
								_ =&gt; _.Renban,
								_ =&gt; _.InvoiceId,
								_ =&gt; _.SupplierNo,
								_ =&gt; _.SealNo,
								_ =&gt; _.ContainerSize,
								_ =&gt; _.PlandedvanningDate,
								_ =&gt; _.ActualvanningDate,
								_ =&gt; _.Thc,
								_ =&gt; _.Inland,
								_ =&gt; _.CdDate,
								_ =&gt; _.Status,
								_ =&gt; _.ThcVn,
								_ =&gt; _.InlandVn,
								_ =&gt; _.PeriodDate,
								_ =&gt; _.PeriodId,
								_ =&gt; _.DateStatus,
								_ =&gt; _.Fob,
								_ =&gt; _.Freight,
								_ =&gt; _.Insurance,
								_ =&gt; _.Amount,
								_ =&gt; _.InvoiceNo,
								_ =&gt; _.IsActive,</v>
      </c>
      <c r="W33" s="8" t="str">
        <f ca="1">TEXTJOIN2("
",TRUE,INDIRECT( $W$2):INDIRECT($W$3))</f>
        <v xml:space="preserve">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.WhereIf(!string.IsNullOrWhiteSpace(input.SealNo), e =&gt; e.SealNo.Contains(input.SealNo))
				.WhereIf(!string.IsNullOrWhiteSpace(input.Status), e =&gt; e.Status.Contains(input.Status))
				.WhereIf(!string.IsNullOrWhiteSpace(input.DateStatus), e =&gt; e.DateStatus.Contains(input.DateStatus))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9"/>
  <sheetViews>
    <sheetView tabSelected="1" topLeftCell="A13" workbookViewId="0">
      <selection activeCell="D41" sqref="D4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383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InvCkdContainerInvoice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ContainerInvoice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containerinvoice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InvCkdContainerInvoiceDto, InvCkdContainerInvoiceServiceProxy } from '@shared/service-proxies/service-proxies';
import { finalize } from 'rxjs/internal/operators/finalize';
import { CreateOrEditContainerInvoiceModalComponent } from './create-or-edit-containerinvoice-modal.component';
import { DatePipe } from '@angular/common';
import { FileDownloadService } from '@shared/utils/file-download.service';
import ceil from 'lodash-es/ceil';
import { Paginator } from 'primeng/paginator';
@Component({
    templateUrl: './containerinvoice.component.html',
    styleUrls: ['./containerinvoice.component.less'],
})
export class ContainerInvoiceComponent extends AppComponentBase implements OnInit {
    @ViewChild('createOrEditModalContainerInvoice', { static: true }) createOrEditModalContainerInvoice:| CreateOrEditContainerInvoiceModalComponent|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InvCkdContainerInvoiceDto = new InvCkdContainerInvoiceDto();
    saveSelectedRow: InvCkdContainerInvoiceDto = new InvCkdContainerInvoiceDto();
    datas: InvCkdContainerInvoiceDto = new InvCkdContainerInvoiceDto();
    isLoading: boolean = false;
    dataParams: GridParams | undefined;
    rowData: any[] = [];
    gridApi!: GridApi;
    rowSelection = 'multiple';
    filter: string = '';
	pipe = new DatePipe('en-US');
	frameworkComponents: FrameworkComponent;
    	containerNo : string = '' ; 
	renban : string = '' ; 
	invoiceId
	supplierNo : string = '' ; 
	sealNo : string = '' ; 
	containerSize
	plandedvanningDate
	actualvanningDate
	thc
	inland
	cdDate
	status : string = '' ; 
	thcVn
	inlandVn
	periodDate
	periodId
	dateStatus : string = '' ; 
	fob
	freight
	insurance
	amount
	invoiceNo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InvCkdContainerInvoiceServiceProxy,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this.l('Supplier No'),headerTooltip: this.l('Supplier No'),field: 'supplierNo',flex: 1},
			{headerName: this.l('Seal No'),headerTooltip: this.l('Seal No'),field: 'sealNo',flex: 1},
			{headerName: this.l('Container Size'),headerTooltip: this.l('Container Size'),field: 'containerSize',flex: 1},
			{headerName: this.l('Plandedvanning Date'),headerTooltip: this.l('Plandedvanning Date'),field: 'plandedvanningDate',flex: 1},
			{headerName: this.l('Actualvanning Date'),headerTooltip: this.l('Actualvanning Date'),field: 'actualvanningDate',flex: 1},
			{headerName: this.l('Thc'),headerTooltip: this.l('Thc'),field: 'thc',flex: 1},
			{headerName: this.l('Inland'),headerTooltip: this.l('Inland'),field: 'inland',flex: 1},
			{headerName: this.l('Cd Date'),headerTooltip: this.l('Cd Date'),field: 'cdDate',flex: 1},
			{headerName: this.l('Status'),headerTooltip: this.l('Status'),field: 'status',flex: 1},
			{headerName: this.l('Thc Vn'),headerTooltip: this.l('Thc Vn'),field: 'thcVn',flex: 1},
			{headerName: this.l('Inland Vn'),headerTooltip: this.l('Inland Vn'),field: 'inlandVn',flex: 1},
			{headerName: this.l('Period Date'),headerTooltip: this.l('Period Date'),field: 'periodDate',flex: 1},
			{headerName: this.l('Period Id'),headerTooltip: this.l('Period Id'),field: 'periodId',flex: 1},
			{headerName: this.l('Date Status'),headerTooltip: this.l('Date Status'),field: 'dateStatus',flex: 1},
			{headerName: this.l('Fob'),headerTooltip: this.l('Fob'),field: 'fob',flex: 1},
			{headerName: this.l('Freight'),headerTooltip: this.l('Freight'),field: 'freight',flex: 1},
			{headerName: this.l('Insurance'),headerTooltip: this.l('Insurance'),field: 'insurance',flex: 1},
			{headerName: this.l('Amount'),headerTooltip: this.l('Amount'),field: 'amount',flex: 1},
			{headerName: this.l('Invoice No'),headerTooltip: this.l('Invoice No'),field: 'invoiceNo',flex: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this.invoiceId,
			this.supplierNo,
			this.sealNo,
			this.containerSize,
			this.plandedvanningDate,
			this.actualvanningDate,
			this.thc,
			this.inland,
			this.cdDate,
			this.status,
			this.thcVn,
			this.inlandVn,
			this.periodDate,
			this.periodId,
			this.dateStatus,
			this.fob,
			this.freight,
			this.insurance,
			this.amount,
			this.invoiceNo,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this.containerNo = '',
		this.renban = '',
		this.invoiceId = '',
		this.supplierNo = '',
		this.sealNo = '',
		this.containerSize = '',
		this.plandedvanningDate = '',
		this.actualvanningDate = '',
		this.thc = '',
		this.inland = '',
		this.cdDate = '',
		this.status = '',
		this.thcVn = '',
		this.inlandVn = '',
		this.periodDate = '',
		this.periodId = '',
		this.dateStatus = '',
		this.fob = '',
		this.freight = '',
		this.insurance = '',
		this.amount = '',
		this.invoiceNo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this.invoiceId,
			this.supplierNo,
			this.sealNo,
			this.containerSize,
			this.plandedvanningDate,
			this.actualvanningDate,
			this.thc,
			this.inland,
			this.cdDate,
			this.status,
			this.thcVn,
			this.inlandVn,
			this.periodDate,
			this.periodId,
			this.dateStatus,
			this.fob,
			this.freight,
			this.insurance,
			this.amount,
			this.invoiceNo,
			this.isActive,
			'',
            this.paginationParams.skipCount,
            this.paginationParams.pageSize
        );
    }
    onChangeRowSelection(params: { api: { getSelectedRows: () =&gt; InvCkdContainerInvoiceDto[] } }) {
        this.saveSelectedRow = params.api.getSelectedRows()[0] ?? new InvCkdContainerInvoiceDto();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InvCkdContainerInvoiceDto):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this._service.getContainerInvoiceToExcel(
			this.containerNo,
			this.renban,
			this.invoiceId,
			this.supplierNo,
			this.sealNo,
			this.containerSize,
			this.plandedvanningDate,
			this.actualvanningDate,
			this.thc,
			this.inland,
			this.cdDate,
			this.status,
			this.thcVn,
			this.inlandVn,
			this.periodDate,
			this.periodId,
			this.dateStatus,
			this.fob,
			this.freight,
			this.insurance,
			this.amount,
			this.invoiceNo,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[(ngModel)]='sealNo' name='sealNo'
									class='form-control' [placeholder]="l('Seal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[(ngModel)]='dateStatus' name='dateStatus'
									class='form-control' [placeholder]="l('Date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(click)="createOrEditModalContainerInvoice.show()"&gt;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(click)="createOrEditModalContainerInvoice.show(selectedRow)"&gt;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&lt;create-or-edit-containerinvoice-modal
    #createOrEditModalContainerInvoice
    (modalSave)="callBackDataGrid(dataParams)"
    (modalClose)="onChangeRowSelection(dataParams)"
&gt;
&lt;/create-or-edit-containerinvoice-modal&gt;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#createOrEditModalContainerInvoice="bs-modal"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ContainerInvoice')}}&lt;/h3&gt;
                    &lt;h3 *ngIf="!rowdata.id"&gt;{{('Create New ContainerInvoice')}}&lt;/h3&gt;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title'&gt;Seal No&lt;/label&gt;
						&lt;input type='text' class='col-md-10 form-control input-text' name='SealNo' [(ngModel)]='rowdata.sealNo'&gt;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title'&gt;Date Status&lt;/label&gt;
						&lt;input type='text' class='col-md-10 form-control input-text' name='DateStatus' [(ngModel)]='rowdata.dateStatus'&gt;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CreateOrEditInvCkdContainerInvoiceDto, InvCkdContainerInvoiceServiceProxy } from '@shared/service-proxies/service-proxies';
import { BsDatepickerDirective } from 'ngx-bootstrap/datepicker';
@Component({
    selector: 'create-or-edit-containerinvoice-modal',
    templateUrl: './create-or-edit-containerinvoice-modal.component.html',
    styleUrls: ['./create-or-edit-containerinvoice-modal.component.less']
    })
export class CreateOrEditContainerInvoiceModalComponent extends AppComponentBase {
    @ViewChild('createOrEditModalContainerInvoice',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CreateOrEditInvCkdContainerInvoiceDto = new CreateOrEditInvCkdContainerInvoiceDto();
    active: boolean = false;
    saving: boolean = false;
    _isActive: boolean;
    constructor(
        injector: Injector,
        private _mstwptContainerInvoiceService: InvCkdContainerInvoiceServiceProxy,
    ) 
    {
        super(injector);
    }
    show(rowdata?: CreateOrEditInvCkdContainerInvoiceDto): void {
        if (!rowdata) this.rowdata = new CreateOrEditInvCkdContainerInvoiceDto();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this._mstwptContainerInvoiceService.createOrEdit(this.rowdata)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ContainerInvoiceRoutingModule } from './containerinvoice-routing.module';
import { ContainerInvoiceComponent } from './containerinvoice.component';
import { CreateOrEditContainerInvoiceModalComponent } from './create-or-edit-containerinvoice-modal.component';
@NgModule({
    declarations: [
       ContainerInvoiceComponent, 
        CreateOrEditContainerInvoiceModalComponent
    ],
    imports: [
        AppSharedModule, ContainerInvoiceRoutingModule]
})
export class ContainerInvoiceModule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ContainerInvoiceComponent } from './containerinvoice.component';
const routes: Routes = [{
    path: '',
    component: ContainerInvoiceComponent,
    pathMatch: 'full'
}];
@NgModule({
    imports: [RouterModule.forChild(routes)],
    exports: [RouterModule],
})
export class ContainerInvoiceRoutingModule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AppMenuItem("ContainerInvoice", "Pages.Inventory.CKD.ContainerInvoice", "flaticon-book",   "/app/main/inventory/ckd/containerinvoice"),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'inventory/ckd/containerinvoice',
    loadChildren: () =&gt; import('./inventory/ckd/containerinvoice/containerinvoice.module').then(m =&gt; m.ContainerInvoiceModule),
    data: { permission: 'Pages.Inventory.CKD.ContainerInvoice' }
},</v>
      </c>
      <c r="R10" s="47" t="str">
        <f>SUBSTITUTE(R9,"MstWptCalendar",$B$6)</f>
        <v>ApiServiceProxies.InvCkdContainerInvoiceServiceProxy,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H37</v>
      </c>
      <c r="I12" s="28" t="str">
        <f>"I"&amp;COUNTA($A:$A)</f>
        <v>I37</v>
      </c>
      <c r="J12" s="28"/>
      <c r="K12" s="28" t="str">
        <f>"K"&amp;COUNTA($A:$A)</f>
        <v>K37</v>
      </c>
      <c r="L12" s="28" t="str">
        <f>"L"&amp;COUNTA($A:$A)</f>
        <v>L37</v>
      </c>
      <c r="M12" s="28"/>
      <c r="N12" s="28"/>
      <c r="O12" s="28"/>
      <c r="P12" s="28"/>
      <c r="Q12" s="28"/>
      <c r="R12" s="28"/>
      <c r="S12" s="28" t="str">
        <f>"S"&amp;COUNTA($A:$A)</f>
        <v>S37</v>
      </c>
      <c r="T12" s="28" t="str">
        <f>"T"&amp;COUNTA($A:$A)</f>
        <v>T37</v>
      </c>
      <c r="U12" s="28" t="str">
        <f>"U"&amp;COUNTA($A:$A)</f>
        <v>U37</v>
      </c>
      <c r="V12" s="28" t="str">
        <f>"V"&amp;COUNTA($A:$A)</f>
        <v>V37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this.l('Supplier No'),headerTooltip: this.l('Supplier No'),field: 'supplierNo',flex: 1},
			{headerName: this.l('Seal No'),headerTooltip: this.l('Seal No'),field: 'sealNo',flex: 1},
			{headerName: this.l('Container Size'),headerTooltip: this.l('Container Size'),field: 'containerSize',flex: 1},
			{headerName: this.l('Plandedvanning Date'),headerTooltip: this.l('Plandedvanning Date'),field: 'plandedvanningDate',flex: 1},
			{headerName: this.l('Actualvanning Date'),headerTooltip: this.l('Actualvanning Date'),field: 'actualvanningDate',flex: 1},
			{headerName: this.l('Thc'),headerTooltip: this.l('Thc'),field: 'thc',flex: 1},
			{headerName: this.l('Inland'),headerTooltip: this.l('Inland'),field: 'inland',flex: 1},
			{headerName: this.l('Cd Date'),headerTooltip: this.l('Cd Date'),field: 'cdDate',flex: 1},
			{headerName: this.l('Status'),headerTooltip: this.l('Status'),field: 'status',flex: 1},
			{headerName: this.l('Thc Vn'),headerTooltip: this.l('Thc Vn'),field: 'thcVn',flex: 1},
			{headerName: this.l('Inland Vn'),headerTooltip: this.l('Inland Vn'),field: 'inlandVn',flex: 1},
			{headerName: this.l('Period Date'),headerTooltip: this.l('Period Date'),field: 'periodDate',flex: 1},
			{headerName: this.l('Period Id'),headerTooltip: this.l('Period Id'),field: 'periodId',flex: 1},
			{headerName: this.l('Date Status'),headerTooltip: this.l('Date Status'),field: 'dateStatus',flex: 1},
			{headerName: this.l('Fob'),headerTooltip: this.l('Fob'),field: 'fob',flex: 1},
			{headerName: this.l('Freight'),headerTooltip: this.l('Freight'),field: 'freight',flex: 1},
			{headerName: this.l('Insurance'),headerTooltip: this.l('Insurance'),field: 'insurance',flex: 1},
			{headerName: this.l('Amount'),headerTooltip: this.l('Amount'),field: 'amount',flex: 1},
			{headerName: this.l('Invoice No'),headerTooltip: this.l('Invoice No'),field: 'invoiceNo',flex: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[(ngModel)]='sealNo' name='sealNo'
									class='form-control' [placeholder]="l('Seal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[(ngModel)]='dateStatus' name='dateStatus'
									class='form-control' [placeholder]="l('Date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title'&gt;Seal No&lt;/label&gt;
						&lt;input type='text' class='col-md-10 form-control input-text' name='SealNo' [(ngModel)]='rowdata.sealNo'&gt;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title'&gt;Date Status&lt;/label&gt;
						&lt;input type='text' class='col-md-10 form-control input-text' name='DateStatus' [(ngModel)]='rowdata.dateStatus'&gt;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containerNo : string = '' ; 
	renban : string = '' ; 
	invoiceId
	supplierNo : string = '' ; 
	sealNo : string = '' ; 
	containerSize
	plandedvanningDate
	actualvanningDate
	thc
	inland
	cdDate
	status : string = '' ; 
	thcVn
	inlandVn
	periodDate
	periodId
	dateStatus : string = '' ; 
	fob
	freight
	insurance
	amount
	invoiceNo
	isActive : string = '' ; </v>
      </c>
      <c r="T13" s="62" t="str">
        <f ca="1">TEXTJOIN2("
",TRUE,INDIRECT(T11):INDIRECT(T12))</f>
        <v xml:space="preserve">			this.containerNo,
			this.renban,
			this.invoiceId,
			this.supplierNo,
			this.sealNo,
			this.containerSize,
			this.plandedvanningDate,
			this.actualvanningDate,
			this.thc,
			this.inland,
			this.cdDate,
			this.status,
			this.thcVn,
			this.inlandVn,
			this.periodDate,
			this.periodId,
			this.dateStatus,
			this.fob,
			this.freight,
			this.insurance,
			this.amount,
			this.invoiceNo,
			this.isActive,</v>
      </c>
      <c r="U13" s="62" t="str">
        <f ca="1">TEXTJOIN2("
",TRUE,INDIRECT(U11):INDIRECT(U12))</f>
        <v xml:space="preserve">		this.containerNo = '',
		this.renban = '',
		this.invoiceId = '',
		this.supplierNo = '',
		this.sealNo = '',
		this.containerSize = '',
		this.plandedvanningDate = '',
		this.actualvanningDate = '',
		this.thc = '',
		this.inland = '',
		this.cdDate = '',
		this.status = '',
		this.thcVn = '',
		this.inlandVn = '',
		this.periodDate = '',
		this.periodId = '',
		this.dateStatus = '',
		this.fob = '',
		this.freight = '',
		this.insurance = '',
		this.amount = '',
		this.invoiceNo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containerinvoice.component.ts</v>
      </c>
      <c r="I14" s="37" t="str">
        <f>B8&amp;".component.html"</f>
        <v>containerinvoice.component.html</v>
      </c>
      <c r="J14" s="36" t="str">
        <f>B8&amp;".component.less"</f>
        <v>containerinvoice.component.less</v>
      </c>
      <c r="K14" s="37" t="str">
        <f>"create-or-edit-"&amp;B8&amp;"-modal.component.html"</f>
        <v>create-or-edit-containerinvoice-modal.component.html</v>
      </c>
      <c r="L14" s="37" t="str">
        <f>"create-or-edit-"&amp;B8&amp;"-modal.component.ts"</f>
        <v>create-or-edit-containerinvoice-modal.component.ts</v>
      </c>
      <c r="M14" s="37" t="str">
        <f>"create-or-edit-"&amp;B8&amp;"-modal.component.less"</f>
        <v>create-or-edit-containerinvoice-modal.component.less</v>
      </c>
      <c r="N14" s="37" t="str">
        <f>B8&amp;".module.ts"</f>
        <v>containerinvoice.module.ts</v>
      </c>
      <c r="O14" s="37" t="str">
        <f>B8&amp;"-routing.module.ts"</f>
        <v>containerinvoice-routing.module.ts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361</v>
      </c>
      <c r="B15" s="28" t="str">
        <f t="shared" ref="B15:B37" si="0">SUBSTITUTE(PROPER(A15),"_","")</f>
        <v>ContainerNo</v>
      </c>
      <c r="C15" s="28" t="str">
        <f t="shared" ref="C15:C37" si="1">SUBSTITUTE(PROPER(A15),"_"," ")</f>
        <v>Container No</v>
      </c>
      <c r="D15" s="28" t="str">
        <f t="shared" ref="D15:D37" si="2">LOWER(LEFT(B15,1))&amp;RIGHT(B15,LEN(B15) - 1)</f>
        <v>containerNo</v>
      </c>
      <c r="E15" s="28" t="str">
        <f>A.Backend!H9</f>
        <v>string</v>
      </c>
      <c r="F15" s="28" t="str">
        <f>A.Backend!G9</f>
        <v>15</v>
      </c>
      <c r="G15" s="28" t="str">
        <f t="shared" ref="G15:G37" si="3">IF(E15="string"," : string = '' ; ",IF(OR(E15="DateTime",E15="TimeSpan")," : any ;",IF(E15="int"," : number = 0 ;","")))</f>
        <v xml:space="preserve"> : string = '' ; </v>
      </c>
      <c r="H15" s="35" t="str">
        <f t="shared" ref="H15:H3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this.l('Container No'),headerTooltip: this.l('Container No'),field: 'containerNo',flex: 1},</v>
      </c>
      <c r="I15" s="35" t="str">
        <f t="shared" ref="I15:I3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5" s="28"/>
      <c r="K15" s="35" t="str">
        <f t="shared" ref="K15:K3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5" s="56" t="str">
        <f t="shared" ref="L15:L3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containerNo : string = '' ; </v>
      </c>
      <c r="T15" s="28" t="str">
        <f>REPT(CHAR(9),3)&amp;"this."&amp;D15&amp;","</f>
        <v xml:space="preserve">			this.containerNo,</v>
      </c>
      <c r="U15" s="28" t="str">
        <f>IF(E15="int",REPT(CHAR(9),2)&amp;"this."&amp;D15&amp;" = 0,",REPT(CHAR(9),2)&amp;"this."&amp;D15&amp;" = '',")</f>
        <v xml:space="preserve">		this.containerNo = '',</v>
      </c>
      <c r="V15" s="28" t="str">
        <f t="shared" ref="V15:V37" si="8">IF(AND(E15="string",F15="1"),D15,"")</f>
        <v/>
      </c>
    </row>
    <row r="16" spans="1:22" ht="18" customHeight="1" x14ac:dyDescent="0.25">
      <c r="A16" t="s">
        <v>373</v>
      </c>
      <c r="B16" s="28" t="str">
        <f t="shared" ref="B16" si="9">SUBSTITUTE(PROPER(A16),"_","")</f>
        <v>Renban</v>
      </c>
      <c r="C16" s="28" t="str">
        <f t="shared" ref="C16" si="10">SUBSTITUTE(PROPER(A16),"_"," ")</f>
        <v>Renban</v>
      </c>
      <c r="D16" s="28" t="str">
        <f t="shared" ref="D16" si="11">LOWER(LEFT(B16,1))&amp;RIGHT(B16,LEN(B16) - 1)</f>
        <v>renban</v>
      </c>
      <c r="E16" s="28" t="str">
        <f>A.Backend!H10</f>
        <v>string</v>
      </c>
      <c r="F16" s="28" t="str">
        <f>A.Backend!G10</f>
        <v>6</v>
      </c>
      <c r="G16" s="28" t="str">
        <f t="shared" si="3"/>
        <v xml:space="preserve"> : string = '' ; </v>
      </c>
      <c r="H16" s="35" t="str">
        <f t="shared" si="4"/>
        <v xml:space="preserve">			{headerName: this.l('Renban'),headerTooltip: this.l('Renban'),field: 'renban',flex: 1},</v>
      </c>
      <c r="I16" s="35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7" si="13">REPT(CHAR(9),1)&amp;D16&amp;G16</f>
        <v xml:space="preserve">	renban : string = '' ; </v>
      </c>
      <c r="T16" s="28" t="str">
        <f t="shared" ref="T16:T37" si="14">REPT(CHAR(9),3)&amp;"this."&amp;D16&amp;","</f>
        <v xml:space="preserve">			this.renban,</v>
      </c>
      <c r="U16" s="28" t="str">
        <f t="shared" ref="U16:U37" si="15">IF(E16="int",REPT(CHAR(9),2)&amp;"this."&amp;D16&amp;" = 0,",REPT(CHAR(9),2)&amp;"this."&amp;D16&amp;" = '',")</f>
        <v xml:space="preserve">		this.renban = '',</v>
      </c>
      <c r="V16" s="28" t="str">
        <f t="shared" si="8"/>
        <v/>
      </c>
    </row>
    <row r="17" spans="1:22" ht="18" customHeight="1" x14ac:dyDescent="0.25">
      <c r="A17" t="s">
        <v>363</v>
      </c>
      <c r="B17" s="28" t="str">
        <f>SUBSTITUTE(PROPER(A17),"_","")</f>
        <v>InvoiceId</v>
      </c>
      <c r="C17" s="28" t="str">
        <f>SUBSTITUTE(PROPER(A17),"_"," ")</f>
        <v>Invoice Id</v>
      </c>
      <c r="D17" s="28" t="str">
        <f>LOWER(LEFT(B17,1))&amp;RIGHT(B17,LEN(B17) - 1)</f>
        <v>invoiceId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this.l('Invoice Id'),headerTooltip: this.l('Invoice Id'),field: 'invoiceId',flex: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invoiceId</v>
      </c>
      <c r="T17" s="28" t="str">
        <f t="shared" si="14"/>
        <v xml:space="preserve">			this.invoiceId,</v>
      </c>
      <c r="U17" s="28" t="str">
        <f t="shared" si="15"/>
        <v xml:space="preserve">		this.invoiceId = '',</v>
      </c>
      <c r="V17" s="28" t="str">
        <f t="shared" si="8"/>
        <v/>
      </c>
    </row>
    <row r="18" spans="1:22" ht="15" customHeight="1" x14ac:dyDescent="0.25">
      <c r="A18" t="s">
        <v>351</v>
      </c>
      <c r="B18" s="28" t="str">
        <f t="shared" ref="B18:B21" si="16">SUBSTITUTE(PROPER(A18),"_","")</f>
        <v>SupplierNo</v>
      </c>
      <c r="C18" s="28" t="str">
        <f t="shared" ref="C18:C21" si="17">SUBSTITUTE(PROPER(A18),"_"," ")</f>
        <v>Supplier No</v>
      </c>
      <c r="D18" s="28" t="str">
        <f t="shared" ref="D18:D21" si="18">LOWER(LEFT(B18,1))&amp;RIGHT(B18,LEN(B18) - 1)</f>
        <v>supplierNo</v>
      </c>
      <c r="E18" s="28" t="str">
        <f>A.Backend!H12</f>
        <v>string</v>
      </c>
      <c r="F18" s="28" t="str">
        <f>A.Backend!G12</f>
        <v>10</v>
      </c>
      <c r="G18" s="28" t="str">
        <f t="shared" si="3"/>
        <v xml:space="preserve"> : string = '' ; </v>
      </c>
      <c r="H18" s="35" t="str">
        <f t="shared" si="4"/>
        <v xml:space="preserve">			{headerName: this.l('Supplier No'),headerTooltip: this.l('Supplier No'),field: 'supplierNo',flex: 1},</v>
      </c>
      <c r="I18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supplierNo : string = '' ; </v>
      </c>
      <c r="T18" s="28" t="str">
        <f t="shared" si="14"/>
        <v xml:space="preserve">			this.supplierNo,</v>
      </c>
      <c r="U18" s="28" t="str">
        <f t="shared" si="15"/>
        <v xml:space="preserve">		this.supplierNo = '',</v>
      </c>
      <c r="V18" s="28" t="str">
        <f t="shared" si="8"/>
        <v/>
      </c>
    </row>
    <row r="19" spans="1:22" ht="18" customHeight="1" x14ac:dyDescent="0.25">
      <c r="A19" t="s">
        <v>375</v>
      </c>
      <c r="B19" s="28" t="str">
        <f t="shared" si="16"/>
        <v>SealNo</v>
      </c>
      <c r="C19" s="28" t="str">
        <f t="shared" si="17"/>
        <v>Seal No</v>
      </c>
      <c r="D19" s="28" t="str">
        <f t="shared" si="18"/>
        <v>sealNo</v>
      </c>
      <c r="E19" s="28" t="str">
        <f>A.Backend!H13</f>
        <v>string</v>
      </c>
      <c r="F19" s="28" t="str">
        <f>A.Backend!G13</f>
        <v>20</v>
      </c>
      <c r="G19" s="28" t="str">
        <f t="shared" si="3"/>
        <v xml:space="preserve"> : string = '' ; </v>
      </c>
      <c r="H19" s="35" t="str">
        <f t="shared" si="4"/>
        <v xml:space="preserve">			{headerName: this.l('Seal No'),headerTooltip: this.l('Seal No'),field: 'sealNo',flex: 1},</v>
      </c>
      <c r="I19" s="35" t="str">
        <f t="shared" si="5"/>
        <v xml:space="preserve">								&lt;div class='input-search'&gt;
									&lt;input [(ngModel)]='sealNo' name='sealNo'
									class='form-control' [placeholder]="l('Seal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title'&gt;Seal No&lt;/label&gt;
						&lt;input type='text' class='col-md-10 form-control input-text' name='SealNo' [(ngModel)]='rowdata.sealNo'&gt;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sealNo : string = '' ; </v>
      </c>
      <c r="T19" s="28" t="str">
        <f t="shared" si="14"/>
        <v xml:space="preserve">			this.sealNo,</v>
      </c>
      <c r="U19" s="28" t="str">
        <f t="shared" si="15"/>
        <v xml:space="preserve">		this.sealNo = '',</v>
      </c>
      <c r="V19" s="28" t="str">
        <f t="shared" si="8"/>
        <v/>
      </c>
    </row>
    <row r="20" spans="1:22" ht="15" customHeight="1" x14ac:dyDescent="0.25">
      <c r="A20" t="s">
        <v>376</v>
      </c>
      <c r="B20" s="28" t="str">
        <f t="shared" si="16"/>
        <v>ContainerSize</v>
      </c>
      <c r="C20" s="28" t="str">
        <f t="shared" si="17"/>
        <v>Container Size</v>
      </c>
      <c r="D20" s="28" t="str">
        <f t="shared" si="18"/>
        <v>containerSize</v>
      </c>
      <c r="E20" s="28" t="str">
        <f>A.Backend!H14</f>
        <v>int?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this.l('Container Size'),headerTooltip: this.l('Container Size'),field: 'containerSize',flex: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containerSize</v>
      </c>
      <c r="T20" s="28" t="str">
        <f t="shared" si="14"/>
        <v xml:space="preserve">			this.containerSize,</v>
      </c>
      <c r="U20" s="28" t="str">
        <f t="shared" si="15"/>
        <v xml:space="preserve">		this.containerSize = '',</v>
      </c>
      <c r="V20" s="28" t="str">
        <f t="shared" si="8"/>
        <v/>
      </c>
    </row>
    <row r="21" spans="1:22" ht="18" customHeight="1" x14ac:dyDescent="0.25">
      <c r="A21" t="s">
        <v>377</v>
      </c>
      <c r="B21" s="28" t="str">
        <f t="shared" si="16"/>
        <v>PlandedvanningDate</v>
      </c>
      <c r="C21" s="28" t="str">
        <f t="shared" si="17"/>
        <v>Plandedvanning Date</v>
      </c>
      <c r="D21" s="28" t="str">
        <f t="shared" si="18"/>
        <v>plandedvanningDate</v>
      </c>
      <c r="E21" s="28" t="str">
        <f>A.Backend!H15</f>
        <v>DateTime?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this.l('Plandedvanning Date'),headerTooltip: this.l('Plandedvanning Date'),field: 'plandedvanningDate',flex: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plandedvanningDate</v>
      </c>
      <c r="T21" s="28" t="str">
        <f t="shared" si="14"/>
        <v xml:space="preserve">			this.plandedvanningDate,</v>
      </c>
      <c r="U21" s="28" t="str">
        <f t="shared" si="15"/>
        <v xml:space="preserve">		this.plandedvanningDate = '',</v>
      </c>
      <c r="V21" s="28" t="str">
        <f t="shared" si="8"/>
        <v/>
      </c>
    </row>
    <row r="22" spans="1:22" ht="18" customHeight="1" x14ac:dyDescent="0.25">
      <c r="A22" t="s">
        <v>378</v>
      </c>
      <c r="B22" s="28" t="str">
        <f>SUBSTITUTE(PROPER(A22),"_","")</f>
        <v>ActualvanningDate</v>
      </c>
      <c r="C22" s="28" t="str">
        <f>SUBSTITUTE(PROPER(A22),"_"," ")</f>
        <v>Actualvanning Date</v>
      </c>
      <c r="D22" s="28" t="str">
        <f>LOWER(LEFT(B22,1))&amp;RIGHT(B22,LEN(B22) - 1)</f>
        <v>actualvanningDate</v>
      </c>
      <c r="E22" s="28" t="str">
        <f>A.Backend!H16</f>
        <v>DateTime?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this.l('Actualvanning Date'),headerTooltip: this.l('Actualvanning Date'),field: 'actualvanningDate',flex: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actualvanningDate</v>
      </c>
      <c r="T22" s="28" t="str">
        <f t="shared" si="14"/>
        <v xml:space="preserve">			this.actualvanningDate,</v>
      </c>
      <c r="U22" s="28" t="str">
        <f t="shared" si="15"/>
        <v xml:space="preserve">		this.actualvanningDate = '',</v>
      </c>
      <c r="V22" s="28" t="str">
        <f t="shared" si="8"/>
        <v/>
      </c>
    </row>
    <row r="23" spans="1:22" ht="15" customHeight="1" x14ac:dyDescent="0.25">
      <c r="A23" t="s">
        <v>364</v>
      </c>
      <c r="B23" s="28" t="str">
        <f t="shared" ref="B23:B26" si="20">SUBSTITUTE(PROPER(A23),"_","")</f>
        <v>Thc</v>
      </c>
      <c r="C23" s="28" t="str">
        <f t="shared" ref="C23:C26" si="21">SUBSTITUTE(PROPER(A23),"_"," ")</f>
        <v>Thc</v>
      </c>
      <c r="D23" s="28" t="str">
        <f t="shared" ref="D23:D26" si="22">LOWER(LEFT(B23,1))&amp;RIGHT(B23,LEN(B23) - 1)</f>
        <v>thc</v>
      </c>
      <c r="E23" s="28" t="str">
        <f>A.Backend!H17</f>
        <v>decimal?</v>
      </c>
      <c r="F23" s="28" t="str">
        <f>A.Backend!G17</f>
        <v>14,5</v>
      </c>
      <c r="G23" s="28" t="str">
        <f t="shared" si="3"/>
        <v/>
      </c>
      <c r="H23" s="35" t="str">
        <f t="shared" si="4"/>
        <v xml:space="preserve">			{headerName: this.l('Thc'),headerTooltip: this.l('Thc'),field: 'thc',flex: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thc</v>
      </c>
      <c r="T23" s="28" t="str">
        <f t="shared" si="14"/>
        <v xml:space="preserve">			this.thc,</v>
      </c>
      <c r="U23" s="28" t="str">
        <f t="shared" si="15"/>
        <v xml:space="preserve">		this.thc = '',</v>
      </c>
      <c r="V23" s="28" t="str">
        <f t="shared" si="8"/>
        <v/>
      </c>
    </row>
    <row r="24" spans="1:22" ht="18" customHeight="1" x14ac:dyDescent="0.25">
      <c r="A24" t="s">
        <v>365</v>
      </c>
      <c r="B24" s="28" t="str">
        <f t="shared" si="20"/>
        <v>Inland</v>
      </c>
      <c r="C24" s="28" t="str">
        <f t="shared" si="21"/>
        <v>Inland</v>
      </c>
      <c r="D24" s="28" t="str">
        <f t="shared" si="22"/>
        <v>inland</v>
      </c>
      <c r="E24" s="28" t="str">
        <f>A.Backend!H18</f>
        <v>decimal?</v>
      </c>
      <c r="F24" s="28" t="str">
        <f>A.Backend!G18</f>
        <v>14,5</v>
      </c>
      <c r="G24" s="28" t="str">
        <f t="shared" si="3"/>
        <v/>
      </c>
      <c r="H24" s="35" t="str">
        <f t="shared" si="4"/>
        <v xml:space="preserve">			{headerName: this.l('Inland'),headerTooltip: this.l('Inland'),field: 'inland',flex: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inland</v>
      </c>
      <c r="T24" s="28" t="str">
        <f t="shared" si="14"/>
        <v xml:space="preserve">			this.inland,</v>
      </c>
      <c r="U24" s="28" t="str">
        <f t="shared" si="15"/>
        <v xml:space="preserve">		this.inland = '',</v>
      </c>
      <c r="V24" s="28" t="str">
        <f t="shared" si="8"/>
        <v/>
      </c>
    </row>
    <row r="25" spans="1:22" ht="15" customHeight="1" x14ac:dyDescent="0.25">
      <c r="A25" t="s">
        <v>379</v>
      </c>
      <c r="B25" s="28" t="str">
        <f t="shared" si="20"/>
        <v>CdDate</v>
      </c>
      <c r="C25" s="28" t="str">
        <f t="shared" si="21"/>
        <v>Cd Date</v>
      </c>
      <c r="D25" s="28" t="str">
        <f t="shared" si="22"/>
        <v>cdDate</v>
      </c>
      <c r="E25" s="28" t="str">
        <f>A.Backend!H19</f>
        <v>DateTime?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this.l('Cd Date'),headerTooltip: this.l('Cd Date'),field: 'cdDate',flex: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cdDate</v>
      </c>
      <c r="T25" s="28" t="str">
        <f t="shared" si="14"/>
        <v xml:space="preserve">			this.cdDate,</v>
      </c>
      <c r="U25" s="28" t="str">
        <f t="shared" si="15"/>
        <v xml:space="preserve">		this.cdDate = '',</v>
      </c>
      <c r="V25" s="28" t="str">
        <f t="shared" si="8"/>
        <v/>
      </c>
    </row>
    <row r="26" spans="1:22" ht="18" customHeight="1" x14ac:dyDescent="0.25">
      <c r="A26" t="s">
        <v>350</v>
      </c>
      <c r="B26" s="28" t="str">
        <f t="shared" si="20"/>
        <v>Status</v>
      </c>
      <c r="C26" s="28" t="str">
        <f t="shared" si="21"/>
        <v>Status</v>
      </c>
      <c r="D26" s="28" t="str">
        <f t="shared" si="22"/>
        <v>status</v>
      </c>
      <c r="E26" s="28" t="str">
        <f>A.Backend!H20</f>
        <v>string</v>
      </c>
      <c r="F26" s="28" t="str">
        <f>A.Backend!G20</f>
        <v>10</v>
      </c>
      <c r="G26" s="28" t="str">
        <f t="shared" si="3"/>
        <v xml:space="preserve"> : string = '' ; </v>
      </c>
      <c r="H26" s="35" t="str">
        <f t="shared" si="4"/>
        <v xml:space="preserve">			{headerName: this.l('Status'),headerTooltip: this.l('Status'),field: 'status',flex: 1},</v>
      </c>
      <c r="I26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status : string = '' ; </v>
      </c>
      <c r="T26" s="28" t="str">
        <f t="shared" si="14"/>
        <v xml:space="preserve">			this.status,</v>
      </c>
      <c r="U26" s="28" t="str">
        <f t="shared" si="15"/>
        <v xml:space="preserve">		this.status = '',</v>
      </c>
      <c r="V26" s="28" t="str">
        <f t="shared" si="8"/>
        <v/>
      </c>
    </row>
    <row r="27" spans="1:22" ht="18" customHeight="1" x14ac:dyDescent="0.25">
      <c r="A27" t="s">
        <v>367</v>
      </c>
      <c r="B27" s="28" t="str">
        <f>SUBSTITUTE(PROPER(A27),"_","")</f>
        <v>ThcVn</v>
      </c>
      <c r="C27" s="28" t="str">
        <f>SUBSTITUTE(PROPER(A27),"_"," ")</f>
        <v>Thc Vn</v>
      </c>
      <c r="D27" s="28" t="str">
        <f>LOWER(LEFT(B27,1))&amp;RIGHT(B27,LEN(B27) - 1)</f>
        <v>thcVn</v>
      </c>
      <c r="E27" s="28" t="str">
        <f>A.Backend!H21</f>
        <v>decimal?</v>
      </c>
      <c r="F27" s="28" t="str">
        <f>A.Backend!G21</f>
        <v>14,5</v>
      </c>
      <c r="G27" s="28" t="str">
        <f t="shared" si="3"/>
        <v/>
      </c>
      <c r="H27" s="35" t="str">
        <f t="shared" si="4"/>
        <v xml:space="preserve">			{headerName: this.l('Thc Vn'),headerTooltip: this.l('Thc Vn'),field: 'thcVn',flex: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thcVn</v>
      </c>
      <c r="T27" s="28" t="str">
        <f t="shared" si="14"/>
        <v xml:space="preserve">			this.thcVn,</v>
      </c>
      <c r="U27" s="28" t="str">
        <f t="shared" si="15"/>
        <v xml:space="preserve">		this.thcVn = '',</v>
      </c>
      <c r="V27" s="28" t="str">
        <f t="shared" si="8"/>
        <v/>
      </c>
    </row>
    <row r="28" spans="1:22" ht="15" customHeight="1" x14ac:dyDescent="0.25">
      <c r="A28" t="s">
        <v>368</v>
      </c>
      <c r="B28" s="28" t="str">
        <f t="shared" ref="B28:B30" si="24">SUBSTITUTE(PROPER(A28),"_","")</f>
        <v>InlandVn</v>
      </c>
      <c r="C28" s="28" t="str">
        <f t="shared" ref="C28:C30" si="25">SUBSTITUTE(PROPER(A28),"_"," ")</f>
        <v>Inland Vn</v>
      </c>
      <c r="D28" s="28" t="str">
        <f t="shared" ref="D28:D30" si="26">LOWER(LEFT(B28,1))&amp;RIGHT(B28,LEN(B28) - 1)</f>
        <v>inlandVn</v>
      </c>
      <c r="E28" s="28" t="str">
        <f>A.Backend!H22</f>
        <v>decimal?</v>
      </c>
      <c r="F28" s="28" t="str">
        <f>A.Backend!G22</f>
        <v>14,5</v>
      </c>
      <c r="G28" s="28" t="str">
        <f t="shared" si="3"/>
        <v/>
      </c>
      <c r="H28" s="35" t="str">
        <f t="shared" si="4"/>
        <v xml:space="preserve">			{headerName: this.l('Inland Vn'),headerTooltip: this.l('Inland Vn'),field: 'inlandVn',flex: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inlandVn</v>
      </c>
      <c r="T28" s="28" t="str">
        <f t="shared" si="14"/>
        <v xml:space="preserve">			this.inlandVn,</v>
      </c>
      <c r="U28" s="28" t="str">
        <f t="shared" si="15"/>
        <v xml:space="preserve">		this.inlandVn = '',</v>
      </c>
      <c r="V28" s="28" t="str">
        <f t="shared" si="8"/>
        <v/>
      </c>
    </row>
    <row r="29" spans="1:22" ht="18" customHeight="1" x14ac:dyDescent="0.25">
      <c r="A29" t="s">
        <v>369</v>
      </c>
      <c r="B29" s="28" t="str">
        <f t="shared" si="24"/>
        <v>PeriodDate</v>
      </c>
      <c r="C29" s="28" t="str">
        <f t="shared" si="25"/>
        <v>Period Date</v>
      </c>
      <c r="D29" s="28" t="str">
        <f t="shared" si="26"/>
        <v>periodDate</v>
      </c>
      <c r="E29" s="28" t="str">
        <f>A.Backend!H23</f>
        <v>DateTime?</v>
      </c>
      <c r="F29" s="28" t="str">
        <f>A.Backend!G23</f>
        <v/>
      </c>
      <c r="G29" s="28" t="str">
        <f t="shared" si="3"/>
        <v/>
      </c>
      <c r="H29" s="35" t="str">
        <f t="shared" si="4"/>
        <v xml:space="preserve">			{headerName: this.l('Period Date'),headerTooltip: this.l('Period Date'),field: 'periodDate',flex: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periodDate</v>
      </c>
      <c r="T29" s="28" t="str">
        <f t="shared" si="14"/>
        <v xml:space="preserve">			this.periodDate,</v>
      </c>
      <c r="U29" s="28" t="str">
        <f t="shared" si="15"/>
        <v xml:space="preserve">		this.periodDate = '',</v>
      </c>
      <c r="V29" s="28" t="str">
        <f t="shared" si="8"/>
        <v/>
      </c>
    </row>
    <row r="30" spans="1:22" ht="15" customHeight="1" x14ac:dyDescent="0.25">
      <c r="A30" t="s">
        <v>352</v>
      </c>
      <c r="B30" s="28" t="str">
        <f t="shared" si="24"/>
        <v>PeriodId</v>
      </c>
      <c r="C30" s="28" t="str">
        <f t="shared" si="25"/>
        <v>Period Id</v>
      </c>
      <c r="D30" s="28" t="str">
        <f t="shared" si="26"/>
        <v>periodId</v>
      </c>
      <c r="E30" s="28" t="str">
        <f>A.Backend!H24</f>
        <v>long?</v>
      </c>
      <c r="F30" s="28" t="str">
        <f>A.Backend!G24</f>
        <v/>
      </c>
      <c r="G30" s="28" t="str">
        <f t="shared" si="3"/>
        <v/>
      </c>
      <c r="H30" s="35" t="str">
        <f t="shared" si="4"/>
        <v xml:space="preserve">			{headerName: this.l('Period Id'),headerTooltip: this.l('Period Id'),field: 'periodId',flex: 1},</v>
      </c>
      <c r="I30" s="35" t="str">
        <f t="shared" si="5"/>
        <v/>
      </c>
      <c r="J30" s="28"/>
      <c r="K30" s="35" t="str">
        <f t="shared" si="6"/>
        <v/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periodId</v>
      </c>
      <c r="T30" s="28" t="str">
        <f t="shared" si="14"/>
        <v xml:space="preserve">			this.periodId,</v>
      </c>
      <c r="U30" s="28" t="str">
        <f t="shared" si="15"/>
        <v xml:space="preserve">		this.periodId = '',</v>
      </c>
      <c r="V30" s="28" t="str">
        <f t="shared" si="8"/>
        <v/>
      </c>
    </row>
    <row r="31" spans="1:22" ht="15" customHeight="1" x14ac:dyDescent="0.25">
      <c r="A31" t="s">
        <v>380</v>
      </c>
      <c r="B31" s="28" t="str">
        <f t="shared" ref="B31:B32" si="28">SUBSTITUTE(PROPER(A31),"_","")</f>
        <v>DateStatus</v>
      </c>
      <c r="C31" s="28" t="str">
        <f t="shared" ref="C31:C32" si="29">SUBSTITUTE(PROPER(A31),"_"," ")</f>
        <v>Date Status</v>
      </c>
      <c r="D31" s="28" t="str">
        <f t="shared" ref="D31:D32" si="30">LOWER(LEFT(B31,1))&amp;RIGHT(B31,LEN(B31) - 1)</f>
        <v>dateStatus</v>
      </c>
      <c r="E31" s="28" t="str">
        <f>A.Backend!H25</f>
        <v>string</v>
      </c>
      <c r="F31" s="28" t="str">
        <f>A.Backend!G25</f>
        <v>200</v>
      </c>
      <c r="G31" s="28" t="str">
        <f t="shared" si="3"/>
        <v xml:space="preserve"> : string = '' ; </v>
      </c>
      <c r="H31" s="35" t="str">
        <f t="shared" si="4"/>
        <v xml:space="preserve">			{headerName: this.l('Date Status'),headerTooltip: this.l('Date Status'),field: 'dateStatus',flex: 1},</v>
      </c>
      <c r="I31" s="35" t="str">
        <f t="shared" si="5"/>
        <v xml:space="preserve">								&lt;div class='input-search'&gt;
									&lt;input [(ngModel)]='dateStatus' name='dateStatus'
									class='form-control' [placeholder]="l('Date Status')"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title'&gt;Date Status&lt;/label&gt;
						&lt;input type='text' class='col-md-10 form-control input-text' name='DateStatus' [(ngModel)]='rowdata.dateStatus'&gt;
					&lt;/div&gt;</v>
      </c>
      <c r="L31" s="56" t="str">
        <f t="shared" ref="L31:L32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dateStatus : string = '' ; </v>
      </c>
      <c r="T31" s="28" t="str">
        <f t="shared" si="14"/>
        <v xml:space="preserve">			this.dateStatus,</v>
      </c>
      <c r="U31" s="28" t="str">
        <f t="shared" si="15"/>
        <v xml:space="preserve">		this.dateStatus = '',</v>
      </c>
      <c r="V31" s="28" t="str">
        <f t="shared" si="8"/>
        <v/>
      </c>
    </row>
    <row r="32" spans="1:22" ht="18" customHeight="1" x14ac:dyDescent="0.25">
      <c r="A32" t="s">
        <v>384</v>
      </c>
      <c r="B32" s="28" t="str">
        <f t="shared" si="28"/>
        <v>Fob</v>
      </c>
      <c r="C32" s="28" t="str">
        <f t="shared" si="29"/>
        <v>Fob</v>
      </c>
      <c r="D32" s="28" t="str">
        <f t="shared" si="30"/>
        <v>fob</v>
      </c>
      <c r="E32" s="28" t="str">
        <f>A.Backend!H26</f>
        <v>decimal?</v>
      </c>
      <c r="F32" s="28" t="str">
        <f>A.Backend!G26</f>
        <v>14,5</v>
      </c>
      <c r="G32" s="28" t="str">
        <f t="shared" ref="G32:G36" si="32">IF(E32="string"," : string = '' ; ",IF(OR(E32="DateTime",E32="TimeSpan")," : any ;",IF(E32="int"," : number = 0 ;","")))</f>
        <v/>
      </c>
      <c r="H32" s="35" t="str">
        <f t="shared" ref="H32:H36" si="33"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this.l('Fob'),headerTooltip: this.l('Fob'),field: 'fob',flex: 1},</v>
      </c>
      <c r="I32" s="35" t="str">
        <f t="shared" ref="I32:I36" si="34"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/>
      </c>
      <c r="J32" s="28"/>
      <c r="K32" s="35" t="str">
        <f t="shared" ref="K32:K36" si="35"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/>
      </c>
      <c r="L32" s="56" t="str">
        <f t="shared" si="31"/>
        <v/>
      </c>
      <c r="M32" s="28"/>
      <c r="N32" s="28"/>
      <c r="O32" s="28"/>
      <c r="P32" s="28"/>
      <c r="Q32" s="28"/>
      <c r="R32" s="28"/>
      <c r="S32" s="28" t="str">
        <f t="shared" ref="S32:S36" si="36">REPT(CHAR(9),1)&amp;D32&amp;G32</f>
        <v xml:space="preserve">	fob</v>
      </c>
      <c r="T32" s="28" t="str">
        <f t="shared" ref="T32:T36" si="37">REPT(CHAR(9),3)&amp;"this."&amp;D32&amp;","</f>
        <v xml:space="preserve">			this.fob,</v>
      </c>
      <c r="U32" s="28" t="str">
        <f t="shared" ref="U32:U36" si="38">IF(E32="int",REPT(CHAR(9),2)&amp;"this."&amp;D32&amp;" = 0,",REPT(CHAR(9),2)&amp;"this."&amp;D32&amp;" = '',")</f>
        <v xml:space="preserve">		this.fob = '',</v>
      </c>
      <c r="V32" s="28" t="str">
        <f t="shared" ref="V32:V36" si="39">IF(AND(E32="string",F32="1"),D32,"")</f>
        <v/>
      </c>
    </row>
    <row r="33" spans="1:22" ht="18" customHeight="1" x14ac:dyDescent="0.25">
      <c r="A33" t="s">
        <v>385</v>
      </c>
      <c r="B33" s="28" t="str">
        <f>SUBSTITUTE(PROPER(A33),"_","")</f>
        <v>Freight</v>
      </c>
      <c r="C33" s="28" t="str">
        <f>SUBSTITUTE(PROPER(A33),"_"," ")</f>
        <v>Freight</v>
      </c>
      <c r="D33" s="28" t="str">
        <f>LOWER(LEFT(B33,1))&amp;RIGHT(B33,LEN(B33) - 1)</f>
        <v>freight</v>
      </c>
      <c r="E33" s="28" t="str">
        <f>A.Backend!H27</f>
        <v>decimal?</v>
      </c>
      <c r="F33" s="28" t="str">
        <f>A.Backend!G27</f>
        <v>14,5</v>
      </c>
      <c r="G33" s="28" t="str">
        <f t="shared" si="32"/>
        <v/>
      </c>
      <c r="H33" s="35" t="str">
        <f t="shared" si="33"/>
        <v xml:space="preserve">			{headerName: this.l('Freight'),headerTooltip: this.l('Freight'),field: 'freight',flex: 1},</v>
      </c>
      <c r="I33" s="35" t="str">
        <f t="shared" si="34"/>
        <v/>
      </c>
      <c r="J33" s="28"/>
      <c r="K33" s="35" t="str">
        <f t="shared" si="35"/>
        <v/>
      </c>
      <c r="L33" s="56" t="str">
        <f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36"/>
        <v xml:space="preserve">	freight</v>
      </c>
      <c r="T33" s="28" t="str">
        <f t="shared" si="37"/>
        <v xml:space="preserve">			this.freight,</v>
      </c>
      <c r="U33" s="28" t="str">
        <f t="shared" si="38"/>
        <v xml:space="preserve">		this.freight = '',</v>
      </c>
      <c r="V33" s="28" t="str">
        <f t="shared" si="39"/>
        <v/>
      </c>
    </row>
    <row r="34" spans="1:22" ht="15" customHeight="1" x14ac:dyDescent="0.25">
      <c r="A34" t="s">
        <v>386</v>
      </c>
      <c r="B34" s="28" t="str">
        <f t="shared" ref="B34:B36" si="40">SUBSTITUTE(PROPER(A34),"_","")</f>
        <v>Insurance</v>
      </c>
      <c r="C34" s="28" t="str">
        <f t="shared" ref="C34:C36" si="41">SUBSTITUTE(PROPER(A34),"_"," ")</f>
        <v>Insurance</v>
      </c>
      <c r="D34" s="28" t="str">
        <f t="shared" ref="D34:D36" si="42">LOWER(LEFT(B34,1))&amp;RIGHT(B34,LEN(B34) - 1)</f>
        <v>insurance</v>
      </c>
      <c r="E34" s="28" t="str">
        <f>A.Backend!H28</f>
        <v>decimal?</v>
      </c>
      <c r="F34" s="28" t="str">
        <f>A.Backend!G28</f>
        <v>14,5</v>
      </c>
      <c r="G34" s="28" t="str">
        <f t="shared" si="32"/>
        <v/>
      </c>
      <c r="H34" s="35" t="str">
        <f t="shared" si="33"/>
        <v xml:space="preserve">			{headerName: this.l('Insurance'),headerTooltip: this.l('Insurance'),field: 'insurance',flex: 1},</v>
      </c>
      <c r="I34" s="35" t="str">
        <f t="shared" si="34"/>
        <v/>
      </c>
      <c r="J34" s="28"/>
      <c r="K34" s="35" t="str">
        <f t="shared" si="35"/>
        <v/>
      </c>
      <c r="L34" s="56" t="str">
        <f t="shared" ref="L34:L36" si="43"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28"/>
      <c r="N34" s="28"/>
      <c r="O34" s="28"/>
      <c r="P34" s="28"/>
      <c r="Q34" s="28"/>
      <c r="R34" s="28"/>
      <c r="S34" s="28" t="str">
        <f t="shared" si="36"/>
        <v xml:space="preserve">	insurance</v>
      </c>
      <c r="T34" s="28" t="str">
        <f t="shared" si="37"/>
        <v xml:space="preserve">			this.insurance,</v>
      </c>
      <c r="U34" s="28" t="str">
        <f t="shared" si="38"/>
        <v xml:space="preserve">		this.insurance = '',</v>
      </c>
      <c r="V34" s="28" t="str">
        <f t="shared" si="39"/>
        <v/>
      </c>
    </row>
    <row r="35" spans="1:22" ht="18" customHeight="1" x14ac:dyDescent="0.25">
      <c r="A35" t="s">
        <v>387</v>
      </c>
      <c r="B35" s="28" t="str">
        <f t="shared" si="40"/>
        <v>Amount</v>
      </c>
      <c r="C35" s="28" t="str">
        <f t="shared" si="41"/>
        <v>Amount</v>
      </c>
      <c r="D35" s="28" t="str">
        <f t="shared" si="42"/>
        <v>amount</v>
      </c>
      <c r="E35" s="28" t="str">
        <f>A.Backend!H29</f>
        <v>decimal?</v>
      </c>
      <c r="F35" s="28" t="str">
        <f>A.Backend!G29</f>
        <v>14,5</v>
      </c>
      <c r="G35" s="28" t="str">
        <f t="shared" si="32"/>
        <v/>
      </c>
      <c r="H35" s="35" t="str">
        <f t="shared" si="33"/>
        <v xml:space="preserve">			{headerName: this.l('Amount'),headerTooltip: this.l('Amount'),field: 'amount',flex: 1},</v>
      </c>
      <c r="I35" s="35" t="str">
        <f t="shared" si="34"/>
        <v/>
      </c>
      <c r="J35" s="28"/>
      <c r="K35" s="35" t="str">
        <f t="shared" si="35"/>
        <v/>
      </c>
      <c r="L35" s="56" t="str">
        <f t="shared" si="43"/>
        <v/>
      </c>
      <c r="M35" s="28"/>
      <c r="N35" s="28"/>
      <c r="O35" s="28"/>
      <c r="P35" s="28"/>
      <c r="Q35" s="28"/>
      <c r="R35" s="28"/>
      <c r="S35" s="28" t="str">
        <f t="shared" si="36"/>
        <v xml:space="preserve">	amount</v>
      </c>
      <c r="T35" s="28" t="str">
        <f t="shared" si="37"/>
        <v xml:space="preserve">			this.amount,</v>
      </c>
      <c r="U35" s="28" t="str">
        <f t="shared" si="38"/>
        <v xml:space="preserve">		this.amount = '',</v>
      </c>
      <c r="V35" s="28" t="str">
        <f t="shared" si="39"/>
        <v/>
      </c>
    </row>
    <row r="36" spans="1:22" ht="15" customHeight="1" x14ac:dyDescent="0.25">
      <c r="A36" t="s">
        <v>388</v>
      </c>
      <c r="B36" s="28" t="str">
        <f t="shared" si="40"/>
        <v>InvoiceNo</v>
      </c>
      <c r="C36" s="28" t="str">
        <f t="shared" si="41"/>
        <v>Invoice No</v>
      </c>
      <c r="D36" s="28" t="str">
        <f t="shared" si="42"/>
        <v>invoiceNo</v>
      </c>
      <c r="E36" s="28" t="str">
        <f>A.Backend!H30</f>
        <v>decimal?</v>
      </c>
      <c r="F36" s="28" t="str">
        <f>A.Backend!G30</f>
        <v>14,5</v>
      </c>
      <c r="G36" s="28" t="str">
        <f t="shared" si="32"/>
        <v/>
      </c>
      <c r="H36" s="35" t="str">
        <f t="shared" si="33"/>
        <v xml:space="preserve">			{headerName: this.l('Invoice No'),headerTooltip: this.l('Invoice No'),field: 'invoiceNo',flex: 1},</v>
      </c>
      <c r="I36" s="35" t="str">
        <f t="shared" si="34"/>
        <v/>
      </c>
      <c r="J36" s="28"/>
      <c r="K36" s="35" t="str">
        <f t="shared" si="35"/>
        <v/>
      </c>
      <c r="L36" s="56" t="str">
        <f t="shared" si="43"/>
        <v/>
      </c>
      <c r="M36" s="28"/>
      <c r="N36" s="28"/>
      <c r="O36" s="28"/>
      <c r="P36" s="28"/>
      <c r="Q36" s="28"/>
      <c r="R36" s="28"/>
      <c r="S36" s="28" t="str">
        <f t="shared" si="36"/>
        <v xml:space="preserve">	invoiceNo</v>
      </c>
      <c r="T36" s="28" t="str">
        <f t="shared" si="37"/>
        <v xml:space="preserve">			this.invoiceNo,</v>
      </c>
      <c r="U36" s="28" t="str">
        <f t="shared" si="38"/>
        <v xml:space="preserve">		this.invoiceNo = '',</v>
      </c>
      <c r="V36" s="28" t="str">
        <f t="shared" si="39"/>
        <v/>
      </c>
    </row>
    <row r="37" spans="1:22" ht="18" customHeight="1" x14ac:dyDescent="0.25">
      <c r="A37" t="s">
        <v>319</v>
      </c>
      <c r="B37" s="28" t="str">
        <f t="shared" si="0"/>
        <v>IsActive</v>
      </c>
      <c r="C37" s="28" t="str">
        <f t="shared" si="1"/>
        <v>Is Active</v>
      </c>
      <c r="D37" s="28" t="str">
        <f t="shared" si="2"/>
        <v>isActive</v>
      </c>
      <c r="E37" s="28" t="str">
        <f>A.Backend!H31</f>
        <v>string</v>
      </c>
      <c r="F37" s="28" t="str">
        <f>A.Backend!G31</f>
        <v>1</v>
      </c>
      <c r="G37" s="28" t="str">
        <f t="shared" si="3"/>
        <v xml:space="preserve"> : string = '' ; </v>
      </c>
      <c r="H37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7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7" s="28"/>
      <c r="K37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7" s="56" t="str">
        <f t="shared" si="7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isActive : string = '' ; </v>
      </c>
      <c r="T37" s="28" t="str">
        <f t="shared" si="14"/>
        <v xml:space="preserve">			this.isActive,</v>
      </c>
      <c r="U37" s="28" t="str">
        <f t="shared" si="15"/>
        <v xml:space="preserve">		this.isActive = '',</v>
      </c>
      <c r="V37" s="28" t="str">
        <f t="shared" si="8"/>
        <v>isActive</v>
      </c>
    </row>
    <row r="3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358</v>
      </c>
    </row>
    <row r="7" spans="1:2" x14ac:dyDescent="0.25">
      <c r="A7" t="s">
        <v>24</v>
      </c>
      <c r="B7" t="s">
        <v>353</v>
      </c>
    </row>
    <row r="8" spans="1:2" x14ac:dyDescent="0.25">
      <c r="A8" t="s">
        <v>4</v>
      </c>
      <c r="B8" t="s">
        <v>353</v>
      </c>
    </row>
    <row r="9" spans="1:2" x14ac:dyDescent="0.25">
      <c r="A9" t="s">
        <v>0</v>
      </c>
      <c r="B9" t="s">
        <v>354</v>
      </c>
    </row>
    <row r="10" spans="1:2" x14ac:dyDescent="0.25">
      <c r="A10" t="s">
        <v>25</v>
      </c>
      <c r="B10" t="s">
        <v>357</v>
      </c>
    </row>
    <row r="11" spans="1:2" x14ac:dyDescent="0.25">
      <c r="A11" t="s">
        <v>26</v>
      </c>
      <c r="B11" t="s">
        <v>357</v>
      </c>
    </row>
    <row r="12" spans="1:2" x14ac:dyDescent="0.25">
      <c r="A12" t="s">
        <v>27</v>
      </c>
      <c r="B12" t="s">
        <v>357</v>
      </c>
    </row>
    <row r="13" spans="1:2" x14ac:dyDescent="0.25">
      <c r="A13" t="s">
        <v>28</v>
      </c>
      <c r="B13" t="s">
        <v>357</v>
      </c>
    </row>
    <row r="14" spans="1:2" x14ac:dyDescent="0.25">
      <c r="A14" t="s">
        <v>29</v>
      </c>
      <c r="B14" t="s">
        <v>357</v>
      </c>
    </row>
    <row r="15" spans="1:2" x14ac:dyDescent="0.25">
      <c r="A15" t="s">
        <v>30</v>
      </c>
      <c r="B15" t="s">
        <v>357</v>
      </c>
    </row>
    <row r="16" spans="1:2" x14ac:dyDescent="0.25">
      <c r="A16" t="s">
        <v>31</v>
      </c>
      <c r="B16" t="s">
        <v>355</v>
      </c>
    </row>
    <row r="17" spans="1:2" x14ac:dyDescent="0.25">
      <c r="A17" t="s">
        <v>3</v>
      </c>
      <c r="B17" t="s">
        <v>355</v>
      </c>
    </row>
    <row r="18" spans="1:2" x14ac:dyDescent="0.25">
      <c r="A18" t="s">
        <v>33</v>
      </c>
      <c r="B18" t="s">
        <v>355</v>
      </c>
    </row>
    <row r="19" spans="1:2" x14ac:dyDescent="0.25">
      <c r="A19" t="s">
        <v>2</v>
      </c>
      <c r="B19" t="s">
        <v>355</v>
      </c>
    </row>
    <row r="20" spans="1:2" x14ac:dyDescent="0.25">
      <c r="A20" t="s">
        <v>263</v>
      </c>
      <c r="B20" t="s">
        <v>356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2023-07-01T04:07:43Z</dcterms:modified>
</cp:coreProperties>
</file>
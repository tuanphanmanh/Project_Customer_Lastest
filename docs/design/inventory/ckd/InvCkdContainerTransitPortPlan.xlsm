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WIP\Production\prod\docs\design\inventory\ckd\"/>
    </mc:Choice>
  </mc:AlternateContent>
  <xr:revisionPtr revIDLastSave="0" documentId="13_ncr:1_{1A322B13-F794-452F-BB85-E163EE9B6397}" xr6:coauthVersionLast="47" xr6:coauthVersionMax="47" xr10:uidLastSave="{00000000-0000-0000-0000-000000000000}"/>
  <bookViews>
    <workbookView xWindow="-108" yWindow="-108" windowWidth="30936" windowHeight="16896" activeTab="1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I21" i="5" s="1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31" i="5"/>
  <c r="F31" i="5"/>
  <c r="V23" i="5"/>
  <c r="C23" i="5"/>
  <c r="B23" i="5"/>
  <c r="D23" i="5" s="1"/>
  <c r="T23" i="5" s="1"/>
  <c r="V22" i="5"/>
  <c r="C22" i="5"/>
  <c r="B22" i="5"/>
  <c r="D22" i="5" s="1"/>
  <c r="T22" i="5" s="1"/>
  <c r="C21" i="5"/>
  <c r="B21" i="5"/>
  <c r="D21" i="5" s="1"/>
  <c r="L24" i="1"/>
  <c r="G24" i="1"/>
  <c r="F30" i="5" s="1"/>
  <c r="E24" i="1"/>
  <c r="H24" i="1" s="1"/>
  <c r="E30" i="5" s="1"/>
  <c r="D24" i="1"/>
  <c r="V24" i="1" s="1"/>
  <c r="L23" i="1"/>
  <c r="G23" i="1"/>
  <c r="F29" i="5" s="1"/>
  <c r="E23" i="1"/>
  <c r="H23" i="1" s="1"/>
  <c r="E29" i="5" s="1"/>
  <c r="D23" i="1"/>
  <c r="V23" i="1" s="1"/>
  <c r="L22" i="1"/>
  <c r="G22" i="1"/>
  <c r="F28" i="5" s="1"/>
  <c r="E22" i="1"/>
  <c r="H22" i="1" s="1"/>
  <c r="W22" i="1" s="1"/>
  <c r="D22" i="1"/>
  <c r="V22" i="1" s="1"/>
  <c r="L21" i="1"/>
  <c r="G21" i="1"/>
  <c r="E21" i="1"/>
  <c r="H21" i="1" s="1"/>
  <c r="D21" i="1"/>
  <c r="V21" i="1" s="1"/>
  <c r="L20" i="1"/>
  <c r="G20" i="1"/>
  <c r="E20" i="1"/>
  <c r="H20" i="1" s="1"/>
  <c r="D20" i="1"/>
  <c r="V20" i="1" s="1"/>
  <c r="C30" i="5"/>
  <c r="B30" i="5"/>
  <c r="D30" i="5" s="1"/>
  <c r="T30" i="5" s="1"/>
  <c r="C29" i="5"/>
  <c r="B29" i="5"/>
  <c r="D29" i="5" s="1"/>
  <c r="T29" i="5" s="1"/>
  <c r="C28" i="5"/>
  <c r="B28" i="5"/>
  <c r="D28" i="5" s="1"/>
  <c r="T28" i="5" s="1"/>
  <c r="C27" i="5"/>
  <c r="B27" i="5"/>
  <c r="D27" i="5" s="1"/>
  <c r="T27" i="5" s="1"/>
  <c r="C26" i="5"/>
  <c r="B26" i="5"/>
  <c r="D26" i="5" s="1"/>
  <c r="T26" i="5" s="1"/>
  <c r="C25" i="5"/>
  <c r="B25" i="5"/>
  <c r="D25" i="5" s="1"/>
  <c r="T25" i="5" s="1"/>
  <c r="C24" i="5"/>
  <c r="B24" i="5"/>
  <c r="D24" i="5" s="1"/>
  <c r="T24" i="5" s="1"/>
  <c r="C20" i="5"/>
  <c r="B20" i="5"/>
  <c r="D20" i="5" s="1"/>
  <c r="T20" i="5" s="1"/>
  <c r="C19" i="5"/>
  <c r="B19" i="5"/>
  <c r="D19" i="5" s="1"/>
  <c r="T19" i="5" s="1"/>
  <c r="C18" i="5"/>
  <c r="B18" i="5"/>
  <c r="D18" i="5" s="1"/>
  <c r="T18" i="5" s="1"/>
  <c r="G25" i="1"/>
  <c r="E25" i="1"/>
  <c r="H25" i="1" s="1"/>
  <c r="W25" i="1" s="1"/>
  <c r="D25" i="1"/>
  <c r="E28" i="5" l="1"/>
  <c r="V21" i="5"/>
  <c r="G21" i="5"/>
  <c r="G22" i="5"/>
  <c r="K21" i="5"/>
  <c r="T21" i="5"/>
  <c r="S21" i="5"/>
  <c r="K22" i="5"/>
  <c r="H21" i="5"/>
  <c r="H22" i="5"/>
  <c r="L21" i="5"/>
  <c r="I22" i="5"/>
  <c r="G23" i="5"/>
  <c r="S23" i="5" s="1"/>
  <c r="H23" i="5"/>
  <c r="L22" i="5"/>
  <c r="I23" i="5"/>
  <c r="U21" i="5"/>
  <c r="S22" i="5"/>
  <c r="K23" i="5"/>
  <c r="L23" i="5"/>
  <c r="U22" i="5"/>
  <c r="U23" i="5"/>
  <c r="I21" i="1"/>
  <c r="W24" i="1"/>
  <c r="J24" i="1"/>
  <c r="O24" i="1"/>
  <c r="N24" i="1"/>
  <c r="M24" i="1"/>
  <c r="I24" i="1"/>
  <c r="P21" i="1"/>
  <c r="P20" i="1"/>
  <c r="P24" i="1"/>
  <c r="T24" i="1"/>
  <c r="T20" i="1"/>
  <c r="W23" i="1"/>
  <c r="N20" i="1"/>
  <c r="J20" i="1"/>
  <c r="I20" i="1"/>
  <c r="O20" i="1"/>
  <c r="W20" i="1"/>
  <c r="M20" i="1"/>
  <c r="I22" i="1"/>
  <c r="M21" i="1"/>
  <c r="J22" i="1"/>
  <c r="N21" i="1"/>
  <c r="I23" i="1"/>
  <c r="O21" i="1"/>
  <c r="M22" i="1"/>
  <c r="J23" i="1"/>
  <c r="J21" i="1"/>
  <c r="N22" i="1"/>
  <c r="T21" i="1"/>
  <c r="O22" i="1"/>
  <c r="M23" i="1"/>
  <c r="P22" i="1"/>
  <c r="N23" i="1"/>
  <c r="W21" i="1"/>
  <c r="T22" i="1"/>
  <c r="O23" i="1"/>
  <c r="P23" i="1"/>
  <c r="T23" i="1"/>
  <c r="M25" i="1"/>
  <c r="O25" i="1"/>
  <c r="P25" i="1"/>
  <c r="T25" i="1"/>
  <c r="I25" i="1"/>
  <c r="V25" i="1"/>
  <c r="J25" i="1"/>
  <c r="N25" i="1"/>
  <c r="B7" i="5"/>
  <c r="B6" i="5"/>
  <c r="B2" i="5"/>
  <c r="I27" i="1"/>
  <c r="G31" i="5" l="1"/>
  <c r="B8" i="5"/>
  <c r="B3" i="5"/>
  <c r="L19" i="1"/>
  <c r="G19" i="1"/>
  <c r="E19" i="1"/>
  <c r="H19" i="1" s="1"/>
  <c r="D19" i="1"/>
  <c r="V19" i="1" s="1"/>
  <c r="G18" i="1"/>
  <c r="E18" i="1"/>
  <c r="H18" i="1" s="1"/>
  <c r="D18" i="1"/>
  <c r="T18" i="1" s="1"/>
  <c r="L17" i="1"/>
  <c r="G17" i="1"/>
  <c r="E17" i="1"/>
  <c r="H17" i="1" s="1"/>
  <c r="D17" i="1"/>
  <c r="V17" i="1" s="1"/>
  <c r="L16" i="1"/>
  <c r="G16" i="1"/>
  <c r="E16" i="1"/>
  <c r="H16" i="1" s="1"/>
  <c r="D16" i="1"/>
  <c r="T16" i="1" s="1"/>
  <c r="L15" i="1"/>
  <c r="G15" i="1"/>
  <c r="E15" i="1"/>
  <c r="H15" i="1" s="1"/>
  <c r="D15" i="1"/>
  <c r="V15" i="1" s="1"/>
  <c r="G14" i="1"/>
  <c r="E14" i="1"/>
  <c r="H14" i="1" s="1"/>
  <c r="D14" i="1"/>
  <c r="T14" i="1" s="1"/>
  <c r="K28" i="5" l="1"/>
  <c r="I28" i="5"/>
  <c r="I25" i="5"/>
  <c r="K25" i="5"/>
  <c r="I26" i="5"/>
  <c r="K26" i="5"/>
  <c r="I20" i="5"/>
  <c r="K20" i="5"/>
  <c r="K30" i="5"/>
  <c r="I30" i="5"/>
  <c r="I27" i="5"/>
  <c r="K27" i="5"/>
  <c r="I24" i="5"/>
  <c r="K24" i="5"/>
  <c r="H20" i="5"/>
  <c r="U20" i="5"/>
  <c r="G20" i="5"/>
  <c r="S20" i="5" s="1"/>
  <c r="L20" i="5"/>
  <c r="V20" i="5"/>
  <c r="G28" i="5"/>
  <c r="S28" i="5" s="1"/>
  <c r="V28" i="5"/>
  <c r="U28" i="5"/>
  <c r="L28" i="5"/>
  <c r="H28" i="5"/>
  <c r="H30" i="5"/>
  <c r="G30" i="5"/>
  <c r="S30" i="5" s="1"/>
  <c r="V30" i="5"/>
  <c r="U30" i="5"/>
  <c r="L30" i="5"/>
  <c r="U26" i="5"/>
  <c r="H26" i="5"/>
  <c r="G26" i="5"/>
  <c r="S26" i="5" s="1"/>
  <c r="V26" i="5"/>
  <c r="L26" i="5"/>
  <c r="L24" i="5"/>
  <c r="V24" i="5"/>
  <c r="H24" i="5"/>
  <c r="G24" i="5"/>
  <c r="S24" i="5" s="1"/>
  <c r="U24" i="5"/>
  <c r="G25" i="5"/>
  <c r="S25" i="5" s="1"/>
  <c r="L25" i="5"/>
  <c r="H25" i="5"/>
  <c r="V25" i="5"/>
  <c r="U25" i="5"/>
  <c r="L27" i="5"/>
  <c r="V27" i="5"/>
  <c r="U27" i="5"/>
  <c r="H27" i="5"/>
  <c r="G27" i="5"/>
  <c r="S27" i="5" s="1"/>
  <c r="M18" i="1"/>
  <c r="I18" i="1"/>
  <c r="P15" i="1"/>
  <c r="W15" i="1"/>
  <c r="P19" i="1"/>
  <c r="W19" i="1"/>
  <c r="O19" i="1"/>
  <c r="J19" i="1"/>
  <c r="N19" i="1"/>
  <c r="I19" i="1"/>
  <c r="M19" i="1"/>
  <c r="N18" i="1"/>
  <c r="V18" i="1"/>
  <c r="J18" i="1"/>
  <c r="O18" i="1"/>
  <c r="W18" i="1"/>
  <c r="T19" i="1"/>
  <c r="P18" i="1"/>
  <c r="P17" i="1"/>
  <c r="W17" i="1"/>
  <c r="O17" i="1"/>
  <c r="J17" i="1"/>
  <c r="N17" i="1"/>
  <c r="I17" i="1"/>
  <c r="M17" i="1"/>
  <c r="M16" i="1"/>
  <c r="N16" i="1"/>
  <c r="I16" i="1"/>
  <c r="W16" i="1"/>
  <c r="O16" i="1"/>
  <c r="J16" i="1"/>
  <c r="M14" i="1"/>
  <c r="N14" i="1"/>
  <c r="I14" i="1"/>
  <c r="W14" i="1"/>
  <c r="O14" i="1"/>
  <c r="J14" i="1"/>
  <c r="M15" i="1"/>
  <c r="T15" i="1"/>
  <c r="T17" i="1"/>
  <c r="V14" i="1"/>
  <c r="V16" i="1"/>
  <c r="I15" i="1"/>
  <c r="N15" i="1"/>
  <c r="P16" i="1"/>
  <c r="P14" i="1"/>
  <c r="J15" i="1"/>
  <c r="O15" i="1"/>
  <c r="C31" i="5"/>
  <c r="B31" i="5"/>
  <c r="D31" i="5" s="1"/>
  <c r="C17" i="5"/>
  <c r="B17" i="5"/>
  <c r="D17" i="5" s="1"/>
  <c r="T17" i="5" s="1"/>
  <c r="C16" i="5"/>
  <c r="B16" i="5"/>
  <c r="D16" i="5" s="1"/>
  <c r="T16" i="5" s="1"/>
  <c r="K31" i="5" l="1"/>
  <c r="K29" i="5"/>
  <c r="I29" i="5"/>
  <c r="I31" i="5"/>
  <c r="H31" i="5"/>
  <c r="T31" i="5"/>
  <c r="U31" i="5"/>
  <c r="V31" i="5"/>
  <c r="S31" i="5"/>
  <c r="L29" i="5"/>
  <c r="H29" i="5"/>
  <c r="G29" i="5"/>
  <c r="S29" i="5" s="1"/>
  <c r="V29" i="5"/>
  <c r="U29" i="5"/>
  <c r="B6" i="1"/>
  <c r="G13" i="1"/>
  <c r="E13" i="1"/>
  <c r="H13" i="1" s="1"/>
  <c r="D13" i="1"/>
  <c r="V13" i="1" s="1"/>
  <c r="I19" i="5" l="1"/>
  <c r="K19" i="5"/>
  <c r="H19" i="5"/>
  <c r="G19" i="5"/>
  <c r="S19" i="5" s="1"/>
  <c r="V19" i="5"/>
  <c r="U19" i="5"/>
  <c r="L19" i="5"/>
  <c r="W13" i="1"/>
  <c r="N13" i="1"/>
  <c r="I13" i="1"/>
  <c r="M13" i="1"/>
  <c r="O13" i="1"/>
  <c r="J13" i="1"/>
  <c r="P13" i="1"/>
  <c r="T13" i="1"/>
  <c r="C15" i="5"/>
  <c r="B15" i="5"/>
  <c r="D15" i="5" s="1"/>
  <c r="T15" i="5" s="1"/>
  <c r="L12" i="1"/>
  <c r="G12" i="1"/>
  <c r="E12" i="1"/>
  <c r="H12" i="1" s="1"/>
  <c r="D12" i="1"/>
  <c r="V12" i="1" s="1"/>
  <c r="G11" i="1"/>
  <c r="E11" i="1"/>
  <c r="H11" i="1" s="1"/>
  <c r="D11" i="1"/>
  <c r="T11" i="1" s="1"/>
  <c r="I18" i="5" l="1"/>
  <c r="K18" i="5"/>
  <c r="I17" i="5"/>
  <c r="K17" i="5"/>
  <c r="H18" i="5"/>
  <c r="G18" i="5"/>
  <c r="S18" i="5" s="1"/>
  <c r="V18" i="5"/>
  <c r="U18" i="5"/>
  <c r="L18" i="5"/>
  <c r="G17" i="5"/>
  <c r="S17" i="5" s="1"/>
  <c r="V17" i="5"/>
  <c r="U17" i="5"/>
  <c r="H17" i="5"/>
  <c r="L31" i="5"/>
  <c r="L17" i="5"/>
  <c r="M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G9" i="1" l="1"/>
  <c r="F15" i="5" s="1"/>
  <c r="E9" i="1"/>
  <c r="H9" i="1" s="1"/>
  <c r="E15" i="5" s="1"/>
  <c r="D9" i="1"/>
  <c r="V9" i="1" s="1"/>
  <c r="I15" i="5" l="1"/>
  <c r="K15" i="5"/>
  <c r="U15" i="5"/>
  <c r="H15" i="5"/>
  <c r="G15" i="5"/>
  <c r="S15" i="5" s="1"/>
  <c r="V15" i="5"/>
  <c r="L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E10" i="1"/>
  <c r="H10" i="1" s="1"/>
  <c r="D10" i="1"/>
  <c r="T10" i="1" s="1"/>
  <c r="I16" i="5" l="1"/>
  <c r="K16" i="5"/>
  <c r="V16" i="5"/>
  <c r="U16" i="5"/>
  <c r="H16" i="5"/>
  <c r="G16" i="5"/>
  <c r="S16" i="5" s="1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9" i="3" s="1"/>
  <c r="K7" i="1"/>
  <c r="H6" i="1"/>
  <c r="R10" i="5" l="1"/>
  <c r="M76" i="3" s="1"/>
  <c r="N69" i="3" l="1"/>
  <c r="P10" i="5" l="1"/>
  <c r="K76" i="3" s="1"/>
  <c r="Q10" i="5"/>
  <c r="L76" i="3" s="1"/>
  <c r="B74" i="3"/>
  <c r="C74" i="3" s="1"/>
  <c r="M14" i="5"/>
  <c r="H75" i="3" s="1"/>
  <c r="L14" i="5"/>
  <c r="G75" i="3" s="1"/>
  <c r="K14" i="5"/>
  <c r="F75" i="3" s="1"/>
  <c r="L75" i="3"/>
  <c r="K75" i="3"/>
  <c r="O14" i="5"/>
  <c r="J75" i="3" s="1"/>
  <c r="N14" i="5"/>
  <c r="I75" i="3" s="1"/>
  <c r="J14" i="5"/>
  <c r="E75" i="3" s="1"/>
  <c r="I14" i="5"/>
  <c r="D75" i="3" s="1"/>
  <c r="H14" i="5"/>
  <c r="C75" i="3" s="1"/>
  <c r="O10" i="5"/>
  <c r="J76" i="3" s="1"/>
  <c r="N10" i="5"/>
  <c r="I76" i="3" s="1"/>
  <c r="M10" i="5"/>
  <c r="H76" i="3" s="1"/>
  <c r="J10" i="5"/>
  <c r="E76" i="3" s="1"/>
  <c r="N3" i="1" l="1"/>
  <c r="M3" i="1"/>
  <c r="O3" i="1"/>
  <c r="V27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27" i="1"/>
  <c r="T7" i="1" l="1"/>
  <c r="W27" i="1"/>
  <c r="G6" i="1" l="1"/>
  <c r="U13" i="5"/>
  <c r="K13" i="5"/>
  <c r="H13" i="5"/>
  <c r="V13" i="5"/>
  <c r="S13" i="5"/>
  <c r="L13" i="5"/>
  <c r="I13" i="5"/>
  <c r="H10" i="5" l="1"/>
  <c r="C76" i="3" s="1"/>
  <c r="K10" i="5"/>
  <c r="F76" i="3" s="1"/>
  <c r="I10" i="5"/>
  <c r="D76" i="3" s="1"/>
  <c r="L10" i="5"/>
  <c r="G76" i="3" s="1"/>
  <c r="L69" i="3"/>
  <c r="D69" i="3"/>
  <c r="D6" i="1"/>
  <c r="L3" i="1" l="1"/>
  <c r="J3" i="1"/>
  <c r="H3" i="1"/>
  <c r="C6" i="1" l="1"/>
  <c r="P7" i="1" s="1"/>
  <c r="S3" i="1"/>
  <c r="S7" i="1" s="1"/>
  <c r="E6" i="1"/>
  <c r="F69" i="3"/>
  <c r="I3" i="1" l="1"/>
  <c r="B7" i="1"/>
  <c r="L25" i="1" l="1"/>
  <c r="L13" i="1"/>
  <c r="L11" i="1"/>
  <c r="L18" i="1"/>
  <c r="L14" i="1"/>
  <c r="L9" i="1"/>
  <c r="L10" i="1"/>
  <c r="C7" i="1"/>
  <c r="N27" i="1"/>
  <c r="P27" i="1"/>
  <c r="J27" i="1"/>
  <c r="O27" i="1"/>
  <c r="Q7" i="1" l="1"/>
  <c r="M69" i="3" s="1"/>
  <c r="L7" i="1"/>
  <c r="G69" i="3" s="1"/>
  <c r="K69" i="3"/>
  <c r="J69" i="3"/>
  <c r="K27" i="1"/>
  <c r="M27" i="1"/>
  <c r="J7" i="1" l="1"/>
  <c r="C69" i="3" s="1"/>
  <c r="R7" i="1"/>
  <c r="I69" i="3" s="1"/>
  <c r="M7" i="1"/>
  <c r="H69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68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8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8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8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8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8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8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8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8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8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8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8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<sst xmlns="http://schemas.openxmlformats.org/spreadsheetml/2006/main" count="507" uniqueCount="388">
  <si>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</si>
  <si>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</si>
  <si>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</si>
  <si>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</si>
  <si>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</si>
  <si>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</si>
  <si>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</si>
  <si>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</si>
  <si>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</si>
  <si>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</si>
  <si>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</si>
  <si>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</si>
  <si>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</si>
  <si>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</si>
  <si>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</si>
  <si>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</si>
  <si>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</si>
  <si>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</si>
  <si>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</si>
  <si>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</si>
  <si>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</si>
  <si>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</si>
  <si>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</si>
  <si>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</si>
  <si>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</si>
  <si>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</si>
  <si>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</si>
  <si>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</si>
  <si>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</si>
  <si>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</si>
  <si>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</si>
  <si>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</si>
  <si>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</si>
  <si>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</si>
  <si>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</si>
  <si>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</si>
  <si>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</si>
  <si>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</si>
  <si>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</si>
  <si>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</si>
  <si>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</si>
  <si>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</si>
  <si>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</si>
  <si>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</si>
  <si>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</si>
  <si>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</si>
  <si>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</si>
  <si>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</si>
  <si>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</si>
  <si>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</si>
  <si>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</si>
  <si>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</si>
  <si>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</si>
  <si>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</si>
  <si>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</si>
  <si>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</si>
  <si>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</si>
  <si>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</si>
  <si>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</si>
  <si>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</si>
  <si>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</si>
  <si>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</si>
  <si>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</si>
  <si>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</si>
  <si>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</si>
  <si>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</si>
  <si>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</si>
  <si>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</si>
  <si>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</si>
  <si>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</si>
  <si>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</si>
  <si>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</si>
  <si>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</si>
  <si>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</si>
  <si>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</si>
  <si>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</si>
  <si>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</si>
  <si>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</si>
  <si>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</si>
  <si>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</si>
  <si>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</si>
  <si>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</si>
  <si>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</si>
  <si>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</si>
  <si>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</si>
  <si>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</si>
  <si>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</si>
  <si>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</si>
  <si>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</si>
  <si>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</si>
  <si>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</si>
  <si>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</si>
  <si>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</si>
  <si>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</si>
  <si>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</si>
  <si>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</si>
  <si>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</si>
  <si>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</si>
  <si>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</si>
  <si>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</si>
  <si>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</si>
  <si>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</si>
  <si>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</si>
  <si>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</si>
  <si>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</si>
  <si>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</si>
  <si>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</si>
  <si>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</si>
  <si>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</si>
  <si>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</si>
  <si>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</si>
  <si>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</si>
  <si>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</si>
  <si>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</si>
  <si>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</si>
  <si>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</si>
  <si>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</si>
  <si>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</si>
  <si>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</si>
  <si>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</si>
  <si>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</si>
  <si>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</si>
  <si>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</si>
  <si>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</si>
  <si>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</si>
  <si>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</si>
  <si>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</si>
  <si>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</si>
  <si>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</si>
  <si>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</si>
  <si>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</si>
  <si>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</si>
  <si>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</si>
  <si>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</si>
  <si>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</si>
  <si>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</si>
  <si>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</si>
  <si>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</si>
  <si>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</si>
  <si>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</si>
  <si>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</si>
  <si>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</si>
  <si>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</si>
  <si>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</si>
  <si>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</si>
  <si>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</si>
  <si>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</si>
  <si>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</si>
  <si>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</si>
  <si>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</si>
  <si>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</si>
  <si>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</si>
  <si>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</si>
  <si>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</si>
  <si>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</si>
  <si>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</si>
  <si>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</si>
  <si>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</si>
  <si>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</si>
  <si>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</si>
  <si>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</si>
  <si>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</si>
  <si>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</si>
  <si>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</si>
  <si>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</si>
  <si>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</si>
  <si>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</si>
  <si>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</si>
  <si>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</si>
  <si>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</si>
  <si>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</si>
  <si>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</si>
  <si>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</si>
  <si>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</si>
  <si>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</si>
  <si>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</si>
  <si>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</si>
  <si>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</si>
  <si>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</si>
  <si>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</si>
  <si>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</si>
  <si>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</si>
  <si>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</si>
  <si>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</si>
  <si>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</si>
  <si>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</si>
  <si>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</si>
  <si>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</si>
  <si>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</si>
  <si>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</si>
  <si>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</si>
  <si>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</si>
  <si>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</si>
  <si>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</si>
  <si>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</si>
  <si>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</si>
  <si>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</si>
  <si>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</si>
  <si>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</si>
  <si>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</si>
  <si>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</si>
  <si>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</si>
  <si>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</si>
  <si>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</si>
  <si>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</si>
  <si>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</si>
  <si>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</si>
  <si>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</si>
  <si>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</si>
  <si>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</si>
  <si>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</si>
  <si>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</si>
  <si>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</si>
  <si>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</si>
  <si>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</si>
  <si>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</si>
  <si>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</si>
  <si>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</si>
  <si>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</si>
  <si>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</si>
  <si>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</si>
  <si>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</si>
  <si>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</si>
  <si>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</si>
  <si>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</si>
  <si>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</si>
  <si>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</si>
  <si>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</si>
  <si>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</si>
  <si>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</si>
  <si>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</si>
  <si>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</si>
  <si>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</si>
  <si>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</si>
  <si>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</si>
  <si>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</si>
  <si>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</si>
  <si>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</si>
  <si>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</si>
  <si>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</si>
  <si>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</si>
  <si>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</si>
  <si>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</si>
  <si>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</si>
  <si>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</si>
  <si>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</si>
  <si>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</si>
  <si>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</si>
  <si>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</si>
  <si>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</si>
  <si>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</si>
  <si>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</si>
  <si>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</si>
  <si>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</si>
  <si>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</si>
  <si>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</si>
  <si>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</si>
  <si>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</si>
  <si>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</si>
  <si>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</si>
  <si>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</si>
  <si>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</si>
  <si>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</si>
  <si>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</si>
  <si>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</si>
  <si>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</si>
  <si>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</si>
  <si>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</si>
  <si>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</si>
  <si>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</si>
  <si>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</si>
  <si>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</si>
  <si>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</si>
  <si>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</si>
  <si>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</si>
  <si>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</si>
  <si>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</si>
  <si>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</si>
  <si>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</si>
  <si>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</si>
  <si>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</si>
  <si>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</si>
  <si>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</si>
  <si>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</si>
  <si>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</si>
  <si>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</si>
  <si>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</si>
  <si>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</si>
  <si>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</si>
  <si>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</si>
  <si>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</si>
  <si>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</si>
  <si>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</si>
  <si>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</si>
  <si>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</si>
  <si>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</si>
  <si>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</si>
  <si>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</si>
  <si>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</si>
  <si>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</si>
  <si>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</si>
  <si>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</si>
  <si>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</si>
  <si>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</si>
  <si>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</si>
  <si>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</si>
  <si>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</si>
  <si>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</si>
  <si>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</si>
  <si>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</si>
  <si>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</si>
  <si>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</si>
  <si>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</si>
  <si>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</si>
  <si>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</si>
  <si>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</si>
  <si>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</si>
  <si>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</si>
  <si>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</si>
  <si>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</si>
  <si>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</si>
  <si>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</si>
  <si>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</si>
  <si>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</si>
  <si>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</si>
  <si>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</si>
  <si>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</si>
  <si>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</si>
  <si>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</si>
  <si>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</si>
  <si>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</si>
  <si>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</si>
  <si>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</si>
  <si>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</si>
  <si>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</si>
  <si>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</si>
  <si>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</si>
  <si>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</si>
  <si>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</si>
  <si>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</si>
  <si>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</si>
  <si>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</si>
  <si>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</si>
  <si>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</si>
  <si>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</si>
  <si>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</si>
  <si>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</si>
  <si>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</si>
  <si>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</si>
  <si>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</si>
  <si>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int?</t>
  </si>
  <si>
    <t>long?</t>
  </si>
  <si>
    <t>DateTime?</t>
  </si>
  <si>
    <t>TimeSpan?</t>
  </si>
  <si>
    <t>decimal?</t>
  </si>
  <si>
    <t>byte?</t>
  </si>
  <si>
    <t>CONTAINER_NO</t>
  </si>
  <si>
    <t>VARCHAR(1)</t>
  </si>
  <si>
    <t>RENBAN</t>
  </si>
  <si>
    <t>nvarchar(15)</t>
  </si>
  <si>
    <t>nvarchar(20)</t>
  </si>
  <si>
    <t>time(7)</t>
  </si>
  <si>
    <t>nvarchar(200)</t>
  </si>
  <si>
    <t>nvarchar(50)</t>
  </si>
  <si>
    <t>nvarchar(1000)</t>
  </si>
  <si>
    <t>nvarchar(10)</t>
  </si>
  <si>
    <t>REMARKS</t>
  </si>
  <si>
    <t>PORT_CODE</t>
  </si>
  <si>
    <t>PORT_NAME</t>
  </si>
  <si>
    <t>STATUS</t>
  </si>
  <si>
    <t>TRANSPORT</t>
  </si>
  <si>
    <t>CD_DATE</t>
  </si>
  <si>
    <t>LIST_LOT_NO</t>
  </si>
  <si>
    <t>LIST_CASE_NO</t>
  </si>
  <si>
    <t>SEAL_NO</t>
  </si>
  <si>
    <t>REQUEST_DATE</t>
  </si>
  <si>
    <t>REQUEST_TIME</t>
  </si>
  <si>
    <t>INVOICE_NO</t>
  </si>
  <si>
    <t>BILL_OF_LADING_NO</t>
  </si>
  <si>
    <t>SUPPLIER_NO</t>
  </si>
  <si>
    <t>Y</t>
  </si>
  <si>
    <t>CPS</t>
  </si>
  <si>
    <t>Cps</t>
  </si>
  <si>
    <t>InvCps</t>
  </si>
  <si>
    <t>nvarchar(100)</t>
  </si>
  <si>
    <t>InvCkdContainerTransitPortPlan</t>
  </si>
  <si>
    <t>ContainerTransitPortPlan</t>
  </si>
  <si>
    <t>Container Delivery Plan to Transit 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</si>
</sst>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78"/>
  <sheetViews>
    <sheetView topLeftCell="A18" zoomScaleNormal="100" workbookViewId="0">
      <selection activeCell="D56" sqref="D56"/>
    </sheetView>
  </sheetViews>
  <sheetFormatPr defaultColWidth="8.88671875" defaultRowHeight="14.4" x14ac:dyDescent="0.3"/>
  <cols>
    <col min="1" max="1" width="3.44140625" customWidth="1"/>
    <col min="2" max="2" width="18.44140625" customWidth="1"/>
    <col min="3" max="5" width="26.109375" customWidth="1"/>
    <col min="6" max="6" width="29.44140625" customWidth="1"/>
    <col min="7" max="10" width="26.109375" customWidth="1"/>
    <col min="11" max="11" width="26.44140625" customWidth="1"/>
    <col min="12" max="12" width="27.6640625" customWidth="1"/>
    <col min="13" max="13" width="25.44140625" customWidth="1"/>
    <col min="14" max="18" width="18.44140625" customWidth="1"/>
  </cols>
  <sheetData>
    <row r="1" spans="1:7" ht="23.4" x14ac:dyDescent="0.45">
      <c r="A1" s="14" t="s">
        <v>71</v>
      </c>
    </row>
    <row r="2" spans="1:7" ht="15.6" x14ac:dyDescent="0.3">
      <c r="A2" s="1"/>
      <c r="B2" s="25" t="s">
        <v>193</v>
      </c>
    </row>
    <row r="3" spans="1:7" x14ac:dyDescent="0.3">
      <c r="A3" s="1"/>
      <c r="B3" s="1" t="s">
        <v>74</v>
      </c>
    </row>
    <row r="4" spans="1:7" x14ac:dyDescent="0.3">
      <c r="A4" s="1"/>
      <c r="B4" t="s">
        <v>73</v>
      </c>
    </row>
    <row r="5" spans="1:7" x14ac:dyDescent="0.3">
      <c r="A5" s="1"/>
      <c r="B5" t="s">
        <v>76</v>
      </c>
    </row>
    <row r="6" spans="1:7" x14ac:dyDescent="0.3">
      <c r="A6" s="1"/>
      <c r="B6" t="s">
        <v>84</v>
      </c>
    </row>
    <row r="7" spans="1:7" x14ac:dyDescent="0.3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3">
      <c r="A8" s="1"/>
      <c r="C8" t="s">
        <v>86</v>
      </c>
      <c r="F8" s="1" t="s">
        <v>230</v>
      </c>
      <c r="G8" t="s">
        <v>230</v>
      </c>
    </row>
    <row r="9" spans="1:7" x14ac:dyDescent="0.3">
      <c r="A9" s="1"/>
      <c r="C9" t="s">
        <v>85</v>
      </c>
      <c r="F9" s="1" t="s">
        <v>95</v>
      </c>
      <c r="G9" t="s">
        <v>95</v>
      </c>
    </row>
    <row r="10" spans="1:7" x14ac:dyDescent="0.3">
      <c r="A10" s="1"/>
      <c r="D10" t="s">
        <v>86</v>
      </c>
      <c r="F10" s="1" t="s">
        <v>230</v>
      </c>
      <c r="G10" t="s">
        <v>281</v>
      </c>
    </row>
    <row r="11" spans="1:7" x14ac:dyDescent="0.3">
      <c r="A11" s="1"/>
      <c r="D11" t="s">
        <v>87</v>
      </c>
      <c r="F11" s="1" t="s">
        <v>96</v>
      </c>
      <c r="G11" t="s">
        <v>282</v>
      </c>
    </row>
    <row r="12" spans="1:7" x14ac:dyDescent="0.3">
      <c r="A12" s="1"/>
      <c r="D12" t="s">
        <v>88</v>
      </c>
      <c r="F12" s="1" t="s">
        <v>97</v>
      </c>
      <c r="G12" t="s">
        <v>283</v>
      </c>
    </row>
    <row r="13" spans="1:7" x14ac:dyDescent="0.3">
      <c r="A13" s="1"/>
      <c r="D13" t="s">
        <v>89</v>
      </c>
      <c r="F13" s="1" t="s">
        <v>98</v>
      </c>
      <c r="G13" t="s">
        <v>284</v>
      </c>
    </row>
    <row r="14" spans="1:7" x14ac:dyDescent="0.3">
      <c r="A14" s="1"/>
      <c r="D14" t="s">
        <v>90</v>
      </c>
      <c r="F14" s="1" t="s">
        <v>99</v>
      </c>
      <c r="G14" t="s">
        <v>285</v>
      </c>
    </row>
    <row r="15" spans="1:7" x14ac:dyDescent="0.3">
      <c r="A15" s="1"/>
      <c r="D15" t="s">
        <v>91</v>
      </c>
      <c r="F15" s="1" t="s">
        <v>100</v>
      </c>
      <c r="G15" t="s">
        <v>286</v>
      </c>
    </row>
    <row r="16" spans="1:7" ht="12" customHeight="1" x14ac:dyDescent="0.3">
      <c r="A16" s="1"/>
      <c r="D16" t="s">
        <v>266</v>
      </c>
      <c r="F16" s="1" t="s">
        <v>267</v>
      </c>
      <c r="G16" t="s">
        <v>287</v>
      </c>
    </row>
    <row r="17" spans="1:7" ht="12" customHeight="1" x14ac:dyDescent="0.3">
      <c r="A17" s="1"/>
      <c r="D17" t="s">
        <v>301</v>
      </c>
      <c r="F17" s="1" t="s">
        <v>302</v>
      </c>
      <c r="G17" t="s">
        <v>303</v>
      </c>
    </row>
    <row r="18" spans="1:7" x14ac:dyDescent="0.3">
      <c r="A18" s="1"/>
      <c r="D18" t="s">
        <v>346</v>
      </c>
      <c r="F18" s="1" t="s">
        <v>348</v>
      </c>
      <c r="G18" t="s">
        <v>347</v>
      </c>
    </row>
    <row r="19" spans="1:7" x14ac:dyDescent="0.3">
      <c r="A19" s="1"/>
      <c r="C19" t="s">
        <v>88</v>
      </c>
      <c r="F19" s="1" t="s">
        <v>97</v>
      </c>
      <c r="G19" t="s">
        <v>97</v>
      </c>
    </row>
    <row r="20" spans="1:7" x14ac:dyDescent="0.3">
      <c r="A20" s="1"/>
      <c r="D20" t="s">
        <v>92</v>
      </c>
      <c r="F20" s="1" t="s">
        <v>111</v>
      </c>
      <c r="G20" t="s">
        <v>288</v>
      </c>
    </row>
    <row r="21" spans="1:7" x14ac:dyDescent="0.3">
      <c r="A21" s="1"/>
      <c r="D21" t="s">
        <v>93</v>
      </c>
      <c r="F21" s="1" t="s">
        <v>101</v>
      </c>
      <c r="G21" t="s">
        <v>289</v>
      </c>
    </row>
    <row r="22" spans="1:7" x14ac:dyDescent="0.3">
      <c r="A22" s="1"/>
      <c r="C22" t="s">
        <v>89</v>
      </c>
      <c r="F22" s="1" t="s">
        <v>98</v>
      </c>
      <c r="G22" t="s">
        <v>98</v>
      </c>
    </row>
    <row r="23" spans="1:7" x14ac:dyDescent="0.3">
      <c r="A23" s="1"/>
      <c r="D23" t="s">
        <v>92</v>
      </c>
      <c r="F23" s="1" t="s">
        <v>111</v>
      </c>
      <c r="G23" t="s">
        <v>298</v>
      </c>
    </row>
    <row r="24" spans="1:7" x14ac:dyDescent="0.3">
      <c r="A24" s="1"/>
      <c r="C24" t="s">
        <v>87</v>
      </c>
      <c r="F24" s="1" t="s">
        <v>96</v>
      </c>
      <c r="G24" t="s">
        <v>96</v>
      </c>
    </row>
    <row r="25" spans="1:7" x14ac:dyDescent="0.3">
      <c r="A25" s="1"/>
      <c r="D25" t="s">
        <v>92</v>
      </c>
      <c r="F25" s="1" t="s">
        <v>111</v>
      </c>
      <c r="G25" t="s">
        <v>297</v>
      </c>
    </row>
    <row r="26" spans="1:7" x14ac:dyDescent="0.3">
      <c r="A26" s="1"/>
      <c r="C26" t="s">
        <v>90</v>
      </c>
      <c r="F26" s="1" t="s">
        <v>99</v>
      </c>
      <c r="G26" t="s">
        <v>99</v>
      </c>
    </row>
    <row r="27" spans="1:7" x14ac:dyDescent="0.3">
      <c r="A27" s="1"/>
      <c r="C27" t="s">
        <v>266</v>
      </c>
      <c r="F27" s="1" t="s">
        <v>267</v>
      </c>
      <c r="G27" t="s">
        <v>267</v>
      </c>
    </row>
    <row r="28" spans="1:7" x14ac:dyDescent="0.3">
      <c r="A28" s="1"/>
      <c r="D28" t="s">
        <v>268</v>
      </c>
      <c r="F28" s="1" t="s">
        <v>270</v>
      </c>
      <c r="G28" t="s">
        <v>290</v>
      </c>
    </row>
    <row r="29" spans="1:7" x14ac:dyDescent="0.3">
      <c r="A29" s="1"/>
      <c r="D29" t="s">
        <v>271</v>
      </c>
      <c r="F29" s="1" t="s">
        <v>269</v>
      </c>
      <c r="G29" t="s">
        <v>291</v>
      </c>
    </row>
    <row r="30" spans="1:7" x14ac:dyDescent="0.3">
      <c r="A30" s="1"/>
      <c r="D30" t="s">
        <v>272</v>
      </c>
      <c r="F30" s="1" t="s">
        <v>275</v>
      </c>
      <c r="G30" t="s">
        <v>292</v>
      </c>
    </row>
    <row r="31" spans="1:7" x14ac:dyDescent="0.3">
      <c r="A31" s="1"/>
      <c r="D31" t="s">
        <v>273</v>
      </c>
      <c r="F31" s="1" t="s">
        <v>276</v>
      </c>
      <c r="G31" t="s">
        <v>293</v>
      </c>
    </row>
    <row r="32" spans="1:7" x14ac:dyDescent="0.3">
      <c r="A32" s="1"/>
      <c r="D32" t="s">
        <v>274</v>
      </c>
      <c r="F32" s="1" t="s">
        <v>277</v>
      </c>
      <c r="G32" t="s">
        <v>294</v>
      </c>
    </row>
    <row r="33" spans="1:8" x14ac:dyDescent="0.3">
      <c r="A33" s="1"/>
      <c r="D33" t="s">
        <v>279</v>
      </c>
      <c r="F33" s="1" t="s">
        <v>278</v>
      </c>
      <c r="G33" t="s">
        <v>295</v>
      </c>
    </row>
    <row r="34" spans="1:8" x14ac:dyDescent="0.3">
      <c r="A34" s="1"/>
      <c r="C34" t="s">
        <v>301</v>
      </c>
      <c r="F34" s="1" t="s">
        <v>302</v>
      </c>
      <c r="G34" t="s">
        <v>302</v>
      </c>
    </row>
    <row r="35" spans="1:8" x14ac:dyDescent="0.3">
      <c r="A35" s="1"/>
      <c r="D35" t="s">
        <v>304</v>
      </c>
      <c r="F35" s="1" t="s">
        <v>305</v>
      </c>
      <c r="G35" t="s">
        <v>306</v>
      </c>
    </row>
    <row r="36" spans="1:8" x14ac:dyDescent="0.3">
      <c r="A36" s="1"/>
      <c r="D36" t="s">
        <v>93</v>
      </c>
      <c r="F36" s="1" t="s">
        <v>101</v>
      </c>
      <c r="G36" t="s">
        <v>307</v>
      </c>
    </row>
    <row r="37" spans="1:8" x14ac:dyDescent="0.3">
      <c r="A37" s="1"/>
      <c r="D37" t="s">
        <v>308</v>
      </c>
      <c r="F37" s="1" t="s">
        <v>309</v>
      </c>
      <c r="G37" t="s">
        <v>310</v>
      </c>
    </row>
    <row r="38" spans="1:8" x14ac:dyDescent="0.3">
      <c r="A38" s="1"/>
      <c r="D38" t="s">
        <v>311</v>
      </c>
      <c r="F38" s="1" t="s">
        <v>312</v>
      </c>
      <c r="G38" t="s">
        <v>313</v>
      </c>
    </row>
    <row r="39" spans="1:8" x14ac:dyDescent="0.3">
      <c r="A39" s="1"/>
      <c r="D39" t="s">
        <v>315</v>
      </c>
      <c r="F39" s="1" t="s">
        <v>316</v>
      </c>
      <c r="G39" t="s">
        <v>317</v>
      </c>
    </row>
    <row r="40" spans="1:8" x14ac:dyDescent="0.3">
      <c r="A40" s="1"/>
      <c r="C40" t="s">
        <v>314</v>
      </c>
      <c r="F40" s="1" t="s">
        <v>296</v>
      </c>
      <c r="G40" t="s">
        <v>296</v>
      </c>
    </row>
    <row r="41" spans="1:8" x14ac:dyDescent="0.3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3">
      <c r="A42" s="1"/>
      <c r="C42" t="s">
        <v>320</v>
      </c>
      <c r="F42" s="1" t="s">
        <v>333</v>
      </c>
      <c r="G42" t="s">
        <v>333</v>
      </c>
    </row>
    <row r="43" spans="1:8" x14ac:dyDescent="0.3">
      <c r="A43" s="1"/>
      <c r="D43" t="s">
        <v>321</v>
      </c>
      <c r="F43" s="1" t="s">
        <v>327</v>
      </c>
      <c r="G43" t="s">
        <v>334</v>
      </c>
    </row>
    <row r="44" spans="1:8" x14ac:dyDescent="0.3">
      <c r="A44" s="1"/>
      <c r="D44" t="s">
        <v>323</v>
      </c>
      <c r="F44" s="1" t="s">
        <v>328</v>
      </c>
      <c r="G44" t="s">
        <v>335</v>
      </c>
    </row>
    <row r="45" spans="1:8" x14ac:dyDescent="0.3">
      <c r="A45" s="1"/>
      <c r="D45" t="s">
        <v>322</v>
      </c>
      <c r="F45" s="1" t="s">
        <v>329</v>
      </c>
      <c r="G45" t="s">
        <v>336</v>
      </c>
    </row>
    <row r="46" spans="1:8" x14ac:dyDescent="0.3">
      <c r="A46" s="1"/>
      <c r="D46" t="s">
        <v>325</v>
      </c>
      <c r="F46" s="1" t="s">
        <v>330</v>
      </c>
      <c r="G46" t="s">
        <v>337</v>
      </c>
    </row>
    <row r="47" spans="1:8" x14ac:dyDescent="0.3">
      <c r="A47" s="1"/>
      <c r="D47" t="s">
        <v>343</v>
      </c>
      <c r="F47" s="1" t="s">
        <v>344</v>
      </c>
      <c r="G47" t="s">
        <v>345</v>
      </c>
    </row>
    <row r="48" spans="1:8" x14ac:dyDescent="0.3">
      <c r="A48" s="1"/>
      <c r="D48" t="s">
        <v>326</v>
      </c>
      <c r="F48" s="1" t="s">
        <v>331</v>
      </c>
      <c r="G48" t="s">
        <v>338</v>
      </c>
    </row>
    <row r="49" spans="1:7" x14ac:dyDescent="0.3">
      <c r="A49" s="1"/>
      <c r="D49" t="s">
        <v>324</v>
      </c>
      <c r="F49" s="1" t="s">
        <v>332</v>
      </c>
      <c r="G49" t="s">
        <v>339</v>
      </c>
    </row>
    <row r="50" spans="1:7" x14ac:dyDescent="0.3">
      <c r="A50" s="1"/>
      <c r="D50" t="s">
        <v>340</v>
      </c>
      <c r="F50" s="1" t="s">
        <v>341</v>
      </c>
      <c r="G50" t="s">
        <v>342</v>
      </c>
    </row>
    <row r="51" spans="1:7" x14ac:dyDescent="0.3">
      <c r="A51" s="1"/>
      <c r="D51" t="s">
        <v>381</v>
      </c>
      <c r="F51" s="1" t="s">
        <v>382</v>
      </c>
      <c r="G51" t="s">
        <v>383</v>
      </c>
    </row>
    <row r="52" spans="1:7" x14ac:dyDescent="0.3">
      <c r="A52" s="1"/>
    </row>
    <row r="53" spans="1:7" x14ac:dyDescent="0.3">
      <c r="A53" s="1"/>
      <c r="B53" t="s">
        <v>83</v>
      </c>
    </row>
    <row r="54" spans="1:7" x14ac:dyDescent="0.3">
      <c r="A54" s="1"/>
      <c r="B54" t="s">
        <v>80</v>
      </c>
    </row>
    <row r="55" spans="1:7" x14ac:dyDescent="0.3">
      <c r="A55" s="1"/>
      <c r="C55" s="17" t="s">
        <v>77</v>
      </c>
    </row>
    <row r="56" spans="1:7" x14ac:dyDescent="0.3">
      <c r="A56" s="1"/>
      <c r="C56" s="16" t="s">
        <v>78</v>
      </c>
    </row>
    <row r="57" spans="1:7" x14ac:dyDescent="0.3">
      <c r="A57" s="1"/>
      <c r="C57" s="16" t="s">
        <v>79</v>
      </c>
    </row>
    <row r="58" spans="1:7" x14ac:dyDescent="0.3">
      <c r="A58" s="1"/>
      <c r="B58" t="s">
        <v>103</v>
      </c>
      <c r="C58" s="16"/>
    </row>
    <row r="59" spans="1:7" x14ac:dyDescent="0.3">
      <c r="A59" s="1"/>
      <c r="C59" s="16" t="s">
        <v>104</v>
      </c>
    </row>
    <row r="60" spans="1:7" x14ac:dyDescent="0.3">
      <c r="A60" s="1"/>
      <c r="C60" s="16" t="s">
        <v>105</v>
      </c>
    </row>
    <row r="61" spans="1:7" x14ac:dyDescent="0.3">
      <c r="A61" s="1"/>
      <c r="C61" s="16" t="s">
        <v>106</v>
      </c>
    </row>
    <row r="62" spans="1:7" x14ac:dyDescent="0.3">
      <c r="A62" s="1"/>
      <c r="C62" s="16" t="s">
        <v>108</v>
      </c>
    </row>
    <row r="63" spans="1:7" x14ac:dyDescent="0.3">
      <c r="A63" s="1"/>
      <c r="C63" s="16" t="s">
        <v>110</v>
      </c>
    </row>
    <row r="64" spans="1:7" x14ac:dyDescent="0.3">
      <c r="A64" s="1"/>
      <c r="C64" s="16" t="s">
        <v>109</v>
      </c>
    </row>
    <row r="65" spans="1:14" x14ac:dyDescent="0.3">
      <c r="A65" s="1"/>
      <c r="C65" s="16" t="s">
        <v>107</v>
      </c>
    </row>
    <row r="66" spans="1:14" ht="21" customHeight="1" x14ac:dyDescent="0.3">
      <c r="B66" s="19" t="s">
        <v>75</v>
      </c>
    </row>
    <row r="67" spans="1:14" ht="21" customHeight="1" x14ac:dyDescent="0.3">
      <c r="B67" s="59" t="s">
        <v>227</v>
      </c>
    </row>
    <row r="68" spans="1:14" ht="15" thickBot="1" x14ac:dyDescent="0.35">
      <c r="C68" s="1" t="s">
        <v>69</v>
      </c>
      <c r="D68" s="1" t="s">
        <v>203</v>
      </c>
      <c r="E68" s="1" t="s">
        <v>204</v>
      </c>
      <c r="F68" s="1" t="s">
        <v>195</v>
      </c>
      <c r="G68" s="1" t="s">
        <v>196</v>
      </c>
      <c r="H68" s="1" t="s">
        <v>197</v>
      </c>
      <c r="I68" s="1" t="s">
        <v>198</v>
      </c>
      <c r="J68" s="1" t="s">
        <v>202</v>
      </c>
      <c r="K68" s="1" t="s">
        <v>205</v>
      </c>
      <c r="L68" s="1" t="s">
        <v>206</v>
      </c>
      <c r="M68" s="1" t="s">
        <v>207</v>
      </c>
      <c r="N68" s="1" t="s">
        <v>223</v>
      </c>
    </row>
    <row r="69" spans="1:14" s="15" customFormat="1" ht="21.75" customHeight="1" thickBot="1" x14ac:dyDescent="0.35">
      <c r="B69" s="49" t="s">
        <v>222</v>
      </c>
      <c r="C69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[Table("InvCkdContainerTransitPortPlan")]
	[Index(nameof(ContainerNo), Name="IX_InvCkdContainerTransitPortPlan_ContainerNo")]
	[Index(nameof(Renban), Name="IX_InvCkdContainerTransitPortPlan_Renban")]
	[Index(nameof(RequestDate), Name="IX_InvCkdContainerTransitPortPlan_RequestDate")]
	[Index(nameof(InvoiceNo), Name="IX_InvCkdContainerTransitPortPlan_InvoiceNo")]
	[Index(nameof(IsActive), Name="IX_InvCkdContainerTransitPortPlan_IsActive")]	public class InvCkdContainerTransitPortPlan: FullAuditedEntity&lt;long&gt;, IEntity&lt;long&gt;	
	{
		public const int MaxContainerNoLength = 15;
		public const int MaxRenbanLength = 20;
		public const int MaxInvoiceNoLength = 200;
		public const int MaxBillOfLadingNoLength = 200;
		public const int MaxSupplierNoLength = 50;
		public const int MaxSealNoLength = 20;
		public const int MaxListCaseNoLength = 1000;
		public const int MaxListLotNoLength = 1000;
		public const int MaxTransportLength = 50;
		public const int MaxStatusLength = 10;
		public const int MaxPortCodeLength = 50;
		public const int MaxPortNameLength = 100;
		public const int MaxRemarksLength = 200;
		public const int MaxIsActiveLength = 1;
		[StringLength(MaxContainerNoLength)]
		public virtual string ContainerNo { get; set; }
		[StringLength(MaxRenbanLength)]
		public virtual string Renban { get; set; }
		public virtual DateTime? RequestDate { get; set; }
		public virtual TimeSpan? RequestTime { get; set; }
		[StringLength(MaxInvoiceNoLength)]
		public virtual string InvoiceNo { get; set; }
		[StringLength(MaxBillOfLadingNoLength)]
		public virtual string BillOfLadingNo { get; set; }
		[StringLength(MaxSupplierNoLength)]
		public virtual string SupplierNo { get; set; }
		[StringLength(MaxSealNoLength)]
		public virtual string SealNo { get; set; }
		[StringLength(MaxListCaseNoLength)]
		public virtual string ListCaseNo { get; set; }
		[StringLength(MaxListLotNoLength)]
		public virtual string ListLotNo { get; set; }
		public virtual DateTime? CdDate { get; set; }
		[StringLength(MaxTransportLength)]
		public virtual string Transport { get; set; }
		[StringLength(MaxStatusLength)]
		public virtual string Status { get; set; }
		[StringLength(MaxPortCodeLength)]
		public virtual string PortCode { get; set; }
		[StringLength(MaxPortNameLength)]
		public virtual string PortName { get; set; }
		[StringLength(MaxRemarksLength)]
		public virtual string Remarks { get; set; }
		[StringLength(MaxIsActiveLength)]
		public virtual string IsActive { get; set; }
	}
}
</v>
      </c>
      <c r="D69" s="48" t="str">
        <f>A.Backend!O7</f>
        <v xml:space="preserve">		public const string Pages_Inventory_CKD_ContainerTransitPortPlan = "Pages.Inventory.CKD.ContainerTransitPortPlan";
		public const string Pages_Inventory_CKD_ContainerTransitPortPlan_CreateEdit = "Pages.Inventory.CKD.ContainerTransitPortPlan.CreateEdit";
		public const string Pages_Inventory_CKD_ContainerTransitPortPlan_Delete = "Pages.Inventory.CKD.ContainerTransitPortPlan.Delete";
</v>
      </c>
      <c r="E69" s="48" t="str">
        <f>A.Backend!N7</f>
        <v xml:space="preserve">		var perInvCkdContainerTransitPortPlan = PARENTS.CreateChildPermission(AppPermissions.Pages_Inventory_CKD_ContainerTransitPortPlan, L( "InventoryCKDContainerTransitPortPlan"), multiTenancySides: MultiTenancySides.Tenant);
		perInvCkdContainerTransitPortPlan.CreateChildPermission(AppPermissions.Pages_Inventory_CKD_ContainerTransitPortPlan_CreateEdit, L( "InventoryCKDContainerTransitPortPlanCreateEdit"), multiTenancySides: MultiTenancySides.Tenant);
		perInvCkdContainerTransitPortPlan.CreateChildPermission(AppPermissions.Pages_Inventory_CKD_ContainerTransitPortPlan_Delete, L( "InventoryCKDContainerTransitPortPlanDelete"), multiTenancySides: MultiTenancySides.Tenant);</v>
      </c>
      <c r="F69" s="48" t="str">
        <f>A.Backend!K7</f>
        <v>public virtual DbSet&lt;InvCkdContainerTransitPortPlan&gt; InvCkdContainerTransitPortPlans { get; set; }</v>
      </c>
      <c r="G69" s="48" t="str">
        <f ca="1">A.Backend!L7</f>
        <v xml:space="preserve">namespace prod.Inventory.CKD
{
	public class InvCkdContainerTransitPortPlanConsts	
	{
		public const int MaxContainerNoLength = 15;
		public const int MaxRenbanLength = 20;
		public const int MaxInvoiceNoLength = 200;
		public const int MaxBillOfLadingNoLength = 200;
		public const int MaxSupplierNoLength = 50;
		public const int MaxSealNoLength = 20;
		public const int MaxListCaseNoLength = 1000;
		public const int MaxListLotNoLength = 1000;
		public const int MaxTransportLength = 50;
		public const int MaxStatusLength = 10;
		public const int MaxPortCodeLength = 50;
		public const int MaxPortNameLength = 100;
		public const int MaxRemarksLength = 200;
		public const int MaxIsActiveLength = 1;
		// Define Store Name: Format SP_ + &lt;Store Name&gt; = &lt;Store Name&gt;
	}
}
</v>
      </c>
      <c r="H69" s="48" t="str">
        <f ca="1">A.Backend!M7</f>
        <v xml:space="preserve">using Abp.Application.Services.Dto;
using System;
using System.ComponentModel.DataAnnotations;
namespace prod.Inventory.CKD.Dto
{
	public class InvCkdContainerTransitPortPlanDto : EntityDto&lt;long?&gt;	
	{
		public virtual string ContainerNo { get; set; }
		public virtual string Renban { get; set; }
		public virtual DateTime? RequestDate { get; set; }
		public virtual TimeSpan? RequestTime { get; set; }
		public virtual string InvoiceNo { get; set; }
		public virtual string BillOfLadingNo { get; set; }
		public virtual string SupplierNo { get; set; }
		public virtual string SealNo { get; set; }
		public virtual string ListCaseNo { get; set; }
		public virtual string ListLotNo { get; set; }
		public virtual DateTime? CdDate { get; set; }
		public virtual string Transport { get; set; }
		public virtual string Status { get; set; }
		public virtual string PortCode { get; set; }
		public virtual string PortName { get; set; }
		public virtual string Remarks { get; set; }
		public virtual string IsActive { get; set; }
	}
	public class CreateOrEditInvCkdContainerTransitPortPlanDto : EntityDto&lt;long?&gt;	
	{
		[StringLength(InvCkdContainerTransitPortPlanConsts.MaxContainerNoLength)]
		public virtual string ContainerNo { get; set; }
		[StringLength(InvCkdContainerTransitPortPlanConsts.MaxRenbanLength)]
		public virtual string Renban { get; set; }
		public virtual DateTime? RequestDate { get; set; }
		public virtual TimeSpan? RequestTime { get; set; }
		[StringLength(InvCkdContainerTransitPortPlanConsts.MaxInvoiceNoLength)]
		public virtual string InvoiceNo { get; set; }
		[StringLength(InvCkdContainerTransitPortPlanConsts.MaxBillOfLadingNoLength)]
		public virtual string BillOfLadingNo { get; set; }
		[StringLength(InvCkdContainerTransitPortPlanConsts.MaxSupplierNoLength)]
		public virtual string SupplierNo { get; set; }
		[StringLength(InvCkdContainerTransitPortPlanConsts.MaxSealNoLength)]
		public virtual string SealNo { get; set; }
		[StringLength(InvCkdContainerTransitPortPlanConsts.MaxListCaseNoLength)]
		public virtual string ListCaseNo { get; set; }
		[StringLength(InvCkdContainerTransitPortPlanConsts.MaxListLotNoLength)]
		public virtual string ListLotNo { get; set; }
		public virtual DateTime? CdDate { get; set; }
		[StringLength(InvCkdContainerTransitPortPlanConsts.MaxTransportLength)]
		public virtual string Transport { get; set; }
		[StringLength(InvCkdContainerTransitPortPlanConsts.MaxStatusLength)]
		public virtual string Status { get; set; }
		[StringLength(InvCkdContainerTransitPortPlanConsts.MaxPortCodeLength)]
		public virtual string PortCode { get; set; }
		[StringLength(InvCkdContainerTransitPortPlanConsts.MaxPortNameLength)]
		public virtual string PortName { get; set; }
		[StringLength(InvCkdContainerTransitPortPlanConsts.MaxRemarksLength)]
		public virtual string Remarks { get; set; }
		[StringLength(InvCkdContainerTransitPortPlanConsts.MaxIsActiveLength)]
		public virtual string IsActive { get; set; }
	}
	public class GetInvCkdContainerTransitPortPlanInput : PagedAndSortedResultRequestDto	
	{
		public virtual string ContainerNo { get; set; }
		public virtual string Renban { get; set; }
		public virtual string InvoiceNo { get; set; }
		public virtual string BillOfLadingNo { get; set; }
		public virtual string SupplierNo { get; set; }
		public virtual string SealNo { get; set; }
		public virtual string ListCaseNo { get; set; }
		public virtual string ListLotNo { get; set; }
		public virtual string Transport { get; set; }
		public virtual string Status { get; set; }
		public virtual string PortCode { get; set; }
		public virtual string PortName { get; set; }
		public virtual string Remarks { get; set; }
		public virtual string IsActive { get; set; }
	}
}
</v>
      </c>
      <c r="I69" s="48" t="str">
        <f ca="1">A.Backend!R7</f>
        <v xml:space="preserve">using Abp.Application.Services.Dto;
using System;
using System.ComponentModel.DataAnnotations;
namespace prod.Inventory.CKD.Dto
{
	public class InvCkdContainerTransitPortPlanExportInput{
		public virtual string ContainerNo { get; set; }
		public virtual string Renban { get; set; }
		public virtual DateTime? RequestDate { get; set; }
		public virtual TimeSpan? RequestTime { get; set; }
		public virtual string InvoiceNo { get; set; }
		public virtual string BillOfLadingNo { get; set; }
		public virtual string SupplierNo { get; set; }
		public virtual string SealNo { get; set; }
		public virtual string ListCaseNo { get; set; }
		public virtual string ListLotNo { get; set; }
		public virtual DateTime? CdDate { get; set; }
		public virtual string Transport { get; set; }
		public virtual string Status { get; set; }
		public virtual string PortCode { get; set; }
		public virtual string PortName { get; set; }
		public virtual string Remarks { get; set; }
		public virtual string IsActive { get; set; }
	}
}
</v>
      </c>
      <c r="J69" s="48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IInvCkdContainerTransitPortPlanAppService : IApplicationService
	{
		Task&lt;PagedResultDto&lt;InvCkdContainerTransitPortPlanDto&gt;&gt; GetAll(GetInvCkdContainerTransitPortPlanInput input);
		Task CreateOrEdit(CreateOrEditInvCkdContainerTransitPortPlanDto input);
		Task Delete(EntityDto input);
	}
}
</v>
      </c>
      <c r="K69" s="48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IInvCkdContainerTransitPortPlanExcelExporter : IApplicationService
	{
		FileDto ExportToFile(List&lt;InvCkdContainerTransitPortPlanDto&gt; invckdcontainertransitportplan);
	}
}
</v>
      </c>
      <c r="L69" s="48" t="str">
        <f ca="1">A.Backend!T7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InvCkdContainerTransitPortPlanExcelExporter : NpoiExcelExporterBase, IInvCkdContainerTransitPortPlanExcelExporter
    {
        public InvCkdContainerTransitPortPlanExcelExporter(ITempFileCacheManager tempFileCacheManager) : base(tempFileCacheManager) { }
        public FileDto ExportToFile(List&lt;InvCkdContainerTransitPortPlanDto&gt; containertransitportplan)
        {
            return CreateExcelPackage(
				"InventoryCKDContainerTransitPortPlan.xlsx",
				excelPackage =&gt;
				 {
					var sheet = excelPackage.CreateSheet("ContainerTransitPortPlan");
					AddHeader(
								sheet,
								("ContainerNo"),
								("Renban"),
								("RequestDate"),
								("RequestTime"),
								("InvoiceNo"),
								("BillOfLadingNo"),
								("SupplierNo"),
								("SealNo"),
								("ListCaseNo"),
								("ListLotNo"),
								("CdDate"),
								("Transport"),
								("Status"),
								("PortCode"),
								("PortName"),
								("Remarks"),
								("IsActive"),
							   );
					AddObjects(
						 sheet, 1, containertransitportplan,                                       
								_ =&gt; _.ContainerNo,
								_ =&gt; _.Renban,
								_ =&gt; _.RequestDate,
								_ =&gt; _.RequestTime,
								_ =&gt; _.InvoiceNo,
								_ =&gt; _.BillOfLadingNo,
								_ =&gt; _.SupplierNo,
								_ =&gt; _.SealNo,
								_ =&gt; _.ListCaseNo,
								_ =&gt; _.ListLotNo,
								_ =&gt; _.CdDate,
								_ =&gt; _.Transport,
								_ =&gt; _.Status,
								_ =&gt; _.PortCode,
								_ =&gt; _.PortName,
								_ =&gt; _.Remarks,
								_ =&gt; _.IsActive,
								);
			for (var i = 0; i &lt; 8; i++)
				{
					sheet.AutoSizeColumn(i);
				}
			});
        }
    }
}</v>
      </c>
      <c r="M69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[AbpAuthorize(AppPermissions.Pages_Inventory_CKD_ContainerTransitPortPlan)]
    public class InvCkdContainerTransitPortPlanAppService : vovinaAppServiceBase, IInvCkdContainerTransitPortPlanAppService
    {
        private readonly IDapperRepository&lt;InvCkdContainerTransitPortPlan, long&gt; _dapperRepo;
        private readonly IRepository&lt;InvCkdContainerTransitPortPlan, long&gt; _repo;
        private readonly IInvCkdContainerTransitPortPlanExcelExporter _calendarListExcelExporter;
        public InvCkdContainerTransitPortPlanAppService(IRepository&lt;InvCkdContainerTransitPortPlan,long&gt; repo, 
                                         IDapperRepository&lt;InvCkdContainerTransitPortPlan,long&gt; dapperRepo,
                                        IInvCkdContainerTransitPortPlanExcelExporter calendarListExcelExporter
            )
        {
            _repo = repo;
            _dapperRepo = dapperRepo;
            _calendarListExcelExporter = calendarListExcelExporter;
        }
        [AbpAuthorize(AppPermissions.Pages_Inventory_CKD_ContainerTransitPortPlan_CreateEdit)]
        public async Task CreateOrEdit(CreateOrEditInvCkdContainerTransitPortPlanDto input)
        {
            if (input.Id == null) await Create(input);
            else await Update(input);
        }
        //CREATE
        private async Task Create(CreateOrEditInvCkdContainerTransitPortPlanDto input)
        {          
            var mainObj = ObjectMapper.Map&lt;InvCkdContainerTransitPortPlan&gt;(input);
            await CurrentUnitOfWork.GetDbContext&lt;vovinaDbContext&gt;().AddAsync(mainObj);
        }
        // EDIT
        private async Task Update(CreateOrEditInvCkdContainerTransitPortPlanDto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[AbpAuthorize(AppPermissions.Pages_Inventory_CKD_ContainerTransitPortPlan_Delete)]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Task&lt;PagedResultDto&lt;InvCkdContainerTransitPortPlanDto&gt;&gt; GetAll(GetInvCkdContainerTransitPortPlanInput input)
        {
            var filtered = _repo.GetAll()
				.WhereIf(!string.IsNullOrWhiteSpace(input.ContainerNo), e =&gt; e.ContainerNo.Contains(input.ContainerNo))
				.WhereIf(!string.IsNullOrWhiteSpace(input.Renban), e =&gt; e.Renban.Contains(input.Renban))
				.WhereIf(!string.IsNullOrWhiteSpace(input.InvoiceNo), e =&gt; e.InvoiceNo.Contains(input.InvoiceNo))
				.WhereIf(!string.IsNullOrWhiteSpace(input.BillOfLadingNo), e =&gt; e.BillOfLadingNo.Contains(input.BillOfLadingNo))
				.WhereIf(!string.IsNullOrWhiteSpace(input.SupplierNo), e =&gt; e.SupplierNo.Contains(input.SupplierNo))
				.WhereIf(!string.IsNullOrWhiteSpace(input.SealNo), e =&gt; e.SealNo.Contains(input.SealNo))
				.WhereIf(!string.IsNullOrWhiteSpace(input.ListCaseNo), e =&gt; e.ListCaseNo.Contains(input.ListCaseNo))
				.WhereIf(!string.IsNullOrWhiteSpace(input.ListLotNo), e =&gt; e.ListLotNo.Contains(input.ListLotNo))
				.WhereIf(!string.IsNullOrWhiteSpace(input.Transport), e =&gt; e.Transport.Contains(input.Transport))
				.WhereIf(!string.IsNullOrWhiteSpace(input.Status), e =&gt; e.Status.Contains(input.Status))
				.WhereIf(!string.IsNullOrWhiteSpace(input.PortCode), e =&gt; e.PortCode.Contains(input.PortCode))
				.WhereIf(!string.IsNullOrWhiteSpace(input.PortName), e =&gt; e.PortName.Contains(input.PortName))
				.WhereIf(!string.IsNullOrWhiteSpace(input.Remarks), e =&gt; e.Remarks.Contains(input.Remarks))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InvCkdContainerTransitPortPlanDto
                        {
							Id = o.Id,
							ContainerNo = o.ContainerNo,
							Renban = o.Renban,
							RequestDate = o.RequestDate,
							RequestTime = o.RequestTime,
							InvoiceNo = o.InvoiceNo,
							BillOfLadingNo = o.BillOfLadingNo,
							SupplierNo = o.SupplierNo,
							SealNo = o.SealNo,
							ListCaseNo = o.ListCaseNo,
							ListLotNo = o.ListLotNo,
							CdDate = o.CdDate,
							Transport = o.Transport,
							Status = o.Status,
							PortCode = o.PortCode,
							PortName = o.PortName,
							Remarks = o.Remarks,
							IsActive = o.IsActive,
                        };
            var totalCount = await filtered.CountAsync();
			var paged = system.PageBy(input);
            return new PagedResultDto&lt;InvCkdContainerTransitPortPlanDto&gt;(
                totalCount,
                 await paged.ToListAsync()
            );
        }
        public async Task&lt;FileDto&gt; GetContainerTransitPortPlanToExcel(InvCkdContainerTransitPortPlanExportInput input)
        {
            var query = from o in _repo.GetAll()
                        select new InvCkdContainerTransitPortPlanDto
                        {
							Id = o.Id,
							ContainerNo = o.ContainerNo,
							Renban = o.Renban,
							RequestDate = o.RequestDate,
							RequestTime = o.RequestTime,
							InvoiceNo = o.InvoiceNo,
							BillOfLadingNo = o.BillOfLadingNo,
							SupplierNo = o.SupplierNo,
							SealNo = o.SealNo,
							ListCaseNo = o.ListCaseNo,
							ListLotNo = o.ListLotNo,
							CdDate = o.CdDate,
							Transport = o.Transport,
							Status = o.Status,
							PortCode = o.PortCode,
							PortName = o.PortName,
							Remarks = o.Remarks,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_dapperRepo.ExecuteAsync(InvCkdContainerTransitPortPlanConsts.SP_MST_WPT_CALENDAR_GENERATE);
       // }
    }
}</v>
      </c>
      <c r="N69" s="58" t="str">
        <f>A.Backend!U7</f>
        <v xml:space="preserve">  configuration.CreateMap&lt;InvCkdContainerTransitPortPlanDto, InvCkdContainerTransitPortPlan&gt;();
  configuration.CreateMap&lt;InvCkdContainerTransitPortPlan, InvCkdContainerTransitPortPlanDto&gt;();
  configuration.CreateMap&lt;CreateOrEditInvCkdContainerTransitPortPlanDto, InvCkdContainerTransitPortPlan&gt;();</v>
      </c>
    </row>
    <row r="70" spans="1:14" s="15" customFormat="1" ht="21.75" customHeight="1" x14ac:dyDescent="0.3">
      <c r="C70" s="60"/>
      <c r="H70" s="61"/>
      <c r="I70" s="61"/>
      <c r="M70" s="61"/>
    </row>
    <row r="71" spans="1:14" s="15" customFormat="1" ht="21.75" customHeight="1" x14ac:dyDescent="0.3"/>
    <row r="72" spans="1:14" s="15" customFormat="1" ht="21.75" customHeight="1" x14ac:dyDescent="0.3"/>
    <row r="73" spans="1:14" x14ac:dyDescent="0.3">
      <c r="B73" s="1" t="s">
        <v>70</v>
      </c>
    </row>
    <row r="74" spans="1:14" ht="21" x14ac:dyDescent="0.4">
      <c r="B74" t="str">
        <f>B.Frontend!B8</f>
        <v>containertransitportplan</v>
      </c>
      <c r="C74" s="66" t="str">
        <f>"create folder " &amp;B74</f>
        <v>create folder containertransitportplan</v>
      </c>
      <c r="D74" s="66"/>
      <c r="E74" s="66"/>
      <c r="F74" s="66"/>
      <c r="G74" s="66"/>
      <c r="H74" s="66"/>
      <c r="I74" s="66"/>
      <c r="J74" s="66"/>
      <c r="K74" s="67" t="s">
        <v>224</v>
      </c>
      <c r="L74" s="67"/>
      <c r="M74" s="28"/>
    </row>
    <row r="75" spans="1:14" s="26" customFormat="1" ht="18" customHeight="1" x14ac:dyDescent="0.3">
      <c r="B75" s="56" t="s">
        <v>225</v>
      </c>
      <c r="C75" s="28" t="str">
        <f>B.Frontend!H14</f>
        <v>containertransitportplan.component.ts</v>
      </c>
      <c r="D75" s="28" t="str">
        <f>B.Frontend!I14</f>
        <v>containertransitportplan.component.html</v>
      </c>
      <c r="E75" s="28" t="str">
        <f>B.Frontend!J14</f>
        <v>containertransitportplan.component.less</v>
      </c>
      <c r="F75" s="28" t="str">
        <f>B.Frontend!K14</f>
        <v>create-or-edit-containertransitportplan-modal.component.html</v>
      </c>
      <c r="G75" s="28" t="str">
        <f>B.Frontend!L14</f>
        <v>create-or-edit-containertransitportplan-modal.component.ts</v>
      </c>
      <c r="H75" s="28" t="str">
        <f>B.Frontend!M14</f>
        <v>create-or-edit-containertransitportplan-modal.component.less</v>
      </c>
      <c r="I75" s="28" t="str">
        <f>B.Frontend!N14</f>
        <v>containertransitportplan.module.ts</v>
      </c>
      <c r="J75" s="28" t="str">
        <f>B.Frontend!O14</f>
        <v>containertransitportplan-routing.module.ts</v>
      </c>
      <c r="K75" s="28" t="str">
        <f>B.Frontend!P14</f>
        <v>app.navigation.service.ts</v>
      </c>
      <c r="L75" s="28" t="str">
        <f>B.Frontend!Q14</f>
        <v>main.routing.module.ts</v>
      </c>
      <c r="M75" s="56" t="s">
        <v>228</v>
      </c>
    </row>
    <row r="76" spans="1:14" ht="21.75" customHeight="1" x14ac:dyDescent="0.3">
      <c r="B76" s="57" t="s">
        <v>222</v>
      </c>
      <c r="C76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InvCkdContainerTransitPortPlanDto, InvCkdContainerTransitPortPlanServiceProxy } from '@shared/service-proxies/service-proxies';
import { finalize } from 'rxjs/internal/operators/finalize';
import { CreateOrEditContainerTransitPortPlanModalComponent } from './create-or-edit-containertransitportplan-modal.component';
import { DatePipe } from '@angular/common';
import { FileDownloadService } from '@shared/utils/file-download.service';
import ceil from 'lodash-es/ceil';
import { Paginator } from 'primeng/paginator';
@Component({
    templateUrl: './containertransitportplan.component.html',
    styleUrls: ['./containertransitportplan.component.less'],
})
export class ContainerTransitPortPlanComponent extends AppComponentBase implements OnInit {
    @ViewChild('createOrEditModalContainerTransitPortPlan', { static: true }) createOrEditModalContainerTransitPortPlan:| CreateOrEditContainerTransitPortPlanModalComponent|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InvCkdContainerTransitPortPlanDto = new InvCkdContainerTransitPortPlanDto();
    saveSelectedRow: InvCkdContainerTransitPortPlanDto = new InvCkdContainerTransitPortPlanDto();
    datas: InvCkdContainerTransitPortPlanDto = new InvCkdContainerTransitPortPlanDto();
    isLoading: boolean = false;
    dataParams: GridParams | undefined;
    rowData: any[] = [];
    gridApi!: GridApi;
    rowSelection = 'multiple';
    filter: string = '';
	pipe = new DatePipe('en-US');
	frameworkComponents: FrameworkComponent;
    	containerNo : string = '' ; 
	renban : string = '' ; 
	requestDate
	requestTime
	invoiceNo : string = '' ; 
	billOfLadingNo : string = '' ; 
	supplierNo : string = '' ; 
	sealNo : string = '' ; 
	listCaseNo : string = '' ; 
	listLotNo : string = '' ; 
	cdDate
	transport : string = '' ; 
	status : string = '' ; 
	portCode : string = '' ; 
	portName : string = '' ; 
	remarks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InvCkdContainerTransitPortPlanServiceProxy,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this.l('Container No'),headerTooltip: this.l('Container No'),field: 'containerNo',flex: 1},
			{headerName: this.l('Renban'),headerTooltip: this.l('Renban'),field: 'renban',flex: 1},
			{headerName: this.l('Request Date'),headerTooltip: this.l('Request Date'),field: 'requestDate',flex: 1},
			{headerName: this.l('Request Time'),headerTooltip: this.l('Request Time'),field: 'requestTime',flex: 1},
			{headerName: this.l('Invoice No'),headerTooltip: this.l('Invoice No'),field: 'invoiceNo',flex: 1},
			{headerName: this.l('Bill Of Lading No'),headerTooltip: this.l('Bill Of Lading No'),field: 'billOfLadingNo',flex: 1},
			{headerName: this.l('Supplier No'),headerTooltip: this.l('Supplier No'),field: 'supplierNo',flex: 1},
			{headerName: this.l('Seal No'),headerTooltip: this.l('Seal No'),field: 'sealNo',flex: 1},
			{headerName: this.l('List Case No'),headerTooltip: this.l('List Case No'),field: 'listCaseNo',flex: 1},
			{headerName: this.l('List Lot No'),headerTooltip: this.l('List Lot No'),field: 'listLotNo',flex: 1},
			{headerName: this.l('Cd Date'),headerTooltip: this.l('Cd Date'),field: 'cdDate',flex: 1},
			{headerName: this.l('Transport'),headerTooltip: this.l('Transport'),field: 'transport',flex: 1},
			{headerName: this.l('Status'),headerTooltip: this.l('Status'),field: 'status',flex: 1},
			{headerName: this.l('Port Code'),headerTooltip: this.l('Port Code'),field: 'portCode',flex: 1},
			{headerName: this.l('Port Name'),headerTooltip: this.l('Port Name'),field: 'portName',flex: 1},
			{headerName: this.l('Remarks'),headerTooltip: this.l('Remarks'),field: 'remarks',flex: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this.containerNo,
			this.renban,
			this.requestDate,
			this.requestTime,
			this.invoiceNo,
			this.billOfLadingNo,
			this.supplierNo,
			this.sealNo,
			this.listCaseNo,
			this.listLotNo,
			this.cdDate,
			this.transport,
			this.status,
			this.portCode,
			this.portName,
			this.remarks,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this.containerNo = '',
		this.renban = '',
		this.requestDate = '',
		this.requestTime = '',
		this.invoiceNo = '',
		this.billOfLadingNo = '',
		this.supplierNo = '',
		this.sealNo = '',
		this.listCaseNo = '',
		this.listLotNo = '',
		this.cdDate = '',
		this.transport = '',
		this.status = '',
		this.portCode = '',
		this.portName = '',
		this.remarks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this.containerNo,
			this.renban,
			this.requestDate,
			this.requestTime,
			this.invoiceNo,
			this.billOfLadingNo,
			this.supplierNo,
			this.sealNo,
			this.listCaseNo,
			this.listLotNo,
			this.cdDate,
			this.transport,
			this.status,
			this.portCode,
			this.portName,
			this.remarks,
			this.isActive,
			'',
            this.paginationParams.skipCount,
            this.paginationParams.pageSize
        );
    }
    onChangeRowSelection(params: { api: { getSelectedRows: () =&gt; InvCkdContainerTransitPortPlanDto[] } }) {
        this.saveSelectedRow = params.api.getSelectedRows()[0] ?? new InvCkdContainerTransitPortPlanDto();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InvCkdContainerTransitPortPlanDto):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this._service.getContainerTransitPortPlanToExcel(
			this.containerNo,
			this.renban,
			this.requestDate,
			this.requestTime,
			this.invoiceNo,
			this.billOfLadingNo,
			this.supplierNo,
			this.sealNo,
			this.listCaseNo,
			this.listLotNo,
			this.cdDate,
			this.transport,
			this.status,
			this.portCode,
			this.portName,
			this.remarks,
			this.isActive,
            )
            .subscribe((result) =&gt; {
                this._fileDownloadService.downloadTempFile(result);
        });
    }
}</v>
      </c>
      <c r="D76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Container Delivery Plan to Transit Port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[(ngModel)]='invoiceNo' name='invoiceNo'
									class='form-control' [placeholder]="l('Invoice No')"
									type='text' (keyup.enter)='searchDatas()'&gt;
								&lt;/div&gt;
								&lt;div class='input-search'&gt;
									&lt;input [(ngModel)]='billOfLadingNo' name='billOfLadingNo'
									class='form-control' [placeholder]="l('Bill Of Lading No')"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[(ngModel)]='sealNo' name='sealNo'
									class='form-control' [placeholder]="l('Seal No')"
									type='text' (keyup.enter)='searchDatas()'&gt;
								&lt;/div&gt;
								&lt;div class='input-search'&gt;
									&lt;input [(ngModel)]='listCaseNo' name='listCaseNo'
									class='form-control' [placeholder]="l('List Case No')"
									type='text' (keyup.enter)='searchDatas()'&gt;
								&lt;/div&gt;
								&lt;div class='input-search'&gt;
									&lt;input [(ngModel)]='listLotNo' name='listLotNo'
									class='form-control' [placeholder]="l('List Lot No')"
									type='text' (keyup.enter)='searchDatas()'&gt;
								&lt;/div&gt;
								&lt;div class='input-search'&gt;
									&lt;input [(ngModel)]='transport' name='transport'
									class='form-control' [placeholder]="l('Transport')"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[(ngModel)]='portCode' name='portCode'
									class='form-control' [placeholder]="l('Port Code')"
									type='text' (keyup.enter)='searchDatas()'&gt;
								&lt;/div&gt;
								&lt;div class='input-search'&gt;
									&lt;input [(ngModel)]='portName' name='portName'
									class='form-control' [placeholder]="l('Port Name')"
									type='text' (keyup.enter)='searchDatas()'&gt;
								&lt;/div&gt;
								&lt;div class='input-search'&gt;
									&lt;input [(ngModel)]='remarks' name='remarks'
									class='form-control' [placeholder]="l('Remarks')"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(click)="createOrEditModalContainerTransitPortPlan.show()"&gt;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(click)="createOrEditModalContainerTransitPortPlan.show(selectedRow)"&gt;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&lt;create-or-edit-containertransitportplan-modal
    #createOrEditModalContainerTransitPortPlan
    (modalSave)="callBackDataGrid(dataParams)"
    (modalClose)="onChangeRowSelection(dataParams)"
&gt;
&lt;/create-or-edit-containertransitportplan-modal&gt;</v>
      </c>
      <c r="E76" s="46" t="str">
        <f>B.Frontend!J10</f>
        <v>.input-search{
    width: 250px;
    border-radius: 10px;
    margin-left: 10px;
}
.btn-search{
    width: 50px;
    margin-left: 10px;
}</v>
      </c>
      <c r="F76" s="46" t="str">
        <f ca="1">B.Frontend!K10</f>
        <v>&lt;div bsModal #createOrEditModalContainerTransitPortPlan="bs-modal"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ContainerTransitPortPlan')}}&lt;/h3&gt;
                    &lt;h3 *ngIf="!rowdata.id"&gt;{{('Create New ContainerTransitPortPlan')}}&lt;/h3&gt;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title'&gt;Request Date&lt;/label&gt;
						&lt;input type='text' class='col-md-10 form-control input-text' name='requestDate' 
						#datepicker='bsDatepicker' [(ngModel)]='rowdata.requestDate'  bsDatepicker &gt;
					&lt;/div&gt;
					&lt;div class='col-md-12 form-group row'&gt;
						&lt;label class='col-md-2 form-control title'&gt;Request Time&lt;/label&gt;
						&lt;input type='text' class='col-md-10 form-control input-text' name='requestTime' 
						#datepicker='bsDatepicker' [(ngModel)]='rowdata.requestTime'  bsDatepicker &gt;
					&lt;/div&gt;
					&lt;div class='col-md-12 form-group row'&gt;
						&lt;label class='col-md-2 form-control title'&gt;Invoice No&lt;/label&gt;
						&lt;input type='text' class='col-md-10 form-control input-text' name='InvoiceNo' [(ngModel)]='rowdata.invoiceNo'&gt;
					&lt;/div&gt;
					&lt;div class='col-md-12 form-group row'&gt;
						&lt;label class='col-md-2 form-control title'&gt;Bill Of Lading No&lt;/label&gt;
						&lt;input type='text' class='col-md-10 form-control input-text' name='BillOfLadingNo' [(ngModel)]='rowdata.billOfLadingNo'&gt;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title'&gt;Seal No&lt;/label&gt;
						&lt;input type='text' class='col-md-10 form-control input-text' name='SealNo' [(ngModel)]='rowdata.sealNo'&gt;
					&lt;/div&gt;
					&lt;div class='col-md-12 form-group row'&gt;
						&lt;label class='col-md-2 form-control title'&gt;List Case No&lt;/label&gt;
						&lt;input type='text' class='col-md-10 form-control input-text' name='ListCaseNo' [(ngModel)]='rowdata.listCaseNo'&gt;
					&lt;/div&gt;
					&lt;div class='col-md-12 form-group row'&gt;
						&lt;label class='col-md-2 form-control title'&gt;List Lot No&lt;/label&gt;
						&lt;input type='text' class='col-md-10 form-control input-text' name='ListLotNo' [(ngModel)]='rowdata.listLotNo'&gt;
					&lt;/div&gt;
					&lt;div class='col-md-12 form-group row'&gt;
						&lt;label class='col-md-2 form-control title'&gt;Cd Date&lt;/label&gt;
						&lt;input type='text' class='col-md-10 form-control input-text' name='cdDate' 
						#datepicker='bsDatepicker' [(ngModel)]='rowdata.cdDate'  bsDatepicker &gt;
					&lt;/div&gt;
					&lt;div class='col-md-12 form-group row'&gt;
						&lt;label class='col-md-2 form-control title'&gt;Transport&lt;/label&gt;
						&lt;input type='text' class='col-md-10 form-control input-text' name='Transport' [(ngModel)]='rowdata.transport'&gt;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title'&gt;Port Code&lt;/label&gt;
						&lt;input type='text' class='col-md-10 form-control input-text' name='PortCode' [(ngModel)]='rowdata.portCode'&gt;
					&lt;/div&gt;
					&lt;div class='col-md-12 form-group row'&gt;
						&lt;label class='col-md-2 form-control title'&gt;Port Name&lt;/label&gt;
						&lt;input type='text' class='col-md-10 form-control input-text' name='PortName' [(ngModel)]='rowdata.portName'&gt;
					&lt;/div&gt;
					&lt;div class='col-md-12 form-group row'&gt;
						&lt;label class='col-md-2 form-control title'&gt;Remarks&lt;/label&gt;
						&lt;input type='text' class='col-md-10 form-control input-text' name='Remarks' [(ngModel)]='rowdata.remarks'&gt;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6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CreateOrEditInvCkdContainerTransitPortPlanDto, InvCkdContainerTransitPortPlanServiceProxy } from '@shared/service-proxies/service-proxies';
import { BsDatepickerDirective } from 'ngx-bootstrap/datepicker';
@Component({
    selector: 'create-or-edit-containertransitportplan-modal',
    templateUrl: './create-or-edit-containertransitportplan-modal.component.html',
    styleUrls: ['./create-or-edit-containertransitportplan-modal.component.less']
    })
export class CreateOrEditContainerTransitPortPlanModalComponent extends AppComponentBase {
    @ViewChild('createOrEditModalContainerTransitPortPlan',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CreateOrEditInvCkdContainerTransitPortPlanDto = new CreateOrEditInvCkdContainerTransitPortPlanDto();
    active: boolean = false;
    saving: boolean = false;
    _isActive: boolean;
    constructor(
        injector: Injector,
        private _mstwptContainerTransitPortPlanService: InvCkdContainerTransitPortPlanServiceProxy,
    ) 
    {
        super(injector);
    }
    show(rowdata?: CreateOrEditInvCkdContainerTransitPortPlanDto): void {
        if (!rowdata) this.rowdata = new CreateOrEditInvCkdContainerTransitPortPlanDto();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this._mstwptContainerTransitPortPlanService.createOrEdit(this.rowdata)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6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6" s="46" t="str">
        <f>B.Frontend!N10</f>
        <v>import {NgModule} from '@angular/core';
import {AppSharedModule} from '@app/shared/app-shared.module';
import { ContainerTransitPortPlanRoutingModule } from './containertransitportplan-routing.module';
import { ContainerTransitPortPlanComponent } from './containertransitportplan.component';
import { CreateOrEditContainerTransitPortPlanModalComponent } from './create-or-edit-containertransitportplan-modal.component';
@NgModule({
    declarations: [
       ContainerTransitPortPlanComponent, 
        CreateOrEditContainerTransitPortPlanModalComponent
    ],
    imports: [
        AppSharedModule, ContainerTransitPortPlanRoutingModule]
})
export class ContainerTransitPortPlanModule {}</v>
      </c>
      <c r="J76" s="46" t="str">
        <f>B.Frontend!O10</f>
        <v>import {NgModule} from '@angular/core';
import {RouterModule, Routes} from '@angular/router';
import { ContainerTransitPortPlanComponent } from './containertransitportplan.component';
const routes: Routes = [{
    path: '',
    component: ContainerTransitPortPlanComponent,
    pathMatch: 'full'
}];
@NgModule({
    imports: [RouterModule.forChild(routes)],
    exports: [RouterModule],
})
export class ContainerTransitPortPlanRoutingModule {}</v>
      </c>
      <c r="K76" s="46" t="str">
        <f>B.Frontend!P10</f>
        <v xml:space="preserve"> new AppMenuItem("ContainerTransitPortPlan", "Pages.Inventory.CKD.ContainerTransitPortPlan", "flaticon-book",   "/app/main/inventory/ckd/containertransitportplan"),</v>
      </c>
      <c r="L76" s="47" t="str">
        <f>B.Frontend!Q10</f>
        <v>{
    path: 'inventory/ckd/containertransitportplan',
    loadChildren: () =&gt; import('./inventory/ckd/containertransitportplan/containertransitportplan.module').then(m =&gt; m.ContainerTransitPortPlanModule),
    data: { permission: 'Pages.Inventory.CKD.ContainerTransitPortPlan' }
},</v>
      </c>
      <c r="M76" s="45" t="str">
        <f>B.Frontend!R10</f>
        <v>ApiServiceProxies.InvCkdContainerTransitPortPlanServiceProxy,</v>
      </c>
    </row>
    <row r="78" spans="1:14" x14ac:dyDescent="0.3">
      <c r="B78" s="1" t="s">
        <v>72</v>
      </c>
    </row>
  </sheetData>
  <mergeCells count="2">
    <mergeCell ref="C74:J74"/>
    <mergeCell ref="K74:L7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27"/>
  <sheetViews>
    <sheetView tabSelected="1" workbookViewId="0">
      <pane xSplit="1" topLeftCell="B1" activePane="topRight" state="frozen"/>
      <selection pane="topRight" activeCell="B3" sqref="B3"/>
    </sheetView>
  </sheetViews>
  <sheetFormatPr defaultColWidth="9.109375" defaultRowHeight="14.4" x14ac:dyDescent="0.3"/>
  <cols>
    <col min="1" max="1" width="20.88671875" style="7" customWidth="1"/>
    <col min="2" max="2" width="20.44140625" style="8" customWidth="1"/>
    <col min="3" max="3" width="19.44140625" style="7" customWidth="1"/>
    <col min="4" max="4" width="23.44140625" style="7" customWidth="1"/>
    <col min="5" max="5" width="14.44140625" style="7" customWidth="1"/>
    <col min="6" max="6" width="14.88671875" style="7" customWidth="1"/>
    <col min="7" max="7" width="17.33203125" style="7" bestFit="1" customWidth="1"/>
    <col min="8" max="8" width="15" style="7" customWidth="1"/>
    <col min="9" max="9" width="16" style="7" customWidth="1"/>
    <col min="10" max="10" width="15.88671875" style="7" customWidth="1"/>
    <col min="11" max="11" width="16" style="7" customWidth="1"/>
    <col min="12" max="12" width="16.6640625" style="7" customWidth="1"/>
    <col min="13" max="13" width="17.44140625" style="7" customWidth="1"/>
    <col min="14" max="14" width="16.109375" style="7" customWidth="1"/>
    <col min="15" max="15" width="14.6640625" style="7" customWidth="1"/>
    <col min="16" max="16" width="16" style="7" customWidth="1"/>
    <col min="17" max="17" width="15.6640625" style="7" customWidth="1"/>
    <col min="18" max="18" width="19.44140625" style="7" customWidth="1"/>
    <col min="19" max="19" width="20.44140625" style="7" customWidth="1"/>
    <col min="20" max="20" width="17" style="7" customWidth="1"/>
    <col min="21" max="21" width="14" style="7" customWidth="1"/>
    <col min="22" max="22" width="15.109375" style="7" customWidth="1"/>
    <col min="23" max="23" width="27.88671875" style="8" customWidth="1"/>
    <col min="24" max="16384" width="9.109375" style="7"/>
  </cols>
  <sheetData>
    <row r="1" spans="1:23" s="10" customFormat="1" ht="14.25" customHeight="1" x14ac:dyDescent="0.3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3">
      <c r="A2" s="1" t="s">
        <v>12</v>
      </c>
      <c r="B2" s="27" t="s">
        <v>349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3">
      <c r="A3" s="1" t="s">
        <v>5</v>
      </c>
      <c r="B3" s="27" t="s">
        <v>385</v>
      </c>
      <c r="C3" s="9" t="s">
        <v>41</v>
      </c>
      <c r="D3" s="9" t="s">
        <v>42</v>
      </c>
      <c r="E3" s="9" t="s">
        <v>37</v>
      </c>
      <c r="F3" s="10" t="str">
        <f>"J"&amp;COUNTA($A:$A)</f>
        <v>J25</v>
      </c>
      <c r="G3" s="4" t="s">
        <v>54</v>
      </c>
      <c r="H3" s="9" t="str">
        <f>"I"&amp;COUNTA($A:$A)</f>
        <v>I25</v>
      </c>
      <c r="I3" s="9" t="str">
        <f>REPT(CHAR(9),2)&amp;"[Required]"&amp;"
"</f>
        <v xml:space="preserve">		[Required]
</v>
      </c>
      <c r="J3" s="10" t="str">
        <f>"L"&amp;COUNTA($A:$A)</f>
        <v>L25</v>
      </c>
      <c r="K3" s="5" t="s">
        <v>53</v>
      </c>
      <c r="L3" s="10" t="str">
        <f>"M"&amp;COUNTA($A:$A)</f>
        <v>M25</v>
      </c>
      <c r="M3" s="10" t="str">
        <f>"N"&amp;COUNTA($A:$A)</f>
        <v>N25</v>
      </c>
      <c r="N3" s="10" t="str">
        <f>"O"&amp;COUNTA($A:$A)</f>
        <v>O25</v>
      </c>
      <c r="O3" s="10" t="str">
        <f>"P"&amp;COUNTA($A:$A)</f>
        <v>P25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InvCkdContainerTransitPortPlanExportInput{
</v>
      </c>
      <c r="S3" s="10" t="str">
        <f>"namespace "&amp;$B$6&amp;".Exporting
"&amp;$C$3</f>
        <v xml:space="preserve">namespace prod.Inventory.CKD.Exporting
{
</v>
      </c>
      <c r="T3" s="10" t="str">
        <f>"T"&amp;COUNTA($A:$A)</f>
        <v>T25</v>
      </c>
      <c r="V3" s="10" t="str">
        <f>"V"&amp;COUNTA($A:$A)</f>
        <v>V25</v>
      </c>
      <c r="W3" s="9" t="str">
        <f>"W"&amp;COUNTA($A:$A)</f>
        <v>W25</v>
      </c>
    </row>
    <row r="4" spans="1:23" s="10" customFormat="1" ht="33" customHeight="1" x14ac:dyDescent="0.3">
      <c r="A4" s="1" t="s">
        <v>233</v>
      </c>
      <c r="B4" s="65" t="s">
        <v>320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3">
      <c r="A5" s="1" t="s">
        <v>234</v>
      </c>
      <c r="B5" s="65" t="s">
        <v>386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" customHeight="1" x14ac:dyDescent="0.3">
      <c r="A6" s="1" t="s">
        <v>6</v>
      </c>
      <c r="B6" s="9" t="str">
        <f>"prod."&amp;B2</f>
        <v>prod.Inventory.CKD</v>
      </c>
      <c r="C6" s="10" t="str">
        <f>"namespace "&amp;$B$6&amp;"
"&amp;$C$3</f>
        <v xml:space="preserve">namespace prod.Inventory.CKD
{
</v>
      </c>
      <c r="D6" s="10" t="str">
        <f>REPT(CHAR(9),1)&amp;"public class "&amp;B3&amp;G3&amp;REPT(CHAR(9),1)&amp;"
"&amp;REPT(CHAR(9),1)&amp;C3</f>
        <v xml:space="preserve">	public class InvCkdContainerTransitPortPlan: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InvCkdContainerTransitPortPlanConsts	
	{
</v>
      </c>
      <c r="F6" s="10" t="str">
        <f>REPT(CHAR(9),1)&amp;"public class "&amp;B3&amp;"Dto"&amp;K3&amp;REPT(CHAR(9),1)&amp;"
"&amp;REPT(CHAR(9),1)&amp;C3</f>
        <v xml:space="preserve">	public class InvCkdContainerTransitPortPlanDto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CreateOrEditInvCkdContainerTransitPortPlanDto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GetInvCkdContainerTransitPortPlanInput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4.9" customHeight="1" x14ac:dyDescent="0.3">
      <c r="A7" s="1" t="s">
        <v>13</v>
      </c>
      <c r="B7" s="9" t="str">
        <f>B3</f>
        <v>InvCkdContainerTransitPortPlan</v>
      </c>
      <c r="C7" s="10" t="str">
        <f>REPT(CHAR(9),1)&amp;"[Table("""&amp;B7&amp;""")]"&amp;"
"</f>
        <v xml:space="preserve">	[Table("InvCkdContainerTransitPortPlan")]
</v>
      </c>
      <c r="D7" s="10"/>
      <c r="E7" s="10"/>
      <c r="F7" s="10"/>
      <c r="G7" s="10"/>
      <c r="H7" s="10"/>
      <c r="I7" s="10"/>
      <c r="J7" t="str">
        <f ca="1">SUBSTITUTE(SUBSTITUTE((B1&amp;C6&amp;C7&amp;K27&amp;D6&amp;I27&amp;E3&amp;J27&amp;""&amp;REPT(CHAR(9),1)&amp;D3&amp;D3),"WorkingPattern",$Q$3),"Master",$B$4)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[Table("InvCkdContainerTransitPortPlan")]
	[Index(nameof(ContainerNo), Name="IX_InvCkdContainerTransitPortPlan_ContainerNo")]
	[Index(nameof(Renban), Name="IX_InvCkdContainerTransitPortPlan_Renban")]
	[Index(nameof(RequestDate), Name="IX_InvCkdContainerTransitPortPlan_RequestDate")]
	[Index(nameof(InvoiceNo), Name="IX_InvCkdContainerTransitPortPlan_InvoiceNo")]
	[Index(nameof(IsActive), Name="IX_InvCkdContainerTransitPortPlan_IsActive")]	public class InvCkdContainerTransitPortPlan: FullAuditedEntity&lt;long&gt;, IEntity&lt;long&gt;	
	{
		public const int MaxContainerNoLength = 15;
		public const int MaxRenbanLength = 20;
		public const int MaxInvoiceNoLength = 200;
		public const int MaxBillOfLadingNoLength = 200;
		public const int MaxSupplierNoLength = 50;
		public const int MaxSealNoLength = 20;
		public const int MaxListCaseNoLength = 1000;
		public const int MaxListLotNoLength = 1000;
		public const int MaxTransportLength = 50;
		public const int MaxStatusLength = 10;
		public const int MaxPortCodeLength = 50;
		public const int MaxPortNameLength = 100;
		public const int MaxRemarksLength = 200;
		public const int MaxIsActiveLength = 1;
		[StringLength(MaxContainerNoLength)]
		public virtual string ContainerNo { get; set; }
		[StringLength(MaxRenbanLength)]
		public virtual string Renban { get; set; }
		public virtual DateTime? RequestDate { get; set; }
		public virtual TimeSpan? RequestTime { get; set; }
		[StringLength(MaxInvoiceNoLength)]
		public virtual string InvoiceNo { get; set; }
		[StringLength(MaxBillOfLadingNoLength)]
		public virtual string BillOfLadingNo { get; set; }
		[StringLength(MaxSupplierNoLength)]
		public virtual string SupplierNo { get; set; }
		[StringLength(MaxSealNoLength)]
		public virtual string SealNo { get; set; }
		[StringLength(MaxListCaseNoLength)]
		public virtual string ListCaseNo { get; set; }
		[StringLength(MaxListLotNoLength)]
		public virtual string ListLotNo { get; set; }
		public virtual DateTime? CdDate { get; set; }
		[StringLength(MaxTransportLength)]
		public virtual string Transport { get; set; }
		[StringLength(MaxStatusLength)]
		public virtual string Status { get; set; }
		[StringLength(MaxPortCodeLength)]
		public virtual string PortCode { get; set; }
		[StringLength(MaxPortNameLength)]
		public virtual string PortName { get; set; }
		[StringLength(MaxRemarksLength)]
		public virtual string Remarks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DbSet&lt;InvCkdContainerTransitPortPlan&gt; InvCkdContainerTransitPortPlans { get; set; }</v>
      </c>
      <c r="L7" t="str">
        <f ca="1">SUBSTITUTE(SUBSTITUTE((C6&amp;E6&amp;I27&amp;"
"&amp;REPT(CHAR(9),2)&amp;"// Define Store Name: Format SP_ + &lt;Store Name&gt; = &lt;Store Name&gt;
"&amp;E3&amp;REPT(CHAR(9),1)&amp;D3&amp;D3),"WorkingPattern",$Q$3),"Master",$B$4)</f>
        <v xml:space="preserve">namespace prod.Inventory.CKD
{
	public class InvCkdContainerTransitPortPlanConsts	
	{
		public const int MaxContainerNoLength = 15;
		public const int MaxRenbanLength = 20;
		public const int MaxInvoiceNoLength = 200;
		public const int MaxBillOfLadingNoLength = 200;
		public const int MaxSupplierNoLength = 50;
		public const int MaxSealNoLength = 20;
		public const int MaxListCaseNoLength = 1000;
		public const int MaxListLotNoLength = 1000;
		public const int MaxTransportLength = 50;
		public const int MaxStatusLength = 10;
		public const int MaxPortCodeLength = 50;
		public const int MaxPortNameLength = 100;
		public const int MaxRemarksLength = 200;
		public const int MaxIsActiveLength = 1;
		// Define Store Name: Format SP_ + &lt;Store Name&gt; = &lt;Store Name&gt;
	}
}
</v>
      </c>
      <c r="M7" t="str">
        <f ca="1">SUBSTITUTE(SUBSTITUTE((C1&amp;"namespace "&amp;B6&amp;".Dto"&amp;E3&amp;C3&amp;F6&amp;M27&amp;E3&amp;REPT(CHAR(9),1)&amp;D3&amp;G6&amp;N27&amp;REPT(CHAR(9),1)&amp;D3&amp;H6&amp;O27&amp;"
"&amp;REPT(CHAR(9),1)&amp;D3&amp;D3),"WorkingPattern",$Q$3),"Master",$B$4)</f>
        <v xml:space="preserve">using Abp.Application.Services.Dto;
using System;
using System.ComponentModel.DataAnnotations;
namespace prod.Inventory.CKD.Dto
{
	public class InvCkdContainerTransitPortPlanDto : EntityDto&lt;long?&gt;	
	{
		public virtual string ContainerNo { get; set; }
		public virtual string Renban { get; set; }
		public virtual DateTime? RequestDate { get; set; }
		public virtual TimeSpan? RequestTime { get; set; }
		public virtual string InvoiceNo { get; set; }
		public virtual string BillOfLadingNo { get; set; }
		public virtual string SupplierNo { get; set; }
		public virtual string SealNo { get; set; }
		public virtual string ListCaseNo { get; set; }
		public virtual string ListLotNo { get; set; }
		public virtual DateTime? CdDate { get; set; }
		public virtual string Transport { get; set; }
		public virtual string Status { get; set; }
		public virtual string PortCode { get; set; }
		public virtual string PortName { get; set; }
		public virtual string Remarks { get; set; }
		public virtual string IsActive { get; set; }
	}
	public class CreateOrEditInvCkdContainerTransitPortPlanDto : EntityDto&lt;long?&gt;	
	{
		[StringLength(InvCkdContainerTransitPortPlanConsts.MaxContainerNoLength)]
		public virtual string ContainerNo { get; set; }
		[StringLength(InvCkdContainerTransitPortPlanConsts.MaxRenbanLength)]
		public virtual string Renban { get; set; }
		public virtual DateTime? RequestDate { get; set; }
		public virtual TimeSpan? RequestTime { get; set; }
		[StringLength(InvCkdContainerTransitPortPlanConsts.MaxInvoiceNoLength)]
		public virtual string InvoiceNo { get; set; }
		[StringLength(InvCkdContainerTransitPortPlanConsts.MaxBillOfLadingNoLength)]
		public virtual string BillOfLadingNo { get; set; }
		[StringLength(InvCkdContainerTransitPortPlanConsts.MaxSupplierNoLength)]
		public virtual string SupplierNo { get; set; }
		[StringLength(InvCkdContainerTransitPortPlanConsts.MaxSealNoLength)]
		public virtual string SealNo { get; set; }
		[StringLength(InvCkdContainerTransitPortPlanConsts.MaxListCaseNoLength)]
		public virtual string ListCaseNo { get; set; }
		[StringLength(InvCkdContainerTransitPortPlanConsts.MaxListLotNoLength)]
		public virtual string ListLotNo { get; set; }
		public virtual DateTime? CdDate { get; set; }
		[StringLength(InvCkdContainerTransitPortPlanConsts.MaxTransportLength)]
		public virtual string Transport { get; set; }
		[StringLength(InvCkdContainerTransitPortPlanConsts.MaxStatusLength)]
		public virtual string Status { get; set; }
		[StringLength(InvCkdContainerTransitPortPlanConsts.MaxPortCodeLength)]
		public virtual string PortCode { get; set; }
		[StringLength(InvCkdContainerTransitPortPlanConsts.MaxPortNameLength)]
		public virtual string PortName { get; set; }
		[StringLength(InvCkdContainerTransitPortPlanConsts.MaxRemarksLength)]
		public virtual string Remarks { get; set; }
		[StringLength(InvCkdContainerTransitPortPlanConsts.MaxIsActiveLength)]
		public virtual string IsActive { get; set; }
	}
	public class GetInvCkdContainerTransitPortPlanInput : PagedAndSortedResultRequestDto	
	{
		public virtual string ContainerNo { get; set; }
		public virtual string Renban { get; set; }
		public virtual string InvoiceNo { get; set; }
		public virtual string BillOfLadingNo { get; set; }
		public virtual string SupplierNo { get; set; }
		public virtual string SealNo { get; set; }
		public virtual string ListCaseNo { get; set; }
		public virtual string ListLotNo { get; set; }
		public virtual string Transport { get; set; }
		public virtual string Status { get; set; }
		public virtual string PortCode { get; set; }
		public virtual string PortName { get; set; }
		public virtual string Remarks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perInvCkdContainerTransitPortPlan = PARENTS.CreateChildPermission(AppPermissions.Pages_Inventory_CKD_ContainerTransitPortPlan, L( "InventoryCKDContainerTransitPortPlan"), multiTenancySides: MultiTenancySides.Tenant);
		perInvCkdContainerTransitPortPlan.CreateChildPermission(AppPermissions.Pages_Inventory_CKD_ContainerTransitPortPlan_CreateEdit, L( "InventoryCKDContainerTransitPortPlanCreateEdit"), multiTenancySides: MultiTenancySides.Tenant);
		perInvCkdContainerTransitPortPlan.CreateChildPermission(AppPermissions.Pages_Inventory_CKD_ContainerTransitPortPlan_Delete, L( "InventoryCKDContainerTransitPortPlanDelete"),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Pages_Inventory_CKD_ContainerTransitPortPlan = "Pages.Inventory.CKD.ContainerTransitPortPlan";
		public const string Pages_Inventory_CKD_ContainerTransitPortPlan_CreateEdit = "Pages.Inventory.CKD.ContainerTransitPortPlan.CreateEdit";
		public const string Pages_Inventory_CKD_ContainerTransitPortPlan_Delete = "Pages.Inventory.CKD.ContainerTransitPortPlan.Delete";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IInvCkdContainerTransitPortPlanAppService : IApplicationService
	{
		Task&lt;PagedResultDto&lt;InvCkdContainerTransitPortPlanDto&gt;&gt; GetAll(GetInvCkdContainerTransitPortPlanInput input);
		Task CreateOrEdit(CreateOrEditInvCkdContainerTransitPortPlanDto input);
		Task Delete(EntityDto input);
	}
}
</v>
      </c>
      <c r="Q7" t="str">
        <f ca="1">SUBSTITUTE(SUBSTITUTE(SUBSTITUTE(SUBSTITUTE(SUBSTITUTE(SUBSTITUTE(E1,"MstWptCalendar",$B$3),"&lt;PROPERTIES&gt;",P27),"Calendar",$B$5),"WorkingPattern",$Q$3),"Master",$B$4),"&lt;PARAMS_SEARCH&gt;",$W$27)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[AbpAuthorize(AppPermissions.Pages_Inventory_CKD_ContainerTransitPortPlan)]
    public class InvCkdContainerTransitPortPlanAppService : vovinaAppServiceBase, IInvCkdContainerTransitPortPlanAppService
    {
        private readonly IDapperRepository&lt;InvCkdContainerTransitPortPlan, long&gt; _dapperRepo;
        private readonly IRepository&lt;InvCkdContainerTransitPortPlan, long&gt; _repo;
        private readonly IInvCkdContainerTransitPortPlanExcelExporter _calendarListExcelExporter;
        public InvCkdContainerTransitPortPlanAppService(IRepository&lt;InvCkdContainerTransitPortPlan,long&gt; repo, 
                                         IDapperRepository&lt;InvCkdContainerTransitPortPlan,long&gt; dapperRepo,
                                        IInvCkdContainerTransitPortPlanExcelExporter calendarListExcelExporter
            )
        {
            _repo = repo;
            _dapperRepo = dapperRepo;
            _calendarListExcelExporter = calendarListExcelExporter;
        }
        [AbpAuthorize(AppPermissions.Pages_Inventory_CKD_ContainerTransitPortPlan_CreateEdit)]
        public async Task CreateOrEdit(CreateOrEditInvCkdContainerTransitPortPlanDto input)
        {
            if (input.Id == null) await Create(input);
            else await Update(input);
        }
        //CREATE
        private async Task Create(CreateOrEditInvCkdContainerTransitPortPlanDto input)
        {          
            var mainObj = ObjectMapper.Map&lt;InvCkdContainerTransitPortPlan&gt;(input);
            await CurrentUnitOfWork.GetDbContext&lt;vovinaDbContext&gt;().AddAsync(mainObj);
        }
        // EDIT
        private async Task Update(CreateOrEditInvCkdContainerTransitPortPlanDto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[AbpAuthorize(AppPermissions.Pages_Inventory_CKD_ContainerTransitPortPlan_Delete)]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Task&lt;PagedResultDto&lt;InvCkdContainerTransitPortPlanDto&gt;&gt; GetAll(GetInvCkdContainerTransitPortPlanInput input)
        {
            var filtered = _repo.GetAll()
				.WhereIf(!string.IsNullOrWhiteSpace(input.ContainerNo), e =&gt; e.ContainerNo.Contains(input.ContainerNo))
				.WhereIf(!string.IsNullOrWhiteSpace(input.Renban), e =&gt; e.Renban.Contains(input.Renban))
				.WhereIf(!string.IsNullOrWhiteSpace(input.InvoiceNo), e =&gt; e.InvoiceNo.Contains(input.InvoiceNo))
				.WhereIf(!string.IsNullOrWhiteSpace(input.BillOfLadingNo), e =&gt; e.BillOfLadingNo.Contains(input.BillOfLadingNo))
				.WhereIf(!string.IsNullOrWhiteSpace(input.SupplierNo), e =&gt; e.SupplierNo.Contains(input.SupplierNo))
				.WhereIf(!string.IsNullOrWhiteSpace(input.SealNo), e =&gt; e.SealNo.Contains(input.SealNo))
				.WhereIf(!string.IsNullOrWhiteSpace(input.ListCaseNo), e =&gt; e.ListCaseNo.Contains(input.ListCaseNo))
				.WhereIf(!string.IsNullOrWhiteSpace(input.ListLotNo), e =&gt; e.ListLotNo.Contains(input.ListLotNo))
				.WhereIf(!string.IsNullOrWhiteSpace(input.Transport), e =&gt; e.Transport.Contains(input.Transport))
				.WhereIf(!string.IsNullOrWhiteSpace(input.Status), e =&gt; e.Status.Contains(input.Status))
				.WhereIf(!string.IsNullOrWhiteSpace(input.PortCode), e =&gt; e.PortCode.Contains(input.PortCode))
				.WhereIf(!string.IsNullOrWhiteSpace(input.PortName), e =&gt; e.PortName.Contains(input.PortName))
				.WhereIf(!string.IsNullOrWhiteSpace(input.Remarks), e =&gt; e.Remarks.Contains(input.Remarks))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InvCkdContainerTransitPortPlanDto
                        {
							Id = o.Id,
							ContainerNo = o.ContainerNo,
							Renban = o.Renban,
							RequestDate = o.RequestDate,
							RequestTime = o.RequestTime,
							InvoiceNo = o.InvoiceNo,
							BillOfLadingNo = o.BillOfLadingNo,
							SupplierNo = o.SupplierNo,
							SealNo = o.SealNo,
							ListCaseNo = o.ListCaseNo,
							ListLotNo = o.ListLotNo,
							CdDate = o.CdDate,
							Transport = o.Transport,
							Status = o.Status,
							PortCode = o.PortCode,
							PortName = o.PortName,
							Remarks = o.Remarks,
							IsActive = o.IsActive,
                        };
            var totalCount = await filtered.CountAsync();
			var paged = system.PageBy(input);
            return new PagedResultDto&lt;InvCkdContainerTransitPortPlanDto&gt;(
                totalCount,
                 await paged.ToListAsync()
            );
        }
        public async Task&lt;FileDto&gt; GetContainerTransitPortPlanToExcel(InvCkdContainerTransitPortPlanExportInput input)
        {
            var query = from o in _repo.GetAll()
                        select new InvCkdContainerTransitPortPlanDto
                        {
							Id = o.Id,
							ContainerNo = o.ContainerNo,
							Renban = o.Renban,
							RequestDate = o.RequestDate,
							RequestTime = o.RequestTime,
							InvoiceNo = o.InvoiceNo,
							BillOfLadingNo = o.BillOfLadingNo,
							SupplierNo = o.SupplierNo,
							SealNo = o.SealNo,
							ListCaseNo = o.ListCaseNo,
							ListLotNo = o.ListLotNo,
							CdDate = o.CdDate,
							Transport = o.Transport,
							Status = o.Status,
							PortCode = o.PortCode,
							PortName = o.PortName,
							Remarks = o.Remarks,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_dapperRepo.ExecuteAsync(InvCkdContainerTransitPortPlanConsts.SP_MST_WPT_CALENDAR_GENERATE);
       // }
    }
}</v>
      </c>
      <c r="R7" t="str">
        <f ca="1">SUBSTITUTE(SUBSTITUTE((C1&amp;"namespace "&amp;B6&amp;".Dto"&amp;E3&amp;C3&amp;R3&amp;M27&amp;E3&amp;REPT(CHAR(9),1)&amp;D3&amp;D3),"WorkingPattern",$Q$3),"Master",$B$4)</f>
        <v xml:space="preserve">using Abp.Application.Services.Dto;
using System;
using System.ComponentModel.DataAnnotations;
namespace prod.Inventory.CKD.Dto
{
	public class InvCkdContainerTransitPortPlanExportInput{
		public virtual string ContainerNo { get; set; }
		public virtual string Renban { get; set; }
		public virtual DateTime? RequestDate { get; set; }
		public virtual TimeSpan? RequestTime { get; set; }
		public virtual string InvoiceNo { get; set; }
		public virtual string BillOfLadingNo { get; set; }
		public virtual string SupplierNo { get; set; }
		public virtual string SealNo { get; set; }
		public virtual string ListCaseNo { get; set; }
		public virtual string ListLotNo { get; set; }
		public virtual DateTime? CdDate { get; set; }
		public virtual string Transport { get; set; }
		public virtual string Status { get; set; }
		public virtual string PortCode { get; set; }
		public virtual string PortName { get; set; }
		public virtual string Remarks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IInvCkdContainerTransitPortPlanExcelExporter : IApplicationService
	{
		FileDto ExportToFile(List&lt;InvCkdContainerTransitPortPlanDto&gt; invckdcontainertransitportplan);
	}
}
</v>
      </c>
      <c r="T7" s="26" t="str">
        <f ca="1">SUBSTITUTE(SUBSTITUTE(SUBSTITUTE(SUBSTITUTE(SUBSTITUTE(SUBSTITUTE(SUBSTITUTE(T1,"MstWptCalendar",$B$3),"&lt;PROPERTIES1&gt;",V27),"&lt;PROPERTIES&gt;",T27),"Calendar",$B$5),"calendar",LOWER(B5)),"WorkingPattern",$Q$3),"Master",$B$4)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InvCkdContainerTransitPortPlanExcelExporter : NpoiExcelExporterBase, IInvCkdContainerTransitPortPlanExcelExporter
    {
        public InvCkdContainerTransitPortPlanExcelExporter(ITempFileCacheManager tempFileCacheManager) : base(tempFileCacheManager) { }
        public FileDto ExportToFile(List&lt;InvCkdContainerTransitPortPlanDto&gt; containertransitportplan)
        {
            return CreateExcelPackage(
				"InventoryCKDContainerTransitPortPlan.xlsx",
				excelPackage =&gt;
				 {
					var sheet = excelPackage.CreateSheet("ContainerTransitPortPlan");
					AddHeader(
								sheet,
								("ContainerNo"),
								("Renban"),
								("RequestDate"),
								("RequestTime"),
								("InvoiceNo"),
								("BillOfLadingNo"),
								("SupplierNo"),
								("SealNo"),
								("ListCaseNo"),
								("ListLotNo"),
								("CdDate"),
								("Transport"),
								("Status"),
								("PortCode"),
								("PortName"),
								("Remarks"),
								("IsActive"),
							   );
					AddObjects(
						 sheet, 1, containertransitportplan,                                       
								_ =&gt; _.ContainerNo,
								_ =&gt; _.Renban,
								_ =&gt; _.RequestDate,
								_ =&gt; _.RequestTime,
								_ =&gt; _.InvoiceNo,
								_ =&gt; _.BillOfLadingNo,
								_ =&gt; _.SupplierNo,
								_ =&gt; _.SealNo,
								_ =&gt; _.ListCaseNo,
								_ =&gt; _.ListLotNo,
								_ =&gt; _.CdDate,
								_ =&gt; _.Transport,
								_ =&gt; _.Status,
								_ =&gt; _.PortCode,
								_ =&gt; _.PortName,
								_ =&gt; _.Remarks,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configuration.CreateMap&lt;InvCkdContainerTransitPortPlanDto, InvCkdContainerTransitPortPlan&gt;();
  configuration.CreateMap&lt;InvCkdContainerTransitPortPlan, InvCkdContainerTransitPortPlanDto&gt;();
  configuration.CreateMap&lt;CreateOrEditInvCkdContainerTransitPortPlanDto, InvCkdContainerTransitPortPlan&gt;();</v>
      </c>
      <c r="V7" s="26"/>
      <c r="W7" s="26"/>
    </row>
    <row r="8" spans="1:23" s="2" customFormat="1" x14ac:dyDescent="0.3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3">
      <c r="A9" t="s">
        <v>356</v>
      </c>
      <c r="B9" t="s">
        <v>359</v>
      </c>
      <c r="C9" t="s">
        <v>1</v>
      </c>
      <c r="D9" t="str">
        <f t="shared" ref="D9" si="0">SUBSTITUTE(PROPER(A9),"_","")</f>
        <v>ContainerNo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15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MaxContainerNoLength = 15;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[StringLength(MaxContainerNoLength)]
		public virtual string ContainerNo { get; set; }
</v>
      </c>
      <c r="K9" s="6" t="s">
        <v>380</v>
      </c>
      <c r="L9" t="str">
        <f t="shared" ref="L9" si="5">IF(K9="","",REPT(CHAR(9),1)&amp;"[Index(nameof("&amp;IF(D9="","",""&amp;D9)&amp;")"&amp;", Name="&amp;"""IX_"&amp;$B$7&amp;"_"&amp;D9&amp;""")]")</f>
        <v xml:space="preserve">	[Index(nameof(ContainerNo), Name="IX_InvCkdContainerTransitPortPlan_ContainerNo")]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ContainerNo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[StringLength(InvCkdContainerTransitPortPlanConsts.MaxContainerNoLength)]
		public virtual string ContainerNo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ContainerNo { get; set; }
</v>
      </c>
      <c r="P9" t="str">
        <f t="shared" ref="P9" si="9">REPT(CHAR(9),7)&amp;D9&amp;" = o." &amp;D9 &amp;","</f>
        <v xml:space="preserve">							ContainerNo = o.ContainerNo,</v>
      </c>
      <c r="T9" s="63" t="str">
        <f t="shared" ref="T9" si="10">REPT(CHAR(9),8)&amp;"("""&amp;D9&amp;"""),"</f>
        <v xml:space="preserve">								("ContainerNo"),</v>
      </c>
      <c r="V9" s="64" t="str">
        <f t="shared" ref="V9" si="11">REPT(CHAR(9),8)&amp;"_ =&gt; _."&amp;D9&amp;","</f>
        <v xml:space="preserve">								_ =&gt; _.ContainerNo,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.WhereIf(!string.IsNullOrWhiteSpace(input.ContainerNo), e =&gt; e.ContainerNo.Contains(input.ContainerNo))</v>
      </c>
    </row>
    <row r="10" spans="1:23" customFormat="1" ht="18.75" customHeight="1" x14ac:dyDescent="0.3">
      <c r="A10" t="s">
        <v>358</v>
      </c>
      <c r="B10" t="s">
        <v>360</v>
      </c>
      <c r="C10" t="s">
        <v>1</v>
      </c>
      <c r="D10" t="str">
        <f t="shared" ref="D10:D11" si="13">SUBSTITUTE(PROPER(A10),"_","")</f>
        <v>Renban</v>
      </c>
      <c r="E10" t="str">
        <f t="shared" ref="E10:E11" si="14">IFERROR(LEFT(B10, FIND("(",B10)-1),B10)</f>
        <v>nvarchar</v>
      </c>
      <c r="F10" s="6"/>
      <c r="G10" t="str">
        <f t="shared" ref="G10:G11" si="15">IFERROR(MID(B10,FIND("(",B10) +1, FIND(")",B10) - FIND("(",B10) - 1),"")</f>
        <v>20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MaxRenbanLength = 20;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[StringLength(MaxRenbanLength)]
		public virtual string Renban { get; set; }
</v>
      </c>
      <c r="K10" s="6" t="s">
        <v>380</v>
      </c>
      <c r="L10" t="str">
        <f t="shared" ref="L10:L11" si="18">IF(K10="","",REPT(CHAR(9),1)&amp;"[Index(nameof("&amp;IF(D10="","",""&amp;D10)&amp;")"&amp;", Name="&amp;"""IX_"&amp;$B$7&amp;"_"&amp;D10&amp;""")]")</f>
        <v xml:space="preserve">	[Index(nameof(Renban), Name="IX_InvCkdContainerTransitPortPlan_Renban")]</v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Renban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[StringLength(InvCkdContainerTransitPortPlanConsts.MaxRenbanLength)]
		public virtual string Renban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Renban { get; set; }
</v>
      </c>
      <c r="P10" t="str">
        <f t="shared" ref="P10:P11" si="22">REPT(CHAR(9),7)&amp;D10&amp;" = o." &amp;D10 &amp;","</f>
        <v xml:space="preserve">							Renban = o.Renban,</v>
      </c>
      <c r="T10" s="63" t="str">
        <f t="shared" ref="T10:T11" si="23">REPT(CHAR(9),8)&amp;"("""&amp;D10&amp;"""),"</f>
        <v xml:space="preserve">								("Renban"),</v>
      </c>
      <c r="V10" s="64" t="str">
        <f t="shared" ref="V10:V11" si="24">REPT(CHAR(9),8)&amp;"_ =&gt; _."&amp;D10&amp;","</f>
        <v xml:space="preserve">								_ =&gt; _.Renban,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.WhereIf(!string.IsNullOrWhiteSpace(input.Renban), e =&gt; e.Renban.Contains(input.Renban))</v>
      </c>
    </row>
    <row r="11" spans="1:23" customFormat="1" ht="18.75" customHeight="1" x14ac:dyDescent="0.3">
      <c r="A11" t="s">
        <v>375</v>
      </c>
      <c r="B11" t="s">
        <v>2</v>
      </c>
      <c r="C11" t="s">
        <v>1</v>
      </c>
      <c r="D11" t="str">
        <f t="shared" si="13"/>
        <v>RequestDate</v>
      </c>
      <c r="E11" t="str">
        <f t="shared" si="14"/>
        <v>date</v>
      </c>
      <c r="F11" s="6"/>
      <c r="G11" t="str">
        <f t="shared" si="15"/>
        <v/>
      </c>
      <c r="H11" t="str">
        <f>+VLOOKUP(E11,'Data Type Mapping'!A:B,2,)</f>
        <v>DateTime?</v>
      </c>
      <c r="I11" t="str">
        <f t="shared" si="16"/>
        <v/>
      </c>
      <c r="J11" t="str">
        <f t="shared" si="17"/>
        <v xml:space="preserve">		public virtual DateTime? RequestDate { get; set; }
</v>
      </c>
      <c r="K11" s="6" t="s">
        <v>380</v>
      </c>
      <c r="L11" t="str">
        <f t="shared" si="18"/>
        <v xml:space="preserve">	[Index(nameof(RequestDate), Name="IX_InvCkdContainerTransitPortPlan_RequestDate")]</v>
      </c>
      <c r="M11" t="str">
        <f t="shared" si="19"/>
        <v xml:space="preserve">		public virtual DateTime? RequestDate { get; set; }
</v>
      </c>
      <c r="N11" t="str">
        <f t="shared" si="20"/>
        <v xml:space="preserve">		public virtual DateTime? RequestDate { get; set; }
</v>
      </c>
      <c r="O11" t="str">
        <f t="shared" si="21"/>
        <v/>
      </c>
      <c r="P11" t="str">
        <f t="shared" si="22"/>
        <v xml:space="preserve">							RequestDate = o.RequestDate,</v>
      </c>
      <c r="T11" s="63" t="str">
        <f t="shared" si="23"/>
        <v xml:space="preserve">								("RequestDate"),</v>
      </c>
      <c r="V11" s="64" t="str">
        <f t="shared" si="24"/>
        <v xml:space="preserve">								_ =&gt; _.RequestDate,</v>
      </c>
      <c r="W11" s="63" t="str">
        <f t="shared" si="25"/>
        <v/>
      </c>
    </row>
    <row r="12" spans="1:23" customFormat="1" ht="18.75" customHeight="1" x14ac:dyDescent="0.3">
      <c r="A12" t="s">
        <v>376</v>
      </c>
      <c r="B12" t="s">
        <v>361</v>
      </c>
      <c r="C12" t="s">
        <v>1</v>
      </c>
      <c r="D12" t="str">
        <f t="shared" ref="D12:D15" si="26">SUBSTITUTE(PROPER(A12),"_","")</f>
        <v>RequestTime</v>
      </c>
      <c r="E12" t="str">
        <f t="shared" ref="E12:E15" si="27">IFERROR(LEFT(B12, FIND("(",B12)-1),B12)</f>
        <v>time</v>
      </c>
      <c r="F12" s="6"/>
      <c r="G12" t="str">
        <f t="shared" ref="G12:G15" si="28">IFERROR(MID(B12,FIND("(",B12) +1, FIND(")",B12) - FIND("(",B12) - 1),"")</f>
        <v>7</v>
      </c>
      <c r="H12" t="str">
        <f>+VLOOKUP(E12,'Data Type Mapping'!A:B,2,)</f>
        <v>TimeSpan?</v>
      </c>
      <c r="I12" t="str">
        <f t="shared" ref="I12:I15" si="29">IF(H12="string",REPT(CHAR(9),2)&amp;"public const int Max"&amp;D12&amp;"Length = "&amp;G12&amp;";"&amp;$E$3,"" )</f>
        <v/>
      </c>
      <c r="J12" t="str">
        <f t="shared" ref="J12:J15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public virtual TimeSpan? RequestTime { get; set; }
</v>
      </c>
      <c r="K12" s="6"/>
      <c r="L12" t="str">
        <f t="shared" ref="L12:L15" si="31">IF(K12="","",REPT(CHAR(9),1)&amp;"[Index(nameof("&amp;IF(D12="","",""&amp;D12)&amp;")"&amp;", Name="&amp;"""IX_"&amp;$B$7&amp;"_"&amp;D12&amp;""")]")</f>
        <v/>
      </c>
      <c r="M12" t="str">
        <f t="shared" ref="M12:M15" si="32">REPT(CHAR(9),2)&amp;"public virtual "&amp;IF(OR(H12="DateTime",H12="TimeSpan"),H12&amp;"?",H12)&amp;IF(C12="?","? "," ")&amp;D12&amp;" { get; set; }" &amp; "
"</f>
        <v xml:space="preserve">		public virtual TimeSpan? RequestTime { get; set; }
</v>
      </c>
      <c r="N12" t="str">
        <f t="shared" ref="N12:N15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public virtual TimeSpan? RequestTime { get; set; }
</v>
      </c>
      <c r="O12" t="str">
        <f t="shared" ref="O12:O15" si="34">IF(OR(H12="string",H12="DateTime",H12="int"),REPT(CHAR(9),2)&amp;"public virtual "&amp;IF(OR(H12="DateTime",H12="TimeSpan"),H12&amp;"?",H12)&amp;IF(C12="?","? "," ")&amp;D12&amp;" { get; set; }"&amp;$E$3,"")</f>
        <v/>
      </c>
      <c r="P12" t="str">
        <f t="shared" ref="P12:P15" si="35">REPT(CHAR(9),7)&amp;D12&amp;" = o." &amp;D12 &amp;","</f>
        <v xml:space="preserve">							RequestTime = o.RequestTime,</v>
      </c>
      <c r="T12" s="63" t="str">
        <f t="shared" ref="T12:T15" si="36">REPT(CHAR(9),8)&amp;"("""&amp;D12&amp;"""),"</f>
        <v xml:space="preserve">								("RequestTime"),</v>
      </c>
      <c r="V12" s="64" t="str">
        <f t="shared" ref="V12:V15" si="37">REPT(CHAR(9),8)&amp;"_ =&gt; _."&amp;D12&amp;","</f>
        <v xml:space="preserve">								_ =&gt; _.RequestTime,</v>
      </c>
      <c r="W12" s="63" t="str">
        <f t="shared" ref="W12:W15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/>
      </c>
    </row>
    <row r="13" spans="1:23" customFormat="1" ht="18.75" customHeight="1" x14ac:dyDescent="0.3">
      <c r="A13" t="s">
        <v>377</v>
      </c>
      <c r="B13" t="s">
        <v>362</v>
      </c>
      <c r="C13" t="s">
        <v>1</v>
      </c>
      <c r="D13" t="str">
        <f t="shared" si="26"/>
        <v>InvoiceNo</v>
      </c>
      <c r="E13" t="str">
        <f t="shared" si="27"/>
        <v>nvarchar</v>
      </c>
      <c r="F13" s="6"/>
      <c r="G13" t="str">
        <f t="shared" si="28"/>
        <v>200</v>
      </c>
      <c r="H13" t="str">
        <f>+VLOOKUP(E13,'Data Type Mapping'!A:B,2,)</f>
        <v>string</v>
      </c>
      <c r="I13" t="str">
        <f t="shared" si="29"/>
        <v xml:space="preserve">		public const int MaxInvoiceNoLength = 200;
</v>
      </c>
      <c r="J13" t="str">
        <f t="shared" si="30"/>
        <v xml:space="preserve">		[StringLength(MaxInvoiceNoLength)]
		public virtual string InvoiceNo { get; set; }
</v>
      </c>
      <c r="K13" s="6" t="s">
        <v>380</v>
      </c>
      <c r="L13" t="str">
        <f t="shared" si="31"/>
        <v xml:space="preserve">	[Index(nameof(InvoiceNo), Name="IX_InvCkdContainerTransitPortPlan_InvoiceNo")]</v>
      </c>
      <c r="M13" t="str">
        <f t="shared" si="32"/>
        <v xml:space="preserve">		public virtual string InvoiceNo { get; set; }
</v>
      </c>
      <c r="N13" t="str">
        <f t="shared" si="33"/>
        <v xml:space="preserve">		[StringLength(InvCkdContainerTransitPortPlanConsts.MaxInvoiceNoLength)]
		public virtual string InvoiceNo { get; set; }
</v>
      </c>
      <c r="O13" t="str">
        <f t="shared" si="34"/>
        <v xml:space="preserve">		public virtual string InvoiceNo { get; set; }
</v>
      </c>
      <c r="P13" t="str">
        <f t="shared" si="35"/>
        <v xml:space="preserve">							InvoiceNo = o.InvoiceNo,</v>
      </c>
      <c r="T13" s="63" t="str">
        <f t="shared" si="36"/>
        <v xml:space="preserve">								("InvoiceNo"),</v>
      </c>
      <c r="V13" s="64" t="str">
        <f t="shared" si="37"/>
        <v xml:space="preserve">								_ =&gt; _.InvoiceNo,</v>
      </c>
      <c r="W13" s="63" t="str">
        <f t="shared" si="38"/>
        <v xml:space="preserve">				.WhereIf(!string.IsNullOrWhiteSpace(input.InvoiceNo), e =&gt; e.InvoiceNo.Contains(input.InvoiceNo))</v>
      </c>
    </row>
    <row r="14" spans="1:23" customFormat="1" ht="18.75" customHeight="1" x14ac:dyDescent="0.3">
      <c r="A14" t="s">
        <v>378</v>
      </c>
      <c r="B14" t="s">
        <v>362</v>
      </c>
      <c r="C14" t="s">
        <v>1</v>
      </c>
      <c r="D14" t="str">
        <f t="shared" si="26"/>
        <v>BillOfLadingNo</v>
      </c>
      <c r="E14" t="str">
        <f t="shared" si="27"/>
        <v>nvarchar</v>
      </c>
      <c r="F14" s="6"/>
      <c r="G14" t="str">
        <f t="shared" si="28"/>
        <v>200</v>
      </c>
      <c r="H14" t="str">
        <f>+VLOOKUP(E14,'Data Type Mapping'!A:B,2,)</f>
        <v>string</v>
      </c>
      <c r="I14" t="str">
        <f t="shared" si="29"/>
        <v xml:space="preserve">		public const int MaxBillOfLadingNoLength = 200;
</v>
      </c>
      <c r="J14" t="str">
        <f t="shared" si="30"/>
        <v xml:space="preserve">		[StringLength(MaxBillOfLadingNoLength)]
		public virtual string BillOfLadingNo { get; set; }
</v>
      </c>
      <c r="K14" s="6"/>
      <c r="L14" t="str">
        <f t="shared" si="31"/>
        <v/>
      </c>
      <c r="M14" t="str">
        <f t="shared" si="32"/>
        <v xml:space="preserve">		public virtual string BillOfLadingNo { get; set; }
</v>
      </c>
      <c r="N14" t="str">
        <f t="shared" si="33"/>
        <v xml:space="preserve">		[StringLength(InvCkdContainerTransitPortPlanConsts.MaxBillOfLadingNoLength)]
		public virtual string BillOfLadingNo { get; set; }
</v>
      </c>
      <c r="O14" t="str">
        <f t="shared" si="34"/>
        <v xml:space="preserve">		public virtual string BillOfLadingNo { get; set; }
</v>
      </c>
      <c r="P14" t="str">
        <f t="shared" si="35"/>
        <v xml:space="preserve">							BillOfLadingNo = o.BillOfLadingNo,</v>
      </c>
      <c r="T14" s="63" t="str">
        <f t="shared" si="36"/>
        <v xml:space="preserve">								("BillOfLadingNo"),</v>
      </c>
      <c r="V14" s="64" t="str">
        <f t="shared" si="37"/>
        <v xml:space="preserve">								_ =&gt; _.BillOfLadingNo,</v>
      </c>
      <c r="W14" s="63" t="str">
        <f t="shared" si="38"/>
        <v xml:space="preserve">				.WhereIf(!string.IsNullOrWhiteSpace(input.BillOfLadingNo), e =&gt; e.BillOfLadingNo.Contains(input.BillOfLadingNo))</v>
      </c>
    </row>
    <row r="15" spans="1:23" customFormat="1" ht="18.75" customHeight="1" x14ac:dyDescent="0.3">
      <c r="A15" t="s">
        <v>379</v>
      </c>
      <c r="B15" t="s">
        <v>363</v>
      </c>
      <c r="C15" t="s">
        <v>1</v>
      </c>
      <c r="D15" t="str">
        <f t="shared" si="26"/>
        <v>SupplierNo</v>
      </c>
      <c r="E15" t="str">
        <f t="shared" si="27"/>
        <v>nvarchar</v>
      </c>
      <c r="F15" s="6"/>
      <c r="G15" t="str">
        <f t="shared" si="28"/>
        <v>50</v>
      </c>
      <c r="H15" t="str">
        <f>+VLOOKUP(E15,'Data Type Mapping'!A:B,2,)</f>
        <v>string</v>
      </c>
      <c r="I15" t="str">
        <f t="shared" si="29"/>
        <v xml:space="preserve">		public const int MaxSupplierNoLength = 50;
</v>
      </c>
      <c r="J15" t="str">
        <f t="shared" si="30"/>
        <v xml:space="preserve">		[StringLength(MaxSupplierNoLength)]
		public virtual string SupplierNo { get; set; }
</v>
      </c>
      <c r="K15" s="6"/>
      <c r="L15" t="str">
        <f t="shared" si="31"/>
        <v/>
      </c>
      <c r="M15" t="str">
        <f t="shared" si="32"/>
        <v xml:space="preserve">		public virtual string SupplierNo { get; set; }
</v>
      </c>
      <c r="N15" t="str">
        <f t="shared" si="33"/>
        <v xml:space="preserve">		[StringLength(InvCkdContainerTransitPortPlanConsts.MaxSupplierNoLength)]
		public virtual string SupplierNo { get; set; }
</v>
      </c>
      <c r="O15" t="str">
        <f t="shared" si="34"/>
        <v xml:space="preserve">		public virtual string SupplierNo { get; set; }
</v>
      </c>
      <c r="P15" t="str">
        <f t="shared" si="35"/>
        <v xml:space="preserve">							SupplierNo = o.SupplierNo,</v>
      </c>
      <c r="T15" s="63" t="str">
        <f t="shared" si="36"/>
        <v xml:space="preserve">								("SupplierNo"),</v>
      </c>
      <c r="V15" s="64" t="str">
        <f t="shared" si="37"/>
        <v xml:space="preserve">								_ =&gt; _.SupplierNo,</v>
      </c>
      <c r="W15" s="63" t="str">
        <f t="shared" si="38"/>
        <v xml:space="preserve">				.WhereIf(!string.IsNullOrWhiteSpace(input.SupplierNo), e =&gt; e.SupplierNo.Contains(input.SupplierNo))</v>
      </c>
    </row>
    <row r="16" spans="1:23" customFormat="1" ht="18.75" customHeight="1" x14ac:dyDescent="0.3">
      <c r="A16" t="s">
        <v>374</v>
      </c>
      <c r="B16" t="s">
        <v>360</v>
      </c>
      <c r="C16" t="s">
        <v>1</v>
      </c>
      <c r="D16" t="str">
        <f t="shared" ref="D16:D19" si="39">SUBSTITUTE(PROPER(A16),"_","")</f>
        <v>SealNo</v>
      </c>
      <c r="E16" t="str">
        <f t="shared" ref="E16:E19" si="40">IFERROR(LEFT(B16, FIND("(",B16)-1),B16)</f>
        <v>nvarchar</v>
      </c>
      <c r="F16" s="6"/>
      <c r="G16" t="str">
        <f t="shared" ref="G16:G19" si="41">IFERROR(MID(B16,FIND("(",B16) +1, FIND(")",B16) - FIND("(",B16) - 1),"")</f>
        <v>20</v>
      </c>
      <c r="H16" t="str">
        <f>+VLOOKUP(E16,'Data Type Mapping'!A:B,2,)</f>
        <v>string</v>
      </c>
      <c r="I16" t="str">
        <f t="shared" ref="I16:I19" si="42">IF(H16="string",REPT(CHAR(9),2)&amp;"public const int Max"&amp;D16&amp;"Length = "&amp;G16&amp;";"&amp;$E$3,"" )</f>
        <v xml:space="preserve">		public const int MaxSealNoLength = 20;
</v>
      </c>
      <c r="J16" t="str">
        <f t="shared" ref="J16:J19" si="43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[StringLength(MaxSealNoLength)]
		public virtual string SealNo { get; set; }
</v>
      </c>
      <c r="K16" s="6"/>
      <c r="L16" t="str">
        <f t="shared" ref="L16:L19" si="44">IF(K16="","",REPT(CHAR(9),1)&amp;"[Index(nameof("&amp;IF(D16="","",""&amp;D16)&amp;")"&amp;", Name="&amp;"""IX_"&amp;$B$7&amp;"_"&amp;D16&amp;""")]")</f>
        <v/>
      </c>
      <c r="M16" t="str">
        <f t="shared" ref="M16:M19" si="45">REPT(CHAR(9),2)&amp;"public virtual "&amp;IF(OR(H16="DateTime",H16="TimeSpan"),H16&amp;"?",H16)&amp;IF(C16="?","? "," ")&amp;D16&amp;" { get; set; }" &amp; "
"</f>
        <v xml:space="preserve">		public virtual string SealNo { get; set; }
</v>
      </c>
      <c r="N16" t="str">
        <f t="shared" ref="N16:N19" si="46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[StringLength(InvCkdContainerTransitPortPlanConsts.MaxSealNoLength)]
		public virtual string SealNo { get; set; }
</v>
      </c>
      <c r="O16" t="str">
        <f t="shared" ref="O16:O19" si="47">IF(OR(H16="string",H16="DateTime",H16="int"),REPT(CHAR(9),2)&amp;"public virtual "&amp;IF(OR(H16="DateTime",H16="TimeSpan"),H16&amp;"?",H16)&amp;IF(C16="?","? "," ")&amp;D16&amp;" { get; set; }"&amp;$E$3,"")</f>
        <v xml:space="preserve">		public virtual string SealNo { get; set; }
</v>
      </c>
      <c r="P16" t="str">
        <f t="shared" ref="P16:P19" si="48">REPT(CHAR(9),7)&amp;D16&amp;" = o." &amp;D16 &amp;","</f>
        <v xml:space="preserve">							SealNo = o.SealNo,</v>
      </c>
      <c r="T16" s="63" t="str">
        <f t="shared" ref="T16:T19" si="49">REPT(CHAR(9),8)&amp;"("""&amp;D16&amp;"""),"</f>
        <v xml:space="preserve">								("SealNo"),</v>
      </c>
      <c r="V16" s="64" t="str">
        <f t="shared" ref="V16:V19" si="50">REPT(CHAR(9),8)&amp;"_ =&gt; _."&amp;D16&amp;","</f>
        <v xml:space="preserve">								_ =&gt; _.SealNo,</v>
      </c>
      <c r="W16" s="63" t="str">
        <f t="shared" ref="W16:W19" si="51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.WhereIf(!string.IsNullOrWhiteSpace(input.SealNo), e =&gt; e.SealNo.Contains(input.SealNo))</v>
      </c>
    </row>
    <row r="17" spans="1:23" customFormat="1" ht="18.75" customHeight="1" x14ac:dyDescent="0.3">
      <c r="A17" t="s">
        <v>373</v>
      </c>
      <c r="B17" t="s">
        <v>364</v>
      </c>
      <c r="C17" t="s">
        <v>1</v>
      </c>
      <c r="D17" t="str">
        <f t="shared" si="39"/>
        <v>ListCaseNo</v>
      </c>
      <c r="E17" t="str">
        <f t="shared" si="40"/>
        <v>nvarchar</v>
      </c>
      <c r="F17" s="6"/>
      <c r="G17" t="str">
        <f t="shared" si="41"/>
        <v>1000</v>
      </c>
      <c r="H17" t="str">
        <f>+VLOOKUP(E17,'Data Type Mapping'!A:B,2,)</f>
        <v>string</v>
      </c>
      <c r="I17" t="str">
        <f t="shared" si="42"/>
        <v xml:space="preserve">		public const int MaxListCaseNoLength = 1000;
</v>
      </c>
      <c r="J17" t="str">
        <f t="shared" si="43"/>
        <v xml:space="preserve">		[StringLength(MaxListCaseNoLength)]
		public virtual string ListCaseNo { get; set; }
</v>
      </c>
      <c r="K17" s="6"/>
      <c r="L17" t="str">
        <f t="shared" si="44"/>
        <v/>
      </c>
      <c r="M17" t="str">
        <f t="shared" si="45"/>
        <v xml:space="preserve">		public virtual string ListCaseNo { get; set; }
</v>
      </c>
      <c r="N17" t="str">
        <f t="shared" si="46"/>
        <v xml:space="preserve">		[StringLength(InvCkdContainerTransitPortPlanConsts.MaxListCaseNoLength)]
		public virtual string ListCaseNo { get; set; }
</v>
      </c>
      <c r="O17" t="str">
        <f t="shared" si="47"/>
        <v xml:space="preserve">		public virtual string ListCaseNo { get; set; }
</v>
      </c>
      <c r="P17" t="str">
        <f t="shared" si="48"/>
        <v xml:space="preserve">							ListCaseNo = o.ListCaseNo,</v>
      </c>
      <c r="T17" s="63" t="str">
        <f t="shared" si="49"/>
        <v xml:space="preserve">								("ListCaseNo"),</v>
      </c>
      <c r="V17" s="64" t="str">
        <f t="shared" si="50"/>
        <v xml:space="preserve">								_ =&gt; _.ListCaseNo,</v>
      </c>
      <c r="W17" s="63" t="str">
        <f t="shared" si="51"/>
        <v xml:space="preserve">				.WhereIf(!string.IsNullOrWhiteSpace(input.ListCaseNo), e =&gt; e.ListCaseNo.Contains(input.ListCaseNo))</v>
      </c>
    </row>
    <row r="18" spans="1:23" customFormat="1" ht="18.75" customHeight="1" x14ac:dyDescent="0.3">
      <c r="A18" t="s">
        <v>372</v>
      </c>
      <c r="B18" t="s">
        <v>364</v>
      </c>
      <c r="C18" t="s">
        <v>1</v>
      </c>
      <c r="D18" t="str">
        <f t="shared" si="39"/>
        <v>ListLotNo</v>
      </c>
      <c r="E18" t="str">
        <f t="shared" si="40"/>
        <v>nvarchar</v>
      </c>
      <c r="F18" s="6"/>
      <c r="G18" t="str">
        <f t="shared" si="41"/>
        <v>1000</v>
      </c>
      <c r="H18" t="str">
        <f>+VLOOKUP(E18,'Data Type Mapping'!A:B,2,)</f>
        <v>string</v>
      </c>
      <c r="I18" t="str">
        <f t="shared" si="42"/>
        <v xml:space="preserve">		public const int MaxListLotNoLength = 1000;
</v>
      </c>
      <c r="J18" t="str">
        <f t="shared" si="43"/>
        <v xml:space="preserve">		[StringLength(MaxListLotNoLength)]
		public virtual string ListLotNo { get; set; }
</v>
      </c>
      <c r="K18" s="6"/>
      <c r="L18" t="str">
        <f t="shared" si="44"/>
        <v/>
      </c>
      <c r="M18" t="str">
        <f t="shared" si="45"/>
        <v xml:space="preserve">		public virtual string ListLotNo { get; set; }
</v>
      </c>
      <c r="N18" t="str">
        <f t="shared" si="46"/>
        <v xml:space="preserve">		[StringLength(InvCkdContainerTransitPortPlanConsts.MaxListLotNoLength)]
		public virtual string ListLotNo { get; set; }
</v>
      </c>
      <c r="O18" t="str">
        <f t="shared" si="47"/>
        <v xml:space="preserve">		public virtual string ListLotNo { get; set; }
</v>
      </c>
      <c r="P18" t="str">
        <f t="shared" si="48"/>
        <v xml:space="preserve">							ListLotNo = o.ListLotNo,</v>
      </c>
      <c r="T18" s="63" t="str">
        <f t="shared" si="49"/>
        <v xml:space="preserve">								("ListLotNo"),</v>
      </c>
      <c r="V18" s="64" t="str">
        <f t="shared" si="50"/>
        <v xml:space="preserve">								_ =&gt; _.ListLotNo,</v>
      </c>
      <c r="W18" s="63" t="str">
        <f t="shared" si="51"/>
        <v xml:space="preserve">				.WhereIf(!string.IsNullOrWhiteSpace(input.ListLotNo), e =&gt; e.ListLotNo.Contains(input.ListLotNo))</v>
      </c>
    </row>
    <row r="19" spans="1:23" customFormat="1" ht="18.75" customHeight="1" x14ac:dyDescent="0.3">
      <c r="A19" t="s">
        <v>371</v>
      </c>
      <c r="B19" t="s">
        <v>2</v>
      </c>
      <c r="C19" t="s">
        <v>1</v>
      </c>
      <c r="D19" t="str">
        <f t="shared" si="39"/>
        <v>CdDate</v>
      </c>
      <c r="E19" t="str">
        <f t="shared" si="40"/>
        <v>date</v>
      </c>
      <c r="F19" s="6"/>
      <c r="G19" t="str">
        <f t="shared" si="41"/>
        <v/>
      </c>
      <c r="H19" t="str">
        <f>+VLOOKUP(E19,'Data Type Mapping'!A:B,2,)</f>
        <v>DateTime?</v>
      </c>
      <c r="I19" t="str">
        <f t="shared" si="42"/>
        <v/>
      </c>
      <c r="J19" t="str">
        <f t="shared" si="43"/>
        <v xml:space="preserve">		public virtual DateTime? CdDate { get; set; }
</v>
      </c>
      <c r="K19" s="6"/>
      <c r="L19" t="str">
        <f t="shared" si="44"/>
        <v/>
      </c>
      <c r="M19" t="str">
        <f t="shared" si="45"/>
        <v xml:space="preserve">		public virtual DateTime? CdDate { get; set; }
</v>
      </c>
      <c r="N19" t="str">
        <f t="shared" si="46"/>
        <v xml:space="preserve">		public virtual DateTime? CdDate { get; set; }
</v>
      </c>
      <c r="O19" t="str">
        <f t="shared" si="47"/>
        <v/>
      </c>
      <c r="P19" t="str">
        <f t="shared" si="48"/>
        <v xml:space="preserve">							CdDate = o.CdDate,</v>
      </c>
      <c r="T19" s="63" t="str">
        <f t="shared" si="49"/>
        <v xml:space="preserve">								("CdDate"),</v>
      </c>
      <c r="V19" s="64" t="str">
        <f t="shared" si="50"/>
        <v xml:space="preserve">								_ =&gt; _.CdDate,</v>
      </c>
      <c r="W19" s="63" t="str">
        <f t="shared" si="51"/>
        <v/>
      </c>
    </row>
    <row r="20" spans="1:23" customFormat="1" ht="18.75" customHeight="1" x14ac:dyDescent="0.3">
      <c r="A20" t="s">
        <v>370</v>
      </c>
      <c r="B20" t="s">
        <v>363</v>
      </c>
      <c r="C20" t="s">
        <v>1</v>
      </c>
      <c r="D20" t="str">
        <f t="shared" ref="D20:D25" si="52">SUBSTITUTE(PROPER(A20),"_","")</f>
        <v>Transport</v>
      </c>
      <c r="E20" t="str">
        <f t="shared" ref="E20:E25" si="53">IFERROR(LEFT(B20, FIND("(",B20)-1),B20)</f>
        <v>nvarchar</v>
      </c>
      <c r="F20" s="6"/>
      <c r="G20" t="str">
        <f t="shared" ref="G20:G25" si="54">IFERROR(MID(B20,FIND("(",B20) +1, FIND(")",B20) - FIND("(",B20) - 1),"")</f>
        <v>50</v>
      </c>
      <c r="H20" t="str">
        <f>+VLOOKUP(E20,'Data Type Mapping'!A:B,2,)</f>
        <v>string</v>
      </c>
      <c r="I20" t="str">
        <f t="shared" ref="I20:I25" si="55">IF(H20="string",REPT(CHAR(9),2)&amp;"public const int Max"&amp;D20&amp;"Length = "&amp;G20&amp;";"&amp;$E$3,"" )</f>
        <v xml:space="preserve">		public const int MaxTransportLength = 50;
</v>
      </c>
      <c r="J20" t="str">
        <f t="shared" ref="J20:J25" si="56">IF(F20="","",REPT(CHAR(9),2)&amp;"[Column(TypeName="""&amp;F20&amp;""")]"&amp;$E$3)&amp;IF(C20="Checked","",$I$3)&amp;IF(H20="string",REPT(CHAR(9),2)&amp;"[StringLength(Max"&amp;D20&amp;"Length"&amp;")]"&amp;$E$3,"")&amp;REPT(CHAR(9),2)&amp;"public virtual "&amp;H20&amp;IF(C20="?","? "," ")&amp;D20&amp;" { get; set; }" &amp; "
"</f>
        <v xml:space="preserve">		[StringLength(MaxTransportLength)]
		public virtual string Transport { get; set; }
</v>
      </c>
      <c r="K20" s="6"/>
      <c r="L20" t="str">
        <f t="shared" ref="L20:L25" si="57">IF(K20="","",REPT(CHAR(9),1)&amp;"[Index(nameof("&amp;IF(D20="","",""&amp;D20)&amp;")"&amp;", Name="&amp;"""IX_"&amp;$B$7&amp;"_"&amp;D20&amp;""")]")</f>
        <v/>
      </c>
      <c r="M20" t="str">
        <f t="shared" ref="M20:M25" si="58">REPT(CHAR(9),2)&amp;"public virtual "&amp;IF(OR(H20="DateTime",H20="TimeSpan"),H20&amp;"?",H20)&amp;IF(C20="?","? "," ")&amp;D20&amp;" { get; set; }" &amp; "
"</f>
        <v xml:space="preserve">		public virtual string Transport { get; set; }
</v>
      </c>
      <c r="N20" t="str">
        <f t="shared" ref="N20:N25" si="59"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[StringLength(InvCkdContainerTransitPortPlanConsts.MaxTransportLength)]
		public virtual string Transport { get; set; }
</v>
      </c>
      <c r="O20" t="str">
        <f t="shared" ref="O20:O25" si="60">IF(OR(H20="string",H20="DateTime",H20="int"),REPT(CHAR(9),2)&amp;"public virtual "&amp;IF(OR(H20="DateTime",H20="TimeSpan"),H20&amp;"?",H20)&amp;IF(C20="?","? "," ")&amp;D20&amp;" { get; set; }"&amp;$E$3,"")</f>
        <v xml:space="preserve">		public virtual string Transport { get; set; }
</v>
      </c>
      <c r="P20" t="str">
        <f t="shared" ref="P20:P25" si="61">REPT(CHAR(9),7)&amp;D20&amp;" = o." &amp;D20 &amp;","</f>
        <v xml:space="preserve">							Transport = o.Transport,</v>
      </c>
      <c r="T20" s="63" t="str">
        <f t="shared" ref="T20:T25" si="62">REPT(CHAR(9),8)&amp;"("""&amp;D20&amp;"""),"</f>
        <v xml:space="preserve">								("Transport"),</v>
      </c>
      <c r="V20" s="64" t="str">
        <f t="shared" ref="V20:V25" si="63">REPT(CHAR(9),8)&amp;"_ =&gt; _."&amp;D20&amp;","</f>
        <v xml:space="preserve">								_ =&gt; _.Transport,</v>
      </c>
      <c r="W20" s="63" t="str">
        <f t="shared" ref="W20:W25" si="64"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 xml:space="preserve">				.WhereIf(!string.IsNullOrWhiteSpace(input.Transport), e =&gt; e.Transport.Contains(input.Transport))</v>
      </c>
    </row>
    <row r="21" spans="1:23" customFormat="1" ht="18.75" customHeight="1" x14ac:dyDescent="0.3">
      <c r="A21" t="s">
        <v>369</v>
      </c>
      <c r="B21" t="s">
        <v>365</v>
      </c>
      <c r="C21" t="s">
        <v>1</v>
      </c>
      <c r="D21" t="str">
        <f t="shared" si="52"/>
        <v>Status</v>
      </c>
      <c r="E21" t="str">
        <f t="shared" si="53"/>
        <v>nvarchar</v>
      </c>
      <c r="F21" s="6"/>
      <c r="G21" t="str">
        <f t="shared" si="54"/>
        <v>10</v>
      </c>
      <c r="H21" t="str">
        <f>+VLOOKUP(E21,'Data Type Mapping'!A:B,2,)</f>
        <v>string</v>
      </c>
      <c r="I21" t="str">
        <f t="shared" si="55"/>
        <v xml:space="preserve">		public const int MaxStatusLength = 10;
</v>
      </c>
      <c r="J21" t="str">
        <f t="shared" si="56"/>
        <v xml:space="preserve">		[StringLength(MaxStatusLength)]
		public virtual string Status { get; set; }
</v>
      </c>
      <c r="K21" s="6"/>
      <c r="L21" t="str">
        <f t="shared" si="57"/>
        <v/>
      </c>
      <c r="M21" t="str">
        <f t="shared" si="58"/>
        <v xml:space="preserve">		public virtual string Status { get; set; }
</v>
      </c>
      <c r="N21" t="str">
        <f t="shared" si="59"/>
        <v xml:space="preserve">		[StringLength(InvCkdContainerTransitPortPlanConsts.MaxStatusLength)]
		public virtual string Status { get; set; }
</v>
      </c>
      <c r="O21" t="str">
        <f t="shared" si="60"/>
        <v xml:space="preserve">		public virtual string Status { get; set; }
</v>
      </c>
      <c r="P21" t="str">
        <f t="shared" si="61"/>
        <v xml:space="preserve">							Status = o.Status,</v>
      </c>
      <c r="T21" s="63" t="str">
        <f t="shared" si="62"/>
        <v xml:space="preserve">								("Status"),</v>
      </c>
      <c r="V21" s="64" t="str">
        <f t="shared" si="63"/>
        <v xml:space="preserve">								_ =&gt; _.Status,</v>
      </c>
      <c r="W21" s="63" t="str">
        <f t="shared" si="64"/>
        <v xml:space="preserve">				.WhereIf(!string.IsNullOrWhiteSpace(input.Status), e =&gt; e.Status.Contains(input.Status))</v>
      </c>
    </row>
    <row r="22" spans="1:23" customFormat="1" ht="18.75" customHeight="1" x14ac:dyDescent="0.3">
      <c r="A22" t="s">
        <v>367</v>
      </c>
      <c r="B22" t="s">
        <v>363</v>
      </c>
      <c r="C22" t="s">
        <v>1</v>
      </c>
      <c r="D22" t="str">
        <f t="shared" si="52"/>
        <v>PortCode</v>
      </c>
      <c r="E22" t="str">
        <f t="shared" si="53"/>
        <v>nvarchar</v>
      </c>
      <c r="F22" s="6"/>
      <c r="G22" t="str">
        <f t="shared" si="54"/>
        <v>50</v>
      </c>
      <c r="H22" t="str">
        <f>+VLOOKUP(E22,'Data Type Mapping'!A:B,2,)</f>
        <v>string</v>
      </c>
      <c r="I22" t="str">
        <f t="shared" si="55"/>
        <v xml:space="preserve">		public const int MaxPortCodeLength = 50;
</v>
      </c>
      <c r="J22" t="str">
        <f t="shared" si="56"/>
        <v xml:space="preserve">		[StringLength(MaxPortCodeLength)]
		public virtual string PortCode { get; set; }
</v>
      </c>
      <c r="K22" s="6"/>
      <c r="L22" t="str">
        <f t="shared" si="57"/>
        <v/>
      </c>
      <c r="M22" t="str">
        <f t="shared" si="58"/>
        <v xml:space="preserve">		public virtual string PortCode { get; set; }
</v>
      </c>
      <c r="N22" t="str">
        <f t="shared" si="59"/>
        <v xml:space="preserve">		[StringLength(InvCkdContainerTransitPortPlanConsts.MaxPortCodeLength)]
		public virtual string PortCode { get; set; }
</v>
      </c>
      <c r="O22" t="str">
        <f t="shared" si="60"/>
        <v xml:space="preserve">		public virtual string PortCode { get; set; }
</v>
      </c>
      <c r="P22" t="str">
        <f t="shared" si="61"/>
        <v xml:space="preserve">							PortCode = o.PortCode,</v>
      </c>
      <c r="T22" s="63" t="str">
        <f t="shared" si="62"/>
        <v xml:space="preserve">								("PortCode"),</v>
      </c>
      <c r="V22" s="64" t="str">
        <f t="shared" si="63"/>
        <v xml:space="preserve">								_ =&gt; _.PortCode,</v>
      </c>
      <c r="W22" s="63" t="str">
        <f t="shared" si="64"/>
        <v xml:space="preserve">				.WhereIf(!string.IsNullOrWhiteSpace(input.PortCode), e =&gt; e.PortCode.Contains(input.PortCode))</v>
      </c>
    </row>
    <row r="23" spans="1:23" customFormat="1" ht="18.75" customHeight="1" x14ac:dyDescent="0.3">
      <c r="A23" t="s">
        <v>368</v>
      </c>
      <c r="B23" t="s">
        <v>384</v>
      </c>
      <c r="C23" t="s">
        <v>1</v>
      </c>
      <c r="D23" t="str">
        <f t="shared" ref="D23" si="65">SUBSTITUTE(PROPER(A23),"_","")</f>
        <v>PortName</v>
      </c>
      <c r="E23" t="str">
        <f t="shared" ref="E23" si="66">IFERROR(LEFT(B23, FIND("(",B23)-1),B23)</f>
        <v>nvarchar</v>
      </c>
      <c r="F23" s="6"/>
      <c r="G23" t="str">
        <f t="shared" ref="G23" si="67">IFERROR(MID(B23,FIND("(",B23) +1, FIND(")",B23) - FIND("(",B23) - 1),"")</f>
        <v>100</v>
      </c>
      <c r="H23" t="str">
        <f>+VLOOKUP(E23,'Data Type Mapping'!A:B,2,)</f>
        <v>string</v>
      </c>
      <c r="I23" t="str">
        <f t="shared" ref="I23" si="68">IF(H23="string",REPT(CHAR(9),2)&amp;"public const int Max"&amp;D23&amp;"Length = "&amp;G23&amp;";"&amp;$E$3,"" )</f>
        <v xml:space="preserve">		public const int MaxPortNameLength = 100;
</v>
      </c>
      <c r="J23" t="str">
        <f t="shared" ref="J23" si="69">IF(F23="","",REPT(CHAR(9),2)&amp;"[Column(TypeName="""&amp;F23&amp;""")]"&amp;$E$3)&amp;IF(C23="Checked","",$I$3)&amp;IF(H23="string",REPT(CHAR(9),2)&amp;"[StringLength(Max"&amp;D23&amp;"Length"&amp;")]"&amp;$E$3,"")&amp;REPT(CHAR(9),2)&amp;"public virtual "&amp;H23&amp;IF(C23="?","? "," ")&amp;D23&amp;" { get; set; }" &amp; "
"</f>
        <v xml:space="preserve">		[StringLength(MaxPortNameLength)]
		public virtual string PortName { get; set; }
</v>
      </c>
      <c r="K23" s="6"/>
      <c r="L23" t="str">
        <f t="shared" ref="L23" si="70">IF(K23="","",REPT(CHAR(9),1)&amp;"[Index(nameof("&amp;IF(D23="","",""&amp;D23)&amp;")"&amp;", Name="&amp;"""IX_"&amp;$B$7&amp;"_"&amp;D23&amp;""")]")</f>
        <v/>
      </c>
      <c r="M23" t="str">
        <f t="shared" ref="M23" si="71">REPT(CHAR(9),2)&amp;"public virtual "&amp;IF(OR(H23="DateTime",H23="TimeSpan"),H23&amp;"?",H23)&amp;IF(C23="?","? "," ")&amp;D23&amp;" { get; set; }" &amp; "
"</f>
        <v xml:space="preserve">		public virtual string PortName { get; set; }
</v>
      </c>
      <c r="N23" t="str">
        <f t="shared" ref="N23" si="72">IF(C23="Checked","",$I$3)&amp;IF(H23="string",REPT(CHAR(9),2)&amp;"[StringLength("&amp;$B$3&amp;"Consts.Max"&amp;D23&amp;"Length"&amp;")]"&amp;$E$3,"")&amp;REPT(CHAR(9),2)&amp;"public virtual "&amp;IF(OR(H23="DateTime",H23="TimeSpan"),H23&amp;"?",H23)&amp;IF(C23="?","? "," ")&amp;D23&amp;" { get; set; }" &amp; "
"</f>
        <v xml:space="preserve">		[StringLength(InvCkdContainerTransitPortPlanConsts.MaxPortNameLength)]
		public virtual string PortName { get; set; }
</v>
      </c>
      <c r="O23" t="str">
        <f t="shared" ref="O23" si="73">IF(OR(H23="string",H23="DateTime",H23="int"),REPT(CHAR(9),2)&amp;"public virtual "&amp;IF(OR(H23="DateTime",H23="TimeSpan"),H23&amp;"?",H23)&amp;IF(C23="?","? "," ")&amp;D23&amp;" { get; set; }"&amp;$E$3,"")</f>
        <v xml:space="preserve">		public virtual string PortName { get; set; }
</v>
      </c>
      <c r="P23" t="str">
        <f t="shared" ref="P23" si="74">REPT(CHAR(9),7)&amp;D23&amp;" = o." &amp;D23 &amp;","</f>
        <v xml:space="preserve">							PortName = o.PortName,</v>
      </c>
      <c r="T23" s="63" t="str">
        <f t="shared" ref="T23" si="75">REPT(CHAR(9),8)&amp;"("""&amp;D23&amp;"""),"</f>
        <v xml:space="preserve">								("PortName"),</v>
      </c>
      <c r="V23" s="64" t="str">
        <f t="shared" ref="V23" si="76">REPT(CHAR(9),8)&amp;"_ =&gt; _."&amp;D23&amp;","</f>
        <v xml:space="preserve">								_ =&gt; _.PortName,</v>
      </c>
      <c r="W23" s="63" t="str">
        <f t="shared" ref="W23" si="77">IF(H23="string",REPT(CHAR(9),4)&amp;".WhereIf(!string.IsNullOrWhiteSpace(input."&amp;D23&amp;"), e =&gt; e."&amp;D23&amp;".Contains(input."&amp;D23&amp;"))",IF(H23="DateTime",REPT(CHAR(9),4)&amp;".WhereIf(input."&amp;D23&amp;".HasValue, t =&gt; t."&amp;D23&amp;" == input."&amp;D23&amp;".Value)",""))</f>
        <v xml:space="preserve">				.WhereIf(!string.IsNullOrWhiteSpace(input.PortName), e =&gt; e.PortName.Contains(input.PortName))</v>
      </c>
    </row>
    <row r="24" spans="1:23" customFormat="1" ht="18.75" customHeight="1" x14ac:dyDescent="0.3">
      <c r="A24" t="s">
        <v>366</v>
      </c>
      <c r="B24" t="s">
        <v>362</v>
      </c>
      <c r="C24" t="s">
        <v>1</v>
      </c>
      <c r="D24" t="str">
        <f t="shared" ref="D24" si="78">SUBSTITUTE(PROPER(A24),"_","")</f>
        <v>Remarks</v>
      </c>
      <c r="E24" t="str">
        <f t="shared" ref="E24" si="79">IFERROR(LEFT(B24, FIND("(",B24)-1),B24)</f>
        <v>nvarchar</v>
      </c>
      <c r="F24" s="6"/>
      <c r="G24" t="str">
        <f t="shared" ref="G24" si="80">IFERROR(MID(B24,FIND("(",B24) +1, FIND(")",B24) - FIND("(",B24) - 1),"")</f>
        <v>200</v>
      </c>
      <c r="H24" t="str">
        <f>+VLOOKUP(E24,'Data Type Mapping'!A:B,2,)</f>
        <v>string</v>
      </c>
      <c r="I24" t="str">
        <f t="shared" ref="I24" si="81">IF(H24="string",REPT(CHAR(9),2)&amp;"public const int Max"&amp;D24&amp;"Length = "&amp;G24&amp;";"&amp;$E$3,"" )</f>
        <v xml:space="preserve">		public const int MaxRemarksLength = 200;
</v>
      </c>
      <c r="J24" t="str">
        <f t="shared" ref="J24" si="82"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[StringLength(MaxRemarksLength)]
		public virtual string Remarks { get; set; }
</v>
      </c>
      <c r="K24" s="6"/>
      <c r="L24" t="str">
        <f t="shared" ref="L24" si="83">IF(K24="","",REPT(CHAR(9),1)&amp;"[Index(nameof("&amp;IF(D24="","",""&amp;D24)&amp;")"&amp;", Name="&amp;"""IX_"&amp;$B$7&amp;"_"&amp;D24&amp;""")]")</f>
        <v/>
      </c>
      <c r="M24" t="str">
        <f t="shared" ref="M24" si="84">REPT(CHAR(9),2)&amp;"public virtual "&amp;IF(OR(H24="DateTime",H24="TimeSpan"),H24&amp;"?",H24)&amp;IF(C24="?","? "," ")&amp;D24&amp;" { get; set; }" &amp; "
"</f>
        <v xml:space="preserve">		public virtual string Remarks { get; set; }
</v>
      </c>
      <c r="N24" t="str">
        <f t="shared" ref="N24" si="85"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[StringLength(InvCkdContainerTransitPortPlanConsts.MaxRemarksLength)]
		public virtual string Remarks { get; set; }
</v>
      </c>
      <c r="O24" t="str">
        <f t="shared" ref="O24" si="86">IF(OR(H24="string",H24="DateTime",H24="int"),REPT(CHAR(9),2)&amp;"public virtual "&amp;IF(OR(H24="DateTime",H24="TimeSpan"),H24&amp;"?",H24)&amp;IF(C24="?","? "," ")&amp;D24&amp;" { get; set; }"&amp;$E$3,"")</f>
        <v xml:space="preserve">		public virtual string Remarks { get; set; }
</v>
      </c>
      <c r="P24" t="str">
        <f t="shared" ref="P24" si="87">REPT(CHAR(9),7)&amp;D24&amp;" = o." &amp;D24 &amp;","</f>
        <v xml:space="preserve">							Remarks = o.Remarks,</v>
      </c>
      <c r="T24" s="63" t="str">
        <f t="shared" ref="T24" si="88">REPT(CHAR(9),8)&amp;"("""&amp;D24&amp;"""),"</f>
        <v xml:space="preserve">								("Remarks"),</v>
      </c>
      <c r="V24" s="64" t="str">
        <f t="shared" ref="V24" si="89">REPT(CHAR(9),8)&amp;"_ =&gt; _."&amp;D24&amp;","</f>
        <v xml:space="preserve">								_ =&gt; _.Remarks,</v>
      </c>
      <c r="W24" s="63" t="str">
        <f t="shared" ref="W24" si="90"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 xml:space="preserve">				.WhereIf(!string.IsNullOrWhiteSpace(input.Remarks), e =&gt; e.Remarks.Contains(input.Remarks))</v>
      </c>
    </row>
    <row r="25" spans="1:23" customFormat="1" ht="18.75" customHeight="1" x14ac:dyDescent="0.3">
      <c r="A25" t="s">
        <v>319</v>
      </c>
      <c r="B25" t="s">
        <v>357</v>
      </c>
      <c r="C25" t="s">
        <v>1</v>
      </c>
      <c r="D25" t="str">
        <f t="shared" si="52"/>
        <v>IsActive</v>
      </c>
      <c r="E25" t="str">
        <f t="shared" si="53"/>
        <v>VARCHAR</v>
      </c>
      <c r="F25" s="6"/>
      <c r="G25" t="str">
        <f t="shared" si="54"/>
        <v>1</v>
      </c>
      <c r="H25" t="str">
        <f>+VLOOKUP(E25,'Data Type Mapping'!A:B,2,)</f>
        <v>string</v>
      </c>
      <c r="I25" t="str">
        <f t="shared" si="55"/>
        <v xml:space="preserve">		public const int MaxIsActiveLength = 1;
</v>
      </c>
      <c r="J25" t="str">
        <f t="shared" si="56"/>
        <v xml:space="preserve">		[StringLength(MaxIsActiveLength)]
		public virtual string IsActive { get; set; }
</v>
      </c>
      <c r="K25" s="6" t="s">
        <v>380</v>
      </c>
      <c r="L25" t="str">
        <f t="shared" si="57"/>
        <v xml:space="preserve">	[Index(nameof(IsActive), Name="IX_InvCkdContainerTransitPortPlan_IsActive")]</v>
      </c>
      <c r="M25" t="str">
        <f t="shared" si="58"/>
        <v xml:space="preserve">		public virtual string IsActive { get; set; }
</v>
      </c>
      <c r="N25" t="str">
        <f t="shared" si="59"/>
        <v xml:space="preserve">		[StringLength(InvCkdContainerTransitPortPlanConsts.MaxIsActiveLength)]
		public virtual string IsActive { get; set; }
</v>
      </c>
      <c r="O25" t="str">
        <f t="shared" si="60"/>
        <v xml:space="preserve">		public virtual string IsActive { get; set; }
</v>
      </c>
      <c r="P25" t="str">
        <f t="shared" si="61"/>
        <v xml:space="preserve">							IsActive = o.IsActive,</v>
      </c>
      <c r="T25" s="63" t="str">
        <f t="shared" si="62"/>
        <v xml:space="preserve">								("IsActive"),</v>
      </c>
      <c r="V25" s="64" t="str">
        <f t="shared" si="63"/>
        <v xml:space="preserve">								_ =&gt; _.IsActive,</v>
      </c>
      <c r="W25" s="63" t="str">
        <f t="shared" si="64"/>
        <v xml:space="preserve">				.WhereIf(!string.IsNullOrWhiteSpace(input.IsActive), e =&gt; e.IsActive.Contains(input.IsActive))</v>
      </c>
    </row>
    <row r="27" spans="1:23" ht="45.75" customHeight="1" x14ac:dyDescent="0.3">
      <c r="H27" s="11"/>
      <c r="I27" s="31" t="str">
        <f ca="1">TEXTJOIN2("
", TRUE,INDIRECT( $H$1):INDIRECT( $H$3))</f>
        <v xml:space="preserve">		public const int MaxContainerNoLength = 15;
		public const int MaxRenbanLength = 20;
		public const int MaxInvoiceNoLength = 200;
		public const int MaxBillOfLadingNoLength = 200;
		public const int MaxSupplierNoLength = 50;
		public const int MaxSealNoLength = 20;
		public const int MaxListCaseNoLength = 1000;
		public const int MaxListLotNoLength = 1000;
		public const int MaxTransportLength = 50;
		public const int MaxStatusLength = 10;
		public const int MaxPortCodeLength = 50;
		public const int MaxPortNameLength = 100;
		public const int MaxRemarksLength = 200;
		public const int MaxIsActiveLength = 1;
</v>
      </c>
      <c r="J27" s="30" t="str">
        <f ca="1">TEXTJOIN2("
", TRUE,INDIRECT( $F$1):INDIRECT( $F$3))</f>
        <v xml:space="preserve">		[StringLength(MaxContainerNoLength)]
		public virtual string ContainerNo { get; set; }
		[StringLength(MaxRenbanLength)]
		public virtual string Renban { get; set; }
		public virtual DateTime? RequestDate { get; set; }
		public virtual TimeSpan? RequestTime { get; set; }
		[StringLength(MaxInvoiceNoLength)]
		public virtual string InvoiceNo { get; set; }
		[StringLength(MaxBillOfLadingNoLength)]
		public virtual string BillOfLadingNo { get; set; }
		[StringLength(MaxSupplierNoLength)]
		public virtual string SupplierNo { get; set; }
		[StringLength(MaxSealNoLength)]
		public virtual string SealNo { get; set; }
		[StringLength(MaxListCaseNoLength)]
		public virtual string ListCaseNo { get; set; }
		[StringLength(MaxListLotNoLength)]
		public virtual string ListLotNo { get; set; }
		public virtual DateTime? CdDate { get; set; }
		[StringLength(MaxTransportLength)]
		public virtual string Transport { get; set; }
		[StringLength(MaxStatusLength)]
		public virtual string Status { get; set; }
		[StringLength(MaxPortCodeLength)]
		public virtual string PortCode { get; set; }
		[StringLength(MaxPortNameLength)]
		public virtual string PortName { get; set; }
		[StringLength(MaxRemarksLength)]
		public virtual string Remarks { get; set; }
		[StringLength(MaxIsActiveLength)]
		public virtual string IsActive { get; set; }
</v>
      </c>
      <c r="K27" s="32" t="str">
        <f ca="1">TEXTJOIN2("
", TRUE,INDIRECT( $J$1):INDIRECT( $J$3))</f>
        <v xml:space="preserve">	[Index(nameof(ContainerNo), Name="IX_InvCkdContainerTransitPortPlan_ContainerNo")]
	[Index(nameof(Renban), Name="IX_InvCkdContainerTransitPortPlan_Renban")]
	[Index(nameof(RequestDate), Name="IX_InvCkdContainerTransitPortPlan_RequestDate")]
	[Index(nameof(InvoiceNo), Name="IX_InvCkdContainerTransitPortPlan_InvoiceNo")]
	[Index(nameof(IsActive), Name="IX_InvCkdContainerTransitPortPlan_IsActive")]</v>
      </c>
      <c r="L27" s="12" t="s">
        <v>57</v>
      </c>
      <c r="M27" s="33" t="str">
        <f ca="1">TEXTJOIN2("
",TRUE,INDIRECT( $L$1):INDIRECT($L$3))</f>
        <v xml:space="preserve">		public virtual string ContainerNo { get; set; }
		public virtual string Renban { get; set; }
		public virtual DateTime? RequestDate { get; set; }
		public virtual TimeSpan? RequestTime { get; set; }
		public virtual string InvoiceNo { get; set; }
		public virtual string BillOfLadingNo { get; set; }
		public virtual string SupplierNo { get; set; }
		public virtual string SealNo { get; set; }
		public virtual string ListCaseNo { get; set; }
		public virtual string ListLotNo { get; set; }
		public virtual DateTime? CdDate { get; set; }
		public virtual string Transport { get; set; }
		public virtual string Status { get; set; }
		public virtual string PortCode { get; set; }
		public virtual string PortName { get; set; }
		public virtual string Remarks { get; set; }
		public virtual string IsActive { get; set; }
</v>
      </c>
      <c r="N27" s="30" t="str">
        <f ca="1">TEXTJOIN2("
",TRUE,INDIRECT( $M$1):INDIRECT($M$3))</f>
        <v xml:space="preserve">		[StringLength(InvCkdContainerTransitPortPlanConsts.MaxContainerNoLength)]
		public virtual string ContainerNo { get; set; }
		[StringLength(InvCkdContainerTransitPortPlanConsts.MaxRenbanLength)]
		public virtual string Renban { get; set; }
		public virtual DateTime? RequestDate { get; set; }
		public virtual TimeSpan? RequestTime { get; set; }
		[StringLength(InvCkdContainerTransitPortPlanConsts.MaxInvoiceNoLength)]
		public virtual string InvoiceNo { get; set; }
		[StringLength(InvCkdContainerTransitPortPlanConsts.MaxBillOfLadingNoLength)]
		public virtual string BillOfLadingNo { get; set; }
		[StringLength(InvCkdContainerTransitPortPlanConsts.MaxSupplierNoLength)]
		public virtual string SupplierNo { get; set; }
		[StringLength(InvCkdContainerTransitPortPlanConsts.MaxSealNoLength)]
		public virtual string SealNo { get; set; }
		[StringLength(InvCkdContainerTransitPortPlanConsts.MaxListCaseNoLength)]
		public virtual string ListCaseNo { get; set; }
		[StringLength(InvCkdContainerTransitPortPlanConsts.MaxListLotNoLength)]
		public virtual string ListLotNo { get; set; }
		public virtual DateTime? CdDate { get; set; }
		[StringLength(InvCkdContainerTransitPortPlanConsts.MaxTransportLength)]
		public virtual string Transport { get; set; }
		[StringLength(InvCkdContainerTransitPortPlanConsts.MaxStatusLength)]
		public virtual string Status { get; set; }
		[StringLength(InvCkdContainerTransitPortPlanConsts.MaxPortCodeLength)]
		public virtual string PortCode { get; set; }
		[StringLength(InvCkdContainerTransitPortPlanConsts.MaxPortNameLength)]
		public virtual string PortName { get; set; }
		[StringLength(InvCkdContainerTransitPortPlanConsts.MaxRemarksLength)]
		public virtual string Remarks { get; set; }
		[StringLength(InvCkdContainerTransitPortPlanConsts.MaxIsActiveLength)]
		public virtual string IsActive { get; set; }
</v>
      </c>
      <c r="O27" s="30" t="str">
        <f ca="1">TEXTJOIN2("
",TRUE,INDIRECT( $N$1):INDIRECT($N$3))</f>
        <v xml:space="preserve">		public virtual string ContainerNo { get; set; }
		public virtual string Renban { get; set; }
		public virtual string InvoiceNo { get; set; }
		public virtual string BillOfLadingNo { get; set; }
		public virtual string SupplierNo { get; set; }
		public virtual string SealNo { get; set; }
		public virtual string ListCaseNo { get; set; }
		public virtual string ListLotNo { get; set; }
		public virtual string Transport { get; set; }
		public virtual string Status { get; set; }
		public virtual string PortCode { get; set; }
		public virtual string PortName { get; set; }
		public virtual string Remarks { get; set; }
		public virtual string IsActive { get; set; }
</v>
      </c>
      <c r="P27" s="8" t="str">
        <f ca="1">TEXTJOIN2("
",TRUE,INDIRECT( $O$1):INDIRECT($O$3))</f>
        <v xml:space="preserve">							ContainerNo = o.ContainerNo,
							Renban = o.Renban,
							RequestDate = o.RequestDate,
							RequestTime = o.RequestTime,
							InvoiceNo = o.InvoiceNo,
							BillOfLadingNo = o.BillOfLadingNo,
							SupplierNo = o.SupplierNo,
							SealNo = o.SealNo,
							ListCaseNo = o.ListCaseNo,
							ListLotNo = o.ListLotNo,
							CdDate = o.CdDate,
							Transport = o.Transport,
							Status = o.Status,
							PortCode = o.PortCode,
							PortName = o.PortName,
							Remarks = o.Remarks,
							IsActive = o.IsActive,</v>
      </c>
      <c r="T27" s="8" t="str">
        <f ca="1">TEXTJOIN2("
",TRUE,INDIRECT( $T$2):INDIRECT($T$3))</f>
        <v xml:space="preserve">								("ContainerNo"),
								("Renban"),
								("RequestDate"),
								("RequestTime"),
								("InvoiceNo"),
								("BillOfLadingNo"),
								("SupplierNo"),
								("SealNo"),
								("ListCaseNo"),
								("ListLotNo"),
								("CdDate"),
								("Transport"),
								("Status"),
								("PortCode"),
								("PortName"),
								("Remarks"),
								("IsActive"),</v>
      </c>
      <c r="V27" s="8" t="str">
        <f ca="1">TEXTJOIN2("
",TRUE,INDIRECT( $V$2):INDIRECT($V$3))</f>
        <v xml:space="preserve">								_ =&gt; _.ContainerNo,
								_ =&gt; _.Renban,
								_ =&gt; _.RequestDate,
								_ =&gt; _.RequestTime,
								_ =&gt; _.InvoiceNo,
								_ =&gt; _.BillOfLadingNo,
								_ =&gt; _.SupplierNo,
								_ =&gt; _.SealNo,
								_ =&gt; _.ListCaseNo,
								_ =&gt; _.ListLotNo,
								_ =&gt; _.CdDate,
								_ =&gt; _.Transport,
								_ =&gt; _.Status,
								_ =&gt; _.PortCode,
								_ =&gt; _.PortName,
								_ =&gt; _.Remarks,
								_ =&gt; _.IsActive,</v>
      </c>
      <c r="W27" s="8" t="str">
        <f ca="1">TEXTJOIN2("
",TRUE,INDIRECT( $W$2):INDIRECT($W$3))</f>
        <v xml:space="preserve">				.WhereIf(!string.IsNullOrWhiteSpace(input.ContainerNo), e =&gt; e.ContainerNo.Contains(input.ContainerNo))
				.WhereIf(!string.IsNullOrWhiteSpace(input.Renban), e =&gt; e.Renban.Contains(input.Renban))
				.WhereIf(!string.IsNullOrWhiteSpace(input.InvoiceNo), e =&gt; e.InvoiceNo.Contains(input.InvoiceNo))
				.WhereIf(!string.IsNullOrWhiteSpace(input.BillOfLadingNo), e =&gt; e.BillOfLadingNo.Contains(input.BillOfLadingNo))
				.WhereIf(!string.IsNullOrWhiteSpace(input.SupplierNo), e =&gt; e.SupplierNo.Contains(input.SupplierNo))
				.WhereIf(!string.IsNullOrWhiteSpace(input.SealNo), e =&gt; e.SealNo.Contains(input.SealNo))
				.WhereIf(!string.IsNullOrWhiteSpace(input.ListCaseNo), e =&gt; e.ListCaseNo.Contains(input.ListCaseNo))
				.WhereIf(!string.IsNullOrWhiteSpace(input.ListLotNo), e =&gt; e.ListLotNo.Contains(input.ListLotNo))
				.WhereIf(!string.IsNullOrWhiteSpace(input.Transport), e =&gt; e.Transport.Contains(input.Transport))
				.WhereIf(!string.IsNullOrWhiteSpace(input.Status), e =&gt; e.Status.Contains(input.Status))
				.WhereIf(!string.IsNullOrWhiteSpace(input.PortCode), e =&gt; e.PortCode.Contains(input.PortCode))
				.WhereIf(!string.IsNullOrWhiteSpace(input.PortName), e =&gt; e.PortName.Contains(input.PortName))
				.WhereIf(!string.IsNullOrWhiteSpace(input.Remarks), e =&gt; e.Remarks.Contains(input.Remarks))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33"/>
  <sheetViews>
    <sheetView workbookViewId="0">
      <selection activeCell="B19" sqref="B19"/>
    </sheetView>
  </sheetViews>
  <sheetFormatPr defaultColWidth="8.88671875" defaultRowHeight="14.4" x14ac:dyDescent="0.3"/>
  <cols>
    <col min="1" max="1" width="17.6640625" customWidth="1"/>
    <col min="2" max="2" width="15.44140625" customWidth="1"/>
    <col min="3" max="3" width="16.88671875" customWidth="1"/>
    <col min="4" max="7" width="15.109375" customWidth="1"/>
    <col min="8" max="8" width="24.44140625" customWidth="1"/>
    <col min="9" max="9" width="29.6640625" customWidth="1"/>
    <col min="10" max="10" width="22.33203125" customWidth="1"/>
    <col min="11" max="11" width="59.6640625" customWidth="1"/>
    <col min="12" max="12" width="23.6640625" customWidth="1"/>
    <col min="13" max="13" width="23.44140625" customWidth="1"/>
    <col min="14" max="15" width="20.44140625" customWidth="1"/>
    <col min="16" max="16" width="25.88671875" customWidth="1"/>
    <col min="17" max="18" width="25.44140625" customWidth="1"/>
    <col min="19" max="19" width="24" customWidth="1"/>
    <col min="20" max="20" width="19.109375" customWidth="1"/>
    <col min="21" max="21" width="19.88671875" customWidth="1"/>
    <col min="22" max="22" width="13.6640625" customWidth="1"/>
  </cols>
  <sheetData>
    <row r="1" spans="1:22" ht="43.2" x14ac:dyDescent="0.3">
      <c r="A1" s="38" t="s">
        <v>208</v>
      </c>
      <c r="B1" s="39" t="s">
        <v>387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3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3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3">
      <c r="A4" s="38" t="s">
        <v>210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3">
      <c r="A5" s="38" t="s">
        <v>210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3">
      <c r="A6" s="38" t="s">
        <v>220</v>
      </c>
      <c r="B6" s="41" t="str">
        <f>A.Backend!B3</f>
        <v>InvCkdContainerTransitPortPlan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3">
      <c r="A7" s="38" t="s">
        <v>211</v>
      </c>
      <c r="B7" s="40" t="str">
        <f>A.Backend!B5</f>
        <v>ContainerTransitPortPlan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3">
      <c r="A8" s="38" t="s">
        <v>209</v>
      </c>
      <c r="B8" s="40" t="str">
        <f>LOWER(B7)</f>
        <v>containertransitportplan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3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3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InvCkdContainerTransitPortPlanDto, InvCkdContainerTransitPortPlanServiceProxy } from '@shared/service-proxies/service-proxies';
import { finalize } from 'rxjs/internal/operators/finalize';
import { CreateOrEditContainerTransitPortPlanModalComponent } from './create-or-edit-containertransitportplan-modal.component';
import { DatePipe } from '@angular/common';
import { FileDownloadService } from '@shared/utils/file-download.service';
import ceil from 'lodash-es/ceil';
import { Paginator } from 'primeng/paginator';
@Component({
    templateUrl: './containertransitportplan.component.html',
    styleUrls: ['./containertransitportplan.component.less'],
})
export class ContainerTransitPortPlanComponent extends AppComponentBase implements OnInit {
    @ViewChild('createOrEditModalContainerTransitPortPlan', { static: true }) createOrEditModalContainerTransitPortPlan:| CreateOrEditContainerTransitPortPlanModalComponent|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InvCkdContainerTransitPortPlanDto = new InvCkdContainerTransitPortPlanDto();
    saveSelectedRow: InvCkdContainerTransitPortPlanDto = new InvCkdContainerTransitPortPlanDto();
    datas: InvCkdContainerTransitPortPlanDto = new InvCkdContainerTransitPortPlanDto();
    isLoading: boolean = false;
    dataParams: GridParams | undefined;
    rowData: any[] = [];
    gridApi!: GridApi;
    rowSelection = 'multiple';
    filter: string = '';
	pipe = new DatePipe('en-US');
	frameworkComponents: FrameworkComponent;
    	containerNo : string = '' ; 
	renban : string = '' ; 
	requestDate
	requestTime
	invoiceNo : string = '' ; 
	billOfLadingNo : string = '' ; 
	supplierNo : string = '' ; 
	sealNo : string = '' ; 
	listCaseNo : string = '' ; 
	listLotNo : string = '' ; 
	cdDate
	transport : string = '' ; 
	status : string = '' ; 
	portCode : string = '' ; 
	portName : string = '' ; 
	remarks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InvCkdContainerTransitPortPlanServiceProxy,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this.l('Container No'),headerTooltip: this.l('Container No'),field: 'containerNo',flex: 1},
			{headerName: this.l('Renban'),headerTooltip: this.l('Renban'),field: 'renban',flex: 1},
			{headerName: this.l('Request Date'),headerTooltip: this.l('Request Date'),field: 'requestDate',flex: 1},
			{headerName: this.l('Request Time'),headerTooltip: this.l('Request Time'),field: 'requestTime',flex: 1},
			{headerName: this.l('Invoice No'),headerTooltip: this.l('Invoice No'),field: 'invoiceNo',flex: 1},
			{headerName: this.l('Bill Of Lading No'),headerTooltip: this.l('Bill Of Lading No'),field: 'billOfLadingNo',flex: 1},
			{headerName: this.l('Supplier No'),headerTooltip: this.l('Supplier No'),field: 'supplierNo',flex: 1},
			{headerName: this.l('Seal No'),headerTooltip: this.l('Seal No'),field: 'sealNo',flex: 1},
			{headerName: this.l('List Case No'),headerTooltip: this.l('List Case No'),field: 'listCaseNo',flex: 1},
			{headerName: this.l('List Lot No'),headerTooltip: this.l('List Lot No'),field: 'listLotNo',flex: 1},
			{headerName: this.l('Cd Date'),headerTooltip: this.l('Cd Date'),field: 'cdDate',flex: 1},
			{headerName: this.l('Transport'),headerTooltip: this.l('Transport'),field: 'transport',flex: 1},
			{headerName: this.l('Status'),headerTooltip: this.l('Status'),field: 'status',flex: 1},
			{headerName: this.l('Port Code'),headerTooltip: this.l('Port Code'),field: 'portCode',flex: 1},
			{headerName: this.l('Port Name'),headerTooltip: this.l('Port Name'),field: 'portName',flex: 1},
			{headerName: this.l('Remarks'),headerTooltip: this.l('Remarks'),field: 'remarks',flex: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this.containerNo,
			this.renban,
			this.requestDate,
			this.requestTime,
			this.invoiceNo,
			this.billOfLadingNo,
			this.supplierNo,
			this.sealNo,
			this.listCaseNo,
			this.listLotNo,
			this.cdDate,
			this.transport,
			this.status,
			this.portCode,
			this.portName,
			this.remarks,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this.containerNo = '',
		this.renban = '',
		this.requestDate = '',
		this.requestTime = '',
		this.invoiceNo = '',
		this.billOfLadingNo = '',
		this.supplierNo = '',
		this.sealNo = '',
		this.listCaseNo = '',
		this.listLotNo = '',
		this.cdDate = '',
		this.transport = '',
		this.status = '',
		this.portCode = '',
		this.portName = '',
		this.remarks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this.containerNo,
			this.renban,
			this.requestDate,
			this.requestTime,
			this.invoiceNo,
			this.billOfLadingNo,
			this.supplierNo,
			this.sealNo,
			this.listCaseNo,
			this.listLotNo,
			this.cdDate,
			this.transport,
			this.status,
			this.portCode,
			this.portName,
			this.remarks,
			this.isActive,
			'',
            this.paginationParams.skipCount,
            this.paginationParams.pageSize
        );
    }
    onChangeRowSelection(params: { api: { getSelectedRows: () =&gt; InvCkdContainerTransitPortPlanDto[] } }) {
        this.saveSelectedRow = params.api.getSelectedRows()[0] ?? new InvCkdContainerTransitPortPlanDto();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InvCkdContainerTransitPortPlanDto):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this._service.getContainerTransitPortPlanToExcel(
			this.containerNo,
			this.renban,
			this.requestDate,
			this.requestTime,
			this.invoiceNo,
			this.billOfLadingNo,
			this.supplierNo,
			this.sealNo,
			this.listCaseNo,
			this.listLotNo,
			this.cdDate,
			this.transport,
			this.status,
			this.portCode,
			this.portName,
			this.remarks,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Container Delivery Plan to Transit Port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[(ngModel)]='invoiceNo' name='invoiceNo'
									class='form-control' [placeholder]="l('Invoice No')"
									type='text' (keyup.enter)='searchDatas()'&gt;
								&lt;/div&gt;
								&lt;div class='input-search'&gt;
									&lt;input [(ngModel)]='billOfLadingNo' name='billOfLadingNo'
									class='form-control' [placeholder]="l('Bill Of Lading No')"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[(ngModel)]='sealNo' name='sealNo'
									class='form-control' [placeholder]="l('Seal No')"
									type='text' (keyup.enter)='searchDatas()'&gt;
								&lt;/div&gt;
								&lt;div class='input-search'&gt;
									&lt;input [(ngModel)]='listCaseNo' name='listCaseNo'
									class='form-control' [placeholder]="l('List Case No')"
									type='text' (keyup.enter)='searchDatas()'&gt;
								&lt;/div&gt;
								&lt;div class='input-search'&gt;
									&lt;input [(ngModel)]='listLotNo' name='listLotNo'
									class='form-control' [placeholder]="l('List Lot No')"
									type='text' (keyup.enter)='searchDatas()'&gt;
								&lt;/div&gt;
								&lt;div class='input-search'&gt;
									&lt;input [(ngModel)]='transport' name='transport'
									class='form-control' [placeholder]="l('Transport')"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[(ngModel)]='portCode' name='portCode'
									class='form-control' [placeholder]="l('Port Code')"
									type='text' (keyup.enter)='searchDatas()'&gt;
								&lt;/div&gt;
								&lt;div class='input-search'&gt;
									&lt;input [(ngModel)]='portName' name='portName'
									class='form-control' [placeholder]="l('Port Name')"
									type='text' (keyup.enter)='searchDatas()'&gt;
								&lt;/div&gt;
								&lt;div class='input-search'&gt;
									&lt;input [(ngModel)]='remarks' name='remarks'
									class='form-control' [placeholder]="l('Remarks')"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(click)="createOrEditModalContainerTransitPortPlan.show()"&gt;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(click)="createOrEditModalContainerTransitPortPlan.show(selectedRow)"&gt;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&lt;create-or-edit-containertransitportplan-modal
    #createOrEditModalContainerTransitPortPlan
    (modalSave)="callBackDataGrid(dataParams)"
    (modalClose)="onChangeRowSelection(dataParams)"
&gt;
&lt;/create-or-edit-containertransitportplan-modal&gt;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#createOrEditModalContainerTransitPortPlan="bs-modal"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ContainerTransitPortPlan')}}&lt;/h3&gt;
                    &lt;h3 *ngIf="!rowdata.id"&gt;{{('Create New ContainerTransitPortPlan')}}&lt;/h3&gt;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title'&gt;Request Date&lt;/label&gt;
						&lt;input type='text' class='col-md-10 form-control input-text' name='requestDate' 
						#datepicker='bsDatepicker' [(ngModel)]='rowdata.requestDate'  bsDatepicker &gt;
					&lt;/div&gt;
					&lt;div class='col-md-12 form-group row'&gt;
						&lt;label class='col-md-2 form-control title'&gt;Request Time&lt;/label&gt;
						&lt;input type='text' class='col-md-10 form-control input-text' name='requestTime' 
						#datepicker='bsDatepicker' [(ngModel)]='rowdata.requestTime'  bsDatepicker &gt;
					&lt;/div&gt;
					&lt;div class='col-md-12 form-group row'&gt;
						&lt;label class='col-md-2 form-control title'&gt;Invoice No&lt;/label&gt;
						&lt;input type='text' class='col-md-10 form-control input-text' name='InvoiceNo' [(ngModel)]='rowdata.invoiceNo'&gt;
					&lt;/div&gt;
					&lt;div class='col-md-12 form-group row'&gt;
						&lt;label class='col-md-2 form-control title'&gt;Bill Of Lading No&lt;/label&gt;
						&lt;input type='text' class='col-md-10 form-control input-text' name='BillOfLadingNo' [(ngModel)]='rowdata.billOfLadingNo'&gt;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title'&gt;Seal No&lt;/label&gt;
						&lt;input type='text' class='col-md-10 form-control input-text' name='SealNo' [(ngModel)]='rowdata.sealNo'&gt;
					&lt;/div&gt;
					&lt;div class='col-md-12 form-group row'&gt;
						&lt;label class='col-md-2 form-control title'&gt;List Case No&lt;/label&gt;
						&lt;input type='text' class='col-md-10 form-control input-text' name='ListCaseNo' [(ngModel)]='rowdata.listCaseNo'&gt;
					&lt;/div&gt;
					&lt;div class='col-md-12 form-group row'&gt;
						&lt;label class='col-md-2 form-control title'&gt;List Lot No&lt;/label&gt;
						&lt;input type='text' class='col-md-10 form-control input-text' name='ListLotNo' [(ngModel)]='rowdata.listLotNo'&gt;
					&lt;/div&gt;
					&lt;div class='col-md-12 form-group row'&gt;
						&lt;label class='col-md-2 form-control title'&gt;Cd Date&lt;/label&gt;
						&lt;input type='text' class='col-md-10 form-control input-text' name='cdDate' 
						#datepicker='bsDatepicker' [(ngModel)]='rowdata.cdDate'  bsDatepicker &gt;
					&lt;/div&gt;
					&lt;div class='col-md-12 form-group row'&gt;
						&lt;label class='col-md-2 form-control title'&gt;Transport&lt;/label&gt;
						&lt;input type='text' class='col-md-10 form-control input-text' name='Transport' [(ngModel)]='rowdata.transport'&gt;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title'&gt;Port Code&lt;/label&gt;
						&lt;input type='text' class='col-md-10 form-control input-text' name='PortCode' [(ngModel)]='rowdata.portCode'&gt;
					&lt;/div&gt;
					&lt;div class='col-md-12 form-group row'&gt;
						&lt;label class='col-md-2 form-control title'&gt;Port Name&lt;/label&gt;
						&lt;input type='text' class='col-md-10 form-control input-text' name='PortName' [(ngModel)]='rowdata.portName'&gt;
					&lt;/div&gt;
					&lt;div class='col-md-12 form-group row'&gt;
						&lt;label class='col-md-2 form-control title'&gt;Remarks&lt;/label&gt;
						&lt;input type='text' class='col-md-10 form-control input-text' name='Remarks' [(ngModel)]='rowdata.remarks'&gt;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CreateOrEditInvCkdContainerTransitPortPlanDto, InvCkdContainerTransitPortPlanServiceProxy } from '@shared/service-proxies/service-proxies';
import { BsDatepickerDirective } from 'ngx-bootstrap/datepicker';
@Component({
    selector: 'create-or-edit-containertransitportplan-modal',
    templateUrl: './create-or-edit-containertransitportplan-modal.component.html',
    styleUrls: ['./create-or-edit-containertransitportplan-modal.component.less']
    })
export class CreateOrEditContainerTransitPortPlanModalComponent extends AppComponentBase {
    @ViewChild('createOrEditModalContainerTransitPortPlan',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CreateOrEditInvCkdContainerTransitPortPlanDto = new CreateOrEditInvCkdContainerTransitPortPlanDto();
    active: boolean = false;
    saving: boolean = false;
    _isActive: boolean;
    constructor(
        injector: Injector,
        private _mstwptContainerTransitPortPlanService: InvCkdContainerTransitPortPlanServiceProxy,
    ) 
    {
        super(injector);
    }
    show(rowdata?: CreateOrEditInvCkdContainerTransitPortPlanDto): void {
        if (!rowdata) this.rowdata = new CreateOrEditInvCkdContainerTransitPortPlanDto();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this._mstwptContainerTransitPortPlanService.createOrEdit(this.rowdata)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ContainerTransitPortPlanRoutingModule } from './containertransitportplan-routing.module';
import { ContainerTransitPortPlanComponent } from './containertransitportplan.component';
import { CreateOrEditContainerTransitPortPlanModalComponent } from './create-or-edit-containertransitportplan-modal.component';
@NgModule({
    declarations: [
       ContainerTransitPortPlanComponent, 
        CreateOrEditContainerTransitPortPlanModalComponent
    ],
    imports: [
        AppSharedModule, ContainerTransitPortPlanRoutingModule]
})
export class ContainerTransitPortPlanModule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ContainerTransitPortPlanComponent } from './containertransitportplan.component';
const routes: Routes = [{
    path: '',
    component: ContainerTransitPortPlanComponent,
    pathMatch: 'full'
}];
@NgModule({
    imports: [RouterModule.forChild(routes)],
    exports: [RouterModule],
})
export class ContainerTransitPortPlanRoutingModule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AppMenuItem("ContainerTransitPortPlan", "Pages.Inventory.CKD.ContainerTransitPortPlan", "flaticon-book",   "/app/main/inventory/ckd/containertransitportplan"),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'inventory/ckd/containertransitportplan',
    loadChildren: () =&gt; import('./inventory/ckd/containertransitportplan/containertransitportplan.module').then(m =&gt; m.ContainerTransitPortPlanModule),
    data: { permission: 'Pages.Inventory.CKD.ContainerTransitPortPlan' }
},</v>
      </c>
      <c r="R10" s="47" t="str">
        <f>SUBSTITUTE(R9,"MstWptCalendar",$B$6)</f>
        <v>ApiServiceProxies.InvCkdContainerTransitPortPlanServiceProxy,</v>
      </c>
      <c r="S10" s="28"/>
      <c r="T10" s="28"/>
      <c r="U10" s="28"/>
      <c r="V10" s="28"/>
    </row>
    <row r="11" spans="1:22" x14ac:dyDescent="0.3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3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H31</v>
      </c>
      <c r="I12" s="28" t="str">
        <f>"I"&amp;COUNTA($A:$A)</f>
        <v>I31</v>
      </c>
      <c r="J12" s="28"/>
      <c r="K12" s="28" t="str">
        <f>"K"&amp;COUNTA($A:$A)</f>
        <v>K31</v>
      </c>
      <c r="L12" s="28" t="str">
        <f>"L"&amp;COUNTA($A:$A)</f>
        <v>L31</v>
      </c>
      <c r="M12" s="28"/>
      <c r="N12" s="28"/>
      <c r="O12" s="28"/>
      <c r="P12" s="28"/>
      <c r="Q12" s="28"/>
      <c r="R12" s="28"/>
      <c r="S12" s="28" t="str">
        <f>"S"&amp;COUNTA($A:$A)</f>
        <v>S31</v>
      </c>
      <c r="T12" s="28" t="str">
        <f>"T"&amp;COUNTA($A:$A)</f>
        <v>T31</v>
      </c>
      <c r="U12" s="28" t="str">
        <f>"U"&amp;COUNTA($A:$A)</f>
        <v>U31</v>
      </c>
      <c r="V12" s="28" t="str">
        <f>"V"&amp;COUNTA($A:$A)</f>
        <v>V31</v>
      </c>
    </row>
    <row r="13" spans="1:22" ht="17.25" customHeight="1" x14ac:dyDescent="0.3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this.l('Container No'),headerTooltip: this.l('Container No'),field: 'containerNo',flex: 1},
			{headerName: this.l('Renban'),headerTooltip: this.l('Renban'),field: 'renban',flex: 1},
			{headerName: this.l('Request Date'),headerTooltip: this.l('Request Date'),field: 'requestDate',flex: 1},
			{headerName: this.l('Request Time'),headerTooltip: this.l('Request Time'),field: 'requestTime',flex: 1},
			{headerName: this.l('Invoice No'),headerTooltip: this.l('Invoice No'),field: 'invoiceNo',flex: 1},
			{headerName: this.l('Bill Of Lading No'),headerTooltip: this.l('Bill Of Lading No'),field: 'billOfLadingNo',flex: 1},
			{headerName: this.l('Supplier No'),headerTooltip: this.l('Supplier No'),field: 'supplierNo',flex: 1},
			{headerName: this.l('Seal No'),headerTooltip: this.l('Seal No'),field: 'sealNo',flex: 1},
			{headerName: this.l('List Case No'),headerTooltip: this.l('List Case No'),field: 'listCaseNo',flex: 1},
			{headerName: this.l('List Lot No'),headerTooltip: this.l('List Lot No'),field: 'listLotNo',flex: 1},
			{headerName: this.l('Cd Date'),headerTooltip: this.l('Cd Date'),field: 'cdDate',flex: 1},
			{headerName: this.l('Transport'),headerTooltip: this.l('Transport'),field: 'transport',flex: 1},
			{headerName: this.l('Status'),headerTooltip: this.l('Status'),field: 'status',flex: 1},
			{headerName: this.l('Port Code'),headerTooltip: this.l('Port Code'),field: 'portCode',flex: 1},
			{headerName: this.l('Port Name'),headerTooltip: this.l('Port Name'),field: 'portName',flex: 1},
			{headerName: this.l('Remarks'),headerTooltip: this.l('Remarks'),field: 'remarks',flex: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[(ngModel)]='invoiceNo' name='invoiceNo'
									class='form-control' [placeholder]="l('Invoice No')"
									type='text' (keyup.enter)='searchDatas()'&gt;
								&lt;/div&gt;
								&lt;div class='input-search'&gt;
									&lt;input [(ngModel)]='billOfLadingNo' name='billOfLadingNo'
									class='form-control' [placeholder]="l('Bill Of Lading No')"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[(ngModel)]='sealNo' name='sealNo'
									class='form-control' [placeholder]="l('Seal No')"
									type='text' (keyup.enter)='searchDatas()'&gt;
								&lt;/div&gt;
								&lt;div class='input-search'&gt;
									&lt;input [(ngModel)]='listCaseNo' name='listCaseNo'
									class='form-control' [placeholder]="l('List Case No')"
									type='text' (keyup.enter)='searchDatas()'&gt;
								&lt;/div&gt;
								&lt;div class='input-search'&gt;
									&lt;input [(ngModel)]='listLotNo' name='listLotNo'
									class='form-control' [placeholder]="l('List Lot No')"
									type='text' (keyup.enter)='searchDatas()'&gt;
								&lt;/div&gt;
								&lt;div class='input-search'&gt;
									&lt;input [(ngModel)]='transport' name='transport'
									class='form-control' [placeholder]="l('Transport')"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[(ngModel)]='portCode' name='portCode'
									class='form-control' [placeholder]="l('Port Code')"
									type='text' (keyup.enter)='searchDatas()'&gt;
								&lt;/div&gt;
								&lt;div class='input-search'&gt;
									&lt;input [(ngModel)]='portName' name='portName'
									class='form-control' [placeholder]="l('Port Name')"
									type='text' (keyup.enter)='searchDatas()'&gt;
								&lt;/div&gt;
								&lt;div class='input-search'&gt;
									&lt;input [(ngModel)]='remarks' name='remarks'
									class='form-control' [placeholder]="l('Remarks')"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title'&gt;Request Date&lt;/label&gt;
						&lt;input type='text' class='col-md-10 form-control input-text' name='requestDate' 
						#datepicker='bsDatepicker' [(ngModel)]='rowdata.requestDate'  bsDatepicker &gt;
					&lt;/div&gt;
					&lt;div class='col-md-12 form-group row'&gt;
						&lt;label class='col-md-2 form-control title'&gt;Request Time&lt;/label&gt;
						&lt;input type='text' class='col-md-10 form-control input-text' name='requestTime' 
						#datepicker='bsDatepicker' [(ngModel)]='rowdata.requestTime'  bsDatepicker &gt;
					&lt;/div&gt;
					&lt;div class='col-md-12 form-group row'&gt;
						&lt;label class='col-md-2 form-control title'&gt;Invoice No&lt;/label&gt;
						&lt;input type='text' class='col-md-10 form-control input-text' name='InvoiceNo' [(ngModel)]='rowdata.invoiceNo'&gt;
					&lt;/div&gt;
					&lt;div class='col-md-12 form-group row'&gt;
						&lt;label class='col-md-2 form-control title'&gt;Bill Of Lading No&lt;/label&gt;
						&lt;input type='text' class='col-md-10 form-control input-text' name='BillOfLadingNo' [(ngModel)]='rowdata.billOfLadingNo'&gt;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title'&gt;Seal No&lt;/label&gt;
						&lt;input type='text' class='col-md-10 form-control input-text' name='SealNo' [(ngModel)]='rowdata.sealNo'&gt;
					&lt;/div&gt;
					&lt;div class='col-md-12 form-group row'&gt;
						&lt;label class='col-md-2 form-control title'&gt;List Case No&lt;/label&gt;
						&lt;input type='text' class='col-md-10 form-control input-text' name='ListCaseNo' [(ngModel)]='rowdata.listCaseNo'&gt;
					&lt;/div&gt;
					&lt;div class='col-md-12 form-group row'&gt;
						&lt;label class='col-md-2 form-control title'&gt;List Lot No&lt;/label&gt;
						&lt;input type='text' class='col-md-10 form-control input-text' name='ListLotNo' [(ngModel)]='rowdata.listLotNo'&gt;
					&lt;/div&gt;
					&lt;div class='col-md-12 form-group row'&gt;
						&lt;label class='col-md-2 form-control title'&gt;Cd Date&lt;/label&gt;
						&lt;input type='text' class='col-md-10 form-control input-text' name='cdDate' 
						#datepicker='bsDatepicker' [(ngModel)]='rowdata.cdDate'  bsDatepicker &gt;
					&lt;/div&gt;
					&lt;div class='col-md-12 form-group row'&gt;
						&lt;label class='col-md-2 form-control title'&gt;Transport&lt;/label&gt;
						&lt;input type='text' class='col-md-10 form-control input-text' name='Transport' [(ngModel)]='rowdata.transport'&gt;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title'&gt;Port Code&lt;/label&gt;
						&lt;input type='text' class='col-md-10 form-control input-text' name='PortCode' [(ngModel)]='rowdata.portCode'&gt;
					&lt;/div&gt;
					&lt;div class='col-md-12 form-group row'&gt;
						&lt;label class='col-md-2 form-control title'&gt;Port Name&lt;/label&gt;
						&lt;input type='text' class='col-md-10 form-control input-text' name='PortName' [(ngModel)]='rowdata.portName'&gt;
					&lt;/div&gt;
					&lt;div class='col-md-12 form-group row'&gt;
						&lt;label class='col-md-2 form-control title'&gt;Remarks&lt;/label&gt;
						&lt;input type='text' class='col-md-10 form-control input-text' name='Remarks' [(ngModel)]='rowdata.remarks'&gt;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containerNo : string = '' ; 
	renban : string = '' ; 
	requestDate
	requestTime
	invoiceNo : string = '' ; 
	billOfLadingNo : string = '' ; 
	supplierNo : string = '' ; 
	sealNo : string = '' ; 
	listCaseNo : string = '' ; 
	listLotNo : string = '' ; 
	cdDate
	transport : string = '' ; 
	status : string = '' ; 
	portCode : string = '' ; 
	portName : string = '' ; 
	remarks : string = '' ; 
	isActive : string = '' ; </v>
      </c>
      <c r="T13" s="62" t="str">
        <f ca="1">TEXTJOIN2("
",TRUE,INDIRECT(T11):INDIRECT(T12))</f>
        <v xml:space="preserve">			this.containerNo,
			this.renban,
			this.requestDate,
			this.requestTime,
			this.invoiceNo,
			this.billOfLadingNo,
			this.supplierNo,
			this.sealNo,
			this.listCaseNo,
			this.listLotNo,
			this.cdDate,
			this.transport,
			this.status,
			this.portCode,
			this.portName,
			this.remarks,
			this.isActive,</v>
      </c>
      <c r="U13" s="62" t="str">
        <f ca="1">TEXTJOIN2("
",TRUE,INDIRECT(U11):INDIRECT(U12))</f>
        <v xml:space="preserve">		this.containerNo = '',
		this.renban = '',
		this.requestDate = '',
		this.requestTime = '',
		this.invoiceNo = '',
		this.billOfLadingNo = '',
		this.supplierNo = '',
		this.sealNo = '',
		this.listCaseNo = '',
		this.listLotNo = '',
		this.cdDate = '',
		this.transport = '',
		this.status = '',
		this.portCode = '',
		this.portName = '',
		this.remarks = '',
		this.isActive = '',</v>
      </c>
      <c r="V13" s="28" t="str">
        <f ca="1">TEXTJOIN2("
",TRUE,INDIRECT(V11):INDIRECT(V12))</f>
        <v>isActive</v>
      </c>
    </row>
    <row r="14" spans="1:22" x14ac:dyDescent="0.3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containertransitportplan.component.ts</v>
      </c>
      <c r="I14" s="37" t="str">
        <f>B8&amp;".component.html"</f>
        <v>containertransitportplan.component.html</v>
      </c>
      <c r="J14" s="36" t="str">
        <f>B8&amp;".component.less"</f>
        <v>containertransitportplan.component.less</v>
      </c>
      <c r="K14" s="37" t="str">
        <f>"create-or-edit-"&amp;B8&amp;"-modal.component.html"</f>
        <v>create-or-edit-containertransitportplan-modal.component.html</v>
      </c>
      <c r="L14" s="37" t="str">
        <f>"create-or-edit-"&amp;B8&amp;"-modal.component.ts"</f>
        <v>create-or-edit-containertransitportplan-modal.component.ts</v>
      </c>
      <c r="M14" s="37" t="str">
        <f>"create-or-edit-"&amp;B8&amp;"-modal.component.less"</f>
        <v>create-or-edit-containertransitportplan-modal.component.less</v>
      </c>
      <c r="N14" s="37" t="str">
        <f>B8&amp;".module.ts"</f>
        <v>containertransitportplan.module.ts</v>
      </c>
      <c r="O14" s="37" t="str">
        <f>B8&amp;"-routing.module.ts"</f>
        <v>containertransitportplan-routing.module.ts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3">
      <c r="A15" t="s">
        <v>356</v>
      </c>
      <c r="B15" s="28" t="str">
        <f t="shared" ref="B15" si="0">SUBSTITUTE(PROPER(A15),"_","")</f>
        <v>ContainerNo</v>
      </c>
      <c r="C15" s="28" t="str">
        <f t="shared" ref="C15" si="1">SUBSTITUTE(PROPER(A15),"_"," ")</f>
        <v>Container No</v>
      </c>
      <c r="D15" s="28" t="str">
        <f t="shared" ref="D15" si="2">LOWER(LEFT(B15,1))&amp;RIGHT(B15,LEN(B15) - 1)</f>
        <v>containerNo</v>
      </c>
      <c r="E15" s="28" t="str">
        <f>A.Backend!H9</f>
        <v>string</v>
      </c>
      <c r="F15" s="28" t="str">
        <f>A.Backend!G9</f>
        <v>15</v>
      </c>
      <c r="G15" s="28" t="str">
        <f t="shared" ref="G15:G31" si="3">IF(E15="string"," : string = '' ; ",IF(OR(E15="DateTime",E15="TimeSpan")," : any ;",IF(E15="int"," : number = 0 ;","")))</f>
        <v xml:space="preserve"> : string = '' ; </v>
      </c>
      <c r="H15" s="35" t="str">
        <f t="shared" ref="H15:H31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this.l('Container No'),headerTooltip: this.l('Container No'),field: 'containerNo',flex: 1},</v>
      </c>
      <c r="I15" s="35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[(ngModel)]='containerNo' name='containerNo'
									class='form-control' [placeholder]="l('Container No')"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IF(E15="int?",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
IF(E15="decimal?",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
IF(E15="long?",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
""))))
))</f>
        <v xml:space="preserve">					&lt;div class='col-md-12 form-group row'&gt;
						&lt;label class='col-md-2 form-control title'&gt;Container No&lt;/label&gt;
						&lt;input type='text' class='col-md-10 form-control input-text' name='ContainerNo' [(ngModel)]='rowdata.containerNo'&gt;
					&lt;/div&gt;</v>
      </c>
      <c r="L15" s="56" t="str">
        <f t="shared" ref="L15" si="5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containerNo : string = '' ; </v>
      </c>
      <c r="T15" s="28" t="str">
        <f>REPT(CHAR(9),3)&amp;"this."&amp;D15&amp;","</f>
        <v xml:space="preserve">			this.containerNo,</v>
      </c>
      <c r="U15" s="28" t="str">
        <f>IF(E15="int",REPT(CHAR(9),2)&amp;"this."&amp;D15&amp;" = 0,",REPT(CHAR(9),2)&amp;"this."&amp;D15&amp;" = '',")</f>
        <v xml:space="preserve">		this.containerNo = '',</v>
      </c>
      <c r="V15" s="28" t="str">
        <f t="shared" ref="V15:V31" si="6">IF(AND(E15="string",F15="1"),D15,"")</f>
        <v/>
      </c>
    </row>
    <row r="16" spans="1:22" ht="18" customHeight="1" x14ac:dyDescent="0.3">
      <c r="A16" t="s">
        <v>358</v>
      </c>
      <c r="B16" s="28" t="str">
        <f t="shared" ref="B16" si="7">SUBSTITUTE(PROPER(A16),"_","")</f>
        <v>Renban</v>
      </c>
      <c r="C16" s="28" t="str">
        <f t="shared" ref="C16" si="8">SUBSTITUTE(PROPER(A16),"_"," ")</f>
        <v>Renban</v>
      </c>
      <c r="D16" s="28" t="str">
        <f t="shared" ref="D16" si="9">LOWER(LEFT(B16,1))&amp;RIGHT(B16,LEN(B16) - 1)</f>
        <v>renban</v>
      </c>
      <c r="E16" s="28" t="str">
        <f>A.Backend!H10</f>
        <v>string</v>
      </c>
      <c r="F16" s="28" t="str">
        <f>A.Backend!G10</f>
        <v>20</v>
      </c>
      <c r="G16" s="28" t="str">
        <f t="shared" si="3"/>
        <v xml:space="preserve"> : string = '' ; </v>
      </c>
      <c r="H16" s="35" t="str">
        <f t="shared" si="4"/>
        <v xml:space="preserve">			{headerName: this.l('Renban'),headerTooltip: this.l('Renban'),field: 'renban',flex: 1},</v>
      </c>
      <c r="I16" s="35" t="str">
        <f t="shared" ref="I16:I31" si="10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[(ngModel)]='renban' name='renban'
									class='form-control' [placeholder]="l('Renban')"
									type='text' (keyup.enter)='searchDatas()'&gt;
								&lt;/div&gt;</v>
      </c>
      <c r="J16" s="28"/>
      <c r="K16" s="35" t="str">
        <f t="shared" ref="K16:K31" si="11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IF(E16="int?",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
IF(E16="decimal?",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
IF(E16="long?",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
""))))
))</f>
        <v xml:space="preserve">					&lt;div class='col-md-12 form-group row'&gt;
						&lt;label class='col-md-2 form-control title'&gt;Renban&lt;/label&gt;
						&lt;input type='text' class='col-md-10 form-control input-text' name='Renban' [(ngModel)]='rowdata.renban'&gt;
					&lt;/div&gt;</v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31" si="13">REPT(CHAR(9),1)&amp;D16&amp;G16</f>
        <v xml:space="preserve">	renban : string = '' ; </v>
      </c>
      <c r="T16" s="28" t="str">
        <f t="shared" ref="T16:T31" si="14">REPT(CHAR(9),3)&amp;"this."&amp;D16&amp;","</f>
        <v xml:space="preserve">			this.renban,</v>
      </c>
      <c r="U16" s="28" t="str">
        <f t="shared" ref="U16:U31" si="15">IF(E16="int",REPT(CHAR(9),2)&amp;"this."&amp;D16&amp;" = 0,",REPT(CHAR(9),2)&amp;"this."&amp;D16&amp;" = '',")</f>
        <v xml:space="preserve">		this.renban = '',</v>
      </c>
      <c r="V16" s="28" t="str">
        <f t="shared" si="6"/>
        <v/>
      </c>
    </row>
    <row r="17" spans="1:22" ht="18" customHeight="1" x14ac:dyDescent="0.3">
      <c r="A17" t="s">
        <v>375</v>
      </c>
      <c r="B17" s="28" t="str">
        <f>SUBSTITUTE(PROPER(A17),"_","")</f>
        <v>RequestDate</v>
      </c>
      <c r="C17" s="28" t="str">
        <f>SUBSTITUTE(PROPER(A17),"_"," ")</f>
        <v>Request Date</v>
      </c>
      <c r="D17" s="28" t="str">
        <f>LOWER(LEFT(B17,1))&amp;RIGHT(B17,LEN(B17) - 1)</f>
        <v>requestDate</v>
      </c>
      <c r="E17" s="28" t="str">
        <f>A.Backend!H11</f>
        <v>DateTime?</v>
      </c>
      <c r="F17" s="28" t="str">
        <f>A.Backend!G11</f>
        <v/>
      </c>
      <c r="G17" s="28" t="str">
        <f t="shared" si="3"/>
        <v/>
      </c>
      <c r="H17" s="35" t="str">
        <f t="shared" si="4"/>
        <v xml:space="preserve">			{headerName: this.l('Request Date'),headerTooltip: this.l('Request Date'),field: 'requestDate',flex: 1},</v>
      </c>
      <c r="I17" s="35" t="str">
        <f t="shared" si="10"/>
        <v/>
      </c>
      <c r="J17" s="28"/>
      <c r="K17" s="35" t="str">
        <f t="shared" si="11"/>
        <v xml:space="preserve">					&lt;div class='col-md-12 form-group row'&gt;
						&lt;label class='col-md-2 form-control title'&gt;Request Date&lt;/label&gt;
						&lt;input type='text' class='col-md-10 form-control input-text' name='requestDate' 
						#datepicker='bsDatepicker' [(ngModel)]='rowdata.requestDate'  bsDatepicker 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requestDate</v>
      </c>
      <c r="T17" s="28" t="str">
        <f t="shared" si="14"/>
        <v xml:space="preserve">			this.requestDate,</v>
      </c>
      <c r="U17" s="28" t="str">
        <f t="shared" si="15"/>
        <v xml:space="preserve">		this.requestDate = '',</v>
      </c>
      <c r="V17" s="28" t="str">
        <f t="shared" si="6"/>
        <v/>
      </c>
    </row>
    <row r="18" spans="1:22" ht="15" customHeight="1" x14ac:dyDescent="0.3">
      <c r="A18" t="s">
        <v>376</v>
      </c>
      <c r="B18" s="28" t="str">
        <f t="shared" ref="B18:B24" si="16">SUBSTITUTE(PROPER(A18),"_","")</f>
        <v>RequestTime</v>
      </c>
      <c r="C18" s="28" t="str">
        <f t="shared" ref="C18:C24" si="17">SUBSTITUTE(PROPER(A18),"_"," ")</f>
        <v>Request Time</v>
      </c>
      <c r="D18" s="28" t="str">
        <f t="shared" ref="D18:D24" si="18">LOWER(LEFT(B18,1))&amp;RIGHT(B18,LEN(B18) - 1)</f>
        <v>requestTime</v>
      </c>
      <c r="E18" s="28" t="str">
        <f>A.Backend!H12</f>
        <v>TimeSpan?</v>
      </c>
      <c r="F18" s="28" t="str">
        <f>A.Backend!G12</f>
        <v>7</v>
      </c>
      <c r="G18" s="28" t="str">
        <f t="shared" si="3"/>
        <v/>
      </c>
      <c r="H18" s="35" t="str">
        <f t="shared" si="4"/>
        <v xml:space="preserve">			{headerName: this.l('Request Time'),headerTooltip: this.l('Request Time'),field: 'requestTime',flex: 1},</v>
      </c>
      <c r="I18" s="35" t="str">
        <f t="shared" si="10"/>
        <v/>
      </c>
      <c r="J18" s="28"/>
      <c r="K18" s="35" t="str">
        <f t="shared" si="11"/>
        <v xml:space="preserve">					&lt;div class='col-md-12 form-group row'&gt;
						&lt;label class='col-md-2 form-control title'&gt;Request Time&lt;/label&gt;
						&lt;input type='text' class='col-md-10 form-control input-text' name='requestTime' 
						#datepicker='bsDatepicker' [(ngModel)]='rowdata.requestTime'  bsDatepicker &gt;
					&lt;/div&gt;</v>
      </c>
      <c r="L18" s="56" t="str">
        <f t="shared" ref="L18:L24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requestTime</v>
      </c>
      <c r="T18" s="28" t="str">
        <f t="shared" si="14"/>
        <v xml:space="preserve">			this.requestTime,</v>
      </c>
      <c r="U18" s="28" t="str">
        <f t="shared" si="15"/>
        <v xml:space="preserve">		this.requestTime = '',</v>
      </c>
      <c r="V18" s="28" t="str">
        <f t="shared" si="6"/>
        <v/>
      </c>
    </row>
    <row r="19" spans="1:22" ht="18" customHeight="1" x14ac:dyDescent="0.3">
      <c r="A19" t="s">
        <v>377</v>
      </c>
      <c r="B19" s="28" t="str">
        <f t="shared" si="16"/>
        <v>InvoiceNo</v>
      </c>
      <c r="C19" s="28" t="str">
        <f t="shared" si="17"/>
        <v>Invoice No</v>
      </c>
      <c r="D19" s="28" t="str">
        <f t="shared" si="18"/>
        <v>invoiceNo</v>
      </c>
      <c r="E19" s="28" t="str">
        <f>A.Backend!H13</f>
        <v>string</v>
      </c>
      <c r="F19" s="28" t="str">
        <f>A.Backend!G13</f>
        <v>200</v>
      </c>
      <c r="G19" s="28" t="str">
        <f t="shared" si="3"/>
        <v xml:space="preserve"> : string = '' ; </v>
      </c>
      <c r="H19" s="35" t="str">
        <f t="shared" si="4"/>
        <v xml:space="preserve">			{headerName: this.l('Invoice No'),headerTooltip: this.l('Invoice No'),field: 'invoiceNo',flex: 1},</v>
      </c>
      <c r="I19" s="35" t="str">
        <f t="shared" si="10"/>
        <v xml:space="preserve">								&lt;div class='input-search'&gt;
									&lt;input [(ngModel)]='invoiceNo' name='invoiceNo'
									class='form-control' [placeholder]="l('Invoice No')"
									type='text' (keyup.enter)='searchDatas()'&gt;
								&lt;/div&gt;</v>
      </c>
      <c r="J19" s="28"/>
      <c r="K19" s="35" t="str">
        <f t="shared" si="11"/>
        <v xml:space="preserve">					&lt;div class='col-md-12 form-group row'&gt;
						&lt;label class='col-md-2 form-control title'&gt;Invoice No&lt;/label&gt;
						&lt;input type='text' class='col-md-10 form-control input-text' name='InvoiceNo' [(ngModel)]='rowdata.invoiceNo'&gt;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3"/>
        <v xml:space="preserve">	invoiceNo : string = '' ; </v>
      </c>
      <c r="T19" s="28" t="str">
        <f t="shared" si="14"/>
        <v xml:space="preserve">			this.invoiceNo,</v>
      </c>
      <c r="U19" s="28" t="str">
        <f t="shared" si="15"/>
        <v xml:space="preserve">		this.invoiceNo = '',</v>
      </c>
      <c r="V19" s="28" t="str">
        <f t="shared" si="6"/>
        <v/>
      </c>
    </row>
    <row r="20" spans="1:22" ht="15" customHeight="1" x14ac:dyDescent="0.3">
      <c r="A20" t="s">
        <v>378</v>
      </c>
      <c r="B20" s="28" t="str">
        <f t="shared" si="16"/>
        <v>BillOfLadingNo</v>
      </c>
      <c r="C20" s="28" t="str">
        <f t="shared" si="17"/>
        <v>Bill Of Lading No</v>
      </c>
      <c r="D20" s="28" t="str">
        <f t="shared" si="18"/>
        <v>billOfLadingNo</v>
      </c>
      <c r="E20" s="28" t="str">
        <f>A.Backend!H14</f>
        <v>string</v>
      </c>
      <c r="F20" s="28" t="str">
        <f>A.Backend!G14</f>
        <v>200</v>
      </c>
      <c r="G20" s="28" t="str">
        <f t="shared" si="3"/>
        <v xml:space="preserve"> : string = '' ; </v>
      </c>
      <c r="H20" s="35" t="str">
        <f t="shared" si="4"/>
        <v xml:space="preserve">			{headerName: this.l('Bill Of Lading No'),headerTooltip: this.l('Bill Of Lading No'),field: 'billOfLadingNo',flex: 1},</v>
      </c>
      <c r="I20" s="35" t="str">
        <f t="shared" si="10"/>
        <v xml:space="preserve">								&lt;div class='input-search'&gt;
									&lt;input [(ngModel)]='billOfLadingNo' name='billOfLadingNo'
									class='form-control' [placeholder]="l('Bill Of Lading No')"
									type='text' (keyup.enter)='searchDatas()'&gt;
								&lt;/div&gt;</v>
      </c>
      <c r="J20" s="28"/>
      <c r="K20" s="35" t="str">
        <f t="shared" si="11"/>
        <v xml:space="preserve">					&lt;div class='col-md-12 form-group row'&gt;
						&lt;label class='col-md-2 form-control title'&gt;Bill Of Lading No&lt;/label&gt;
						&lt;input type='text' class='col-md-10 form-control input-text' name='BillOfLadingNo' [(ngModel)]='rowdata.billOfLadingNo'&gt;
					&lt;/div&gt;</v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3"/>
        <v xml:space="preserve">	billOfLadingNo : string = '' ; </v>
      </c>
      <c r="T20" s="28" t="str">
        <f t="shared" si="14"/>
        <v xml:space="preserve">			this.billOfLadingNo,</v>
      </c>
      <c r="U20" s="28" t="str">
        <f t="shared" si="15"/>
        <v xml:space="preserve">		this.billOfLadingNo = '',</v>
      </c>
      <c r="V20" s="28" t="str">
        <f t="shared" si="6"/>
        <v/>
      </c>
    </row>
    <row r="21" spans="1:22" ht="18" customHeight="1" x14ac:dyDescent="0.3">
      <c r="A21" t="s">
        <v>379</v>
      </c>
      <c r="B21" s="28" t="str">
        <f t="shared" ref="B21" si="20">SUBSTITUTE(PROPER(A21),"_","")</f>
        <v>SupplierNo</v>
      </c>
      <c r="C21" s="28" t="str">
        <f t="shared" ref="C21" si="21">SUBSTITUTE(PROPER(A21),"_"," ")</f>
        <v>Supplier No</v>
      </c>
      <c r="D21" s="28" t="str">
        <f t="shared" ref="D21" si="22">LOWER(LEFT(B21,1))&amp;RIGHT(B21,LEN(B21) - 1)</f>
        <v>supplierNo</v>
      </c>
      <c r="E21" s="28" t="str">
        <f>A.Backend!H15</f>
        <v>string</v>
      </c>
      <c r="F21" s="28" t="str">
        <f>A.Backend!G15</f>
        <v>50</v>
      </c>
      <c r="G21" s="28" t="str">
        <f t="shared" ref="G21:G23" si="23">IF(E21="string"," : string = '' ; ",IF(OR(E21="DateTime",E21="TimeSpan")," : any ;",IF(E21="int"," : number = 0 ;","")))</f>
        <v xml:space="preserve"> : string = '' ; </v>
      </c>
      <c r="H21" s="35" t="str">
        <f t="shared" ref="H21:H23" si="24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this.l('Supplier No'),headerTooltip: this.l('Supplier No'),field: 'supplierNo',flex: 1},</v>
      </c>
      <c r="I21" s="35" t="str">
        <f t="shared" ref="I21:I23" si="25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21" s="28"/>
      <c r="K21" s="35" t="str">
        <f t="shared" ref="K21:K23" si="26">IF(OR(E21="DateTime?",E21="TimeSpan?"),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IF(E21="int?",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
IF(E21="decimal?",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
IF(E21="long?",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
""))))
))</f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21" s="56" t="str">
        <f t="shared" ref="L21" si="27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28"/>
      <c r="N21" s="28"/>
      <c r="O21" s="28"/>
      <c r="P21" s="28"/>
      <c r="Q21" s="28"/>
      <c r="R21" s="28"/>
      <c r="S21" s="28" t="str">
        <f t="shared" ref="S21:S23" si="28">REPT(CHAR(9),1)&amp;D21&amp;G21</f>
        <v xml:space="preserve">	supplierNo : string = '' ; </v>
      </c>
      <c r="T21" s="28" t="str">
        <f t="shared" ref="T21:T23" si="29">REPT(CHAR(9),3)&amp;"this."&amp;D21&amp;","</f>
        <v xml:space="preserve">			this.supplierNo,</v>
      </c>
      <c r="U21" s="28" t="str">
        <f t="shared" ref="U21:U23" si="30">IF(E21="int",REPT(CHAR(9),2)&amp;"this."&amp;D21&amp;" = 0,",REPT(CHAR(9),2)&amp;"this."&amp;D21&amp;" = '',")</f>
        <v xml:space="preserve">		this.supplierNo = '',</v>
      </c>
      <c r="V21" s="28" t="str">
        <f t="shared" ref="V21:V23" si="31">IF(AND(E21="string",F21="1"),D21,"")</f>
        <v/>
      </c>
    </row>
    <row r="22" spans="1:22" ht="18" customHeight="1" x14ac:dyDescent="0.3">
      <c r="A22" t="s">
        <v>374</v>
      </c>
      <c r="B22" s="28" t="str">
        <f>SUBSTITUTE(PROPER(A22),"_","")</f>
        <v>SealNo</v>
      </c>
      <c r="C22" s="28" t="str">
        <f>SUBSTITUTE(PROPER(A22),"_"," ")</f>
        <v>Seal No</v>
      </c>
      <c r="D22" s="28" t="str">
        <f>LOWER(LEFT(B22,1))&amp;RIGHT(B22,LEN(B22) - 1)</f>
        <v>sealNo</v>
      </c>
      <c r="E22" s="28" t="str">
        <f>A.Backend!H16</f>
        <v>string</v>
      </c>
      <c r="F22" s="28" t="str">
        <f>A.Backend!G16</f>
        <v>20</v>
      </c>
      <c r="G22" s="28" t="str">
        <f t="shared" si="23"/>
        <v xml:space="preserve"> : string = '' ; </v>
      </c>
      <c r="H22" s="35" t="str">
        <f t="shared" si="24"/>
        <v xml:space="preserve">			{headerName: this.l('Seal No'),headerTooltip: this.l('Seal No'),field: 'sealNo',flex: 1},</v>
      </c>
      <c r="I22" s="35" t="str">
        <f t="shared" si="25"/>
        <v xml:space="preserve">								&lt;div class='input-search'&gt;
									&lt;input [(ngModel)]='sealNo' name='sealNo'
									class='form-control' [placeholder]="l('Seal No')"
									type='text' (keyup.enter)='searchDatas()'&gt;
								&lt;/div&gt;</v>
      </c>
      <c r="J22" s="28"/>
      <c r="K22" s="35" t="str">
        <f t="shared" si="26"/>
        <v xml:space="preserve">					&lt;div class='col-md-12 form-group row'&gt;
						&lt;label class='col-md-2 form-control title'&gt;Seal No&lt;/label&gt;
						&lt;input type='text' class='col-md-10 form-control input-text' name='SealNo' [(ngModel)]='rowdata.sealNo'&gt;
					&lt;/div&gt;</v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28"/>
        <v xml:space="preserve">	sealNo : string = '' ; </v>
      </c>
      <c r="T22" s="28" t="str">
        <f t="shared" si="29"/>
        <v xml:space="preserve">			this.sealNo,</v>
      </c>
      <c r="U22" s="28" t="str">
        <f t="shared" si="30"/>
        <v xml:space="preserve">		this.sealNo = '',</v>
      </c>
      <c r="V22" s="28" t="str">
        <f t="shared" si="31"/>
        <v/>
      </c>
    </row>
    <row r="23" spans="1:22" ht="15" customHeight="1" x14ac:dyDescent="0.3">
      <c r="A23" t="s">
        <v>373</v>
      </c>
      <c r="B23" s="28" t="str">
        <f t="shared" ref="B23" si="32">SUBSTITUTE(PROPER(A23),"_","")</f>
        <v>ListCaseNo</v>
      </c>
      <c r="C23" s="28" t="str">
        <f t="shared" ref="C23" si="33">SUBSTITUTE(PROPER(A23),"_"," ")</f>
        <v>List Case No</v>
      </c>
      <c r="D23" s="28" t="str">
        <f t="shared" ref="D23" si="34">LOWER(LEFT(B23,1))&amp;RIGHT(B23,LEN(B23) - 1)</f>
        <v>listCaseNo</v>
      </c>
      <c r="E23" s="28" t="str">
        <f>A.Backend!H17</f>
        <v>string</v>
      </c>
      <c r="F23" s="28" t="str">
        <f>A.Backend!G17</f>
        <v>1000</v>
      </c>
      <c r="G23" s="28" t="str">
        <f t="shared" si="23"/>
        <v xml:space="preserve"> : string = '' ; </v>
      </c>
      <c r="H23" s="35" t="str">
        <f t="shared" si="24"/>
        <v xml:space="preserve">			{headerName: this.l('List Case No'),headerTooltip: this.l('List Case No'),field: 'listCaseNo',flex: 1},</v>
      </c>
      <c r="I23" s="35" t="str">
        <f t="shared" si="25"/>
        <v xml:space="preserve">								&lt;div class='input-search'&gt;
									&lt;input [(ngModel)]='listCaseNo' name='listCaseNo'
									class='form-control' [placeholder]="l('List Case No')"
									type='text' (keyup.enter)='searchDatas()'&gt;
								&lt;/div&gt;</v>
      </c>
      <c r="J23" s="28"/>
      <c r="K23" s="35" t="str">
        <f t="shared" si="26"/>
        <v xml:space="preserve">					&lt;div class='col-md-12 form-group row'&gt;
						&lt;label class='col-md-2 form-control title'&gt;List Case No&lt;/label&gt;
						&lt;input type='text' class='col-md-10 form-control input-text' name='ListCaseNo' [(ngModel)]='rowdata.listCaseNo'&gt;
					&lt;/div&gt;</v>
      </c>
      <c r="L23" s="56" t="str">
        <f t="shared" ref="L23" si="35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28"/>
        <v xml:space="preserve">	listCaseNo : string = '' ; </v>
      </c>
      <c r="T23" s="28" t="str">
        <f t="shared" si="29"/>
        <v xml:space="preserve">			this.listCaseNo,</v>
      </c>
      <c r="U23" s="28" t="str">
        <f t="shared" si="30"/>
        <v xml:space="preserve">		this.listCaseNo = '',</v>
      </c>
      <c r="V23" s="28" t="str">
        <f t="shared" si="31"/>
        <v/>
      </c>
    </row>
    <row r="24" spans="1:22" ht="18" customHeight="1" x14ac:dyDescent="0.3">
      <c r="A24" t="s">
        <v>372</v>
      </c>
      <c r="B24" s="28" t="str">
        <f t="shared" si="16"/>
        <v>ListLotNo</v>
      </c>
      <c r="C24" s="28" t="str">
        <f t="shared" si="17"/>
        <v>List Lot No</v>
      </c>
      <c r="D24" s="28" t="str">
        <f t="shared" si="18"/>
        <v>listLotNo</v>
      </c>
      <c r="E24" s="28" t="str">
        <f>A.Backend!H18</f>
        <v>string</v>
      </c>
      <c r="F24" s="28" t="str">
        <f>A.Backend!G18</f>
        <v>1000</v>
      </c>
      <c r="G24" s="28" t="str">
        <f t="shared" si="3"/>
        <v xml:space="preserve"> : string = '' ; </v>
      </c>
      <c r="H24" s="35" t="str">
        <f t="shared" si="4"/>
        <v xml:space="preserve">			{headerName: this.l('List Lot No'),headerTooltip: this.l('List Lot No'),field: 'listLotNo',flex: 1},</v>
      </c>
      <c r="I24" s="35" t="str">
        <f t="shared" si="10"/>
        <v xml:space="preserve">								&lt;div class='input-search'&gt;
									&lt;input [(ngModel)]='listLotNo' name='listLotNo'
									class='form-control' [placeholder]="l('List Lot No')"
									type='text' (keyup.enter)='searchDatas()'&gt;
								&lt;/div&gt;</v>
      </c>
      <c r="J24" s="28"/>
      <c r="K24" s="35" t="str">
        <f t="shared" si="11"/>
        <v xml:space="preserve">					&lt;div class='col-md-12 form-group row'&gt;
						&lt;label class='col-md-2 form-control title'&gt;List Lot No&lt;/label&gt;
						&lt;input type='text' class='col-md-10 form-control input-text' name='ListLotNo' [(ngModel)]='rowdata.listLotNo'&gt;
					&lt;/div&gt;</v>
      </c>
      <c r="L24" s="56" t="str">
        <f t="shared" si="19"/>
        <v/>
      </c>
      <c r="M24" s="28"/>
      <c r="N24" s="28"/>
      <c r="O24" s="28"/>
      <c r="P24" s="28"/>
      <c r="Q24" s="28"/>
      <c r="R24" s="28"/>
      <c r="S24" s="28" t="str">
        <f t="shared" si="13"/>
        <v xml:space="preserve">	listLotNo : string = '' ; </v>
      </c>
      <c r="T24" s="28" t="str">
        <f t="shared" si="14"/>
        <v xml:space="preserve">			this.listLotNo,</v>
      </c>
      <c r="U24" s="28" t="str">
        <f t="shared" si="15"/>
        <v xml:space="preserve">		this.listLotNo = '',</v>
      </c>
      <c r="V24" s="28" t="str">
        <f t="shared" si="6"/>
        <v/>
      </c>
    </row>
    <row r="25" spans="1:22" ht="18" customHeight="1" x14ac:dyDescent="0.3">
      <c r="A25" t="s">
        <v>371</v>
      </c>
      <c r="B25" s="28" t="str">
        <f>SUBSTITUTE(PROPER(A25),"_","")</f>
        <v>CdDate</v>
      </c>
      <c r="C25" s="28" t="str">
        <f>SUBSTITUTE(PROPER(A25),"_"," ")</f>
        <v>Cd Date</v>
      </c>
      <c r="D25" s="28" t="str">
        <f>LOWER(LEFT(B25,1))&amp;RIGHT(B25,LEN(B25) - 1)</f>
        <v>cdDate</v>
      </c>
      <c r="E25" s="28" t="str">
        <f>A.Backend!H19</f>
        <v>DateTime?</v>
      </c>
      <c r="F25" s="28" t="str">
        <f>A.Backend!G19</f>
        <v/>
      </c>
      <c r="G25" s="28" t="str">
        <f t="shared" si="3"/>
        <v/>
      </c>
      <c r="H25" s="35" t="str">
        <f t="shared" si="4"/>
        <v xml:space="preserve">			{headerName: this.l('Cd Date'),headerTooltip: this.l('Cd Date'),field: 'cdDate',flex: 1},</v>
      </c>
      <c r="I25" s="35" t="str">
        <f t="shared" si="10"/>
        <v/>
      </c>
      <c r="J25" s="28"/>
      <c r="K25" s="35" t="str">
        <f t="shared" si="11"/>
        <v xml:space="preserve">					&lt;div class='col-md-12 form-group row'&gt;
						&lt;label class='col-md-2 form-control title'&gt;Cd Date&lt;/label&gt;
						&lt;input type='text' class='col-md-10 form-control input-text' name='cdDate' 
						#datepicker='bsDatepicker' [(ngModel)]='rowdata.cdDate'  bsDatepicker &gt;
					&lt;/div&gt;</v>
      </c>
      <c r="L25" s="56" t="str">
        <f>IF(E25="DateTime",
REPT(CHAR(9),2)&amp;"const dateValue =  this.rowdata."&amp;D25&amp;" ? new Date(this.rowdata."&amp;D25&amp;"?.toString()) : new Date();
"&amp;REPT(CHAR(9),2)&amp;"this.datepicker?.bsValueChange.emit(dateValue);","")</f>
        <v/>
      </c>
      <c r="M25" s="28"/>
      <c r="N25" s="28"/>
      <c r="O25" s="28"/>
      <c r="P25" s="28"/>
      <c r="Q25" s="28"/>
      <c r="R25" s="28"/>
      <c r="S25" s="28" t="str">
        <f t="shared" si="13"/>
        <v xml:space="preserve">	cdDate</v>
      </c>
      <c r="T25" s="28" t="str">
        <f t="shared" si="14"/>
        <v xml:space="preserve">			this.cdDate,</v>
      </c>
      <c r="U25" s="28" t="str">
        <f t="shared" si="15"/>
        <v xml:space="preserve">		this.cdDate = '',</v>
      </c>
      <c r="V25" s="28" t="str">
        <f t="shared" si="6"/>
        <v/>
      </c>
    </row>
    <row r="26" spans="1:22" ht="15" customHeight="1" x14ac:dyDescent="0.3">
      <c r="A26" t="s">
        <v>370</v>
      </c>
      <c r="B26" s="28" t="str">
        <f t="shared" ref="B26:B29" si="36">SUBSTITUTE(PROPER(A26),"_","")</f>
        <v>Transport</v>
      </c>
      <c r="C26" s="28" t="str">
        <f t="shared" ref="C26:C29" si="37">SUBSTITUTE(PROPER(A26),"_"," ")</f>
        <v>Transport</v>
      </c>
      <c r="D26" s="28" t="str">
        <f t="shared" ref="D26:D29" si="38">LOWER(LEFT(B26,1))&amp;RIGHT(B26,LEN(B26) - 1)</f>
        <v>transport</v>
      </c>
      <c r="E26" s="28" t="str">
        <f>A.Backend!H20</f>
        <v>string</v>
      </c>
      <c r="F26" s="28" t="str">
        <f>A.Backend!G20</f>
        <v>50</v>
      </c>
      <c r="G26" s="28" t="str">
        <f t="shared" si="3"/>
        <v xml:space="preserve"> : string = '' ; </v>
      </c>
      <c r="H26" s="35" t="str">
        <f t="shared" si="4"/>
        <v xml:space="preserve">			{headerName: this.l('Transport'),headerTooltip: this.l('Transport'),field: 'transport',flex: 1},</v>
      </c>
      <c r="I26" s="35" t="str">
        <f t="shared" si="10"/>
        <v xml:space="preserve">								&lt;div class='input-search'&gt;
									&lt;input [(ngModel)]='transport' name='transport'
									class='form-control' [placeholder]="l('Transport')"
									type='text' (keyup.enter)='searchDatas()'&gt;
								&lt;/div&gt;</v>
      </c>
      <c r="J26" s="28"/>
      <c r="K26" s="35" t="str">
        <f t="shared" si="11"/>
        <v xml:space="preserve">					&lt;div class='col-md-12 form-group row'&gt;
						&lt;label class='col-md-2 form-control title'&gt;Transport&lt;/label&gt;
						&lt;input type='text' class='col-md-10 form-control input-text' name='Transport' [(ngModel)]='rowdata.transport'&gt;
					&lt;/div&gt;</v>
      </c>
      <c r="L26" s="56" t="str">
        <f t="shared" ref="L26:L29" si="39">IF(E26="DateTime",
REPT(CHAR(9),2)&amp;"const dateValue =  this.rowdata."&amp;D26&amp;" ? new Date(this.rowdata."&amp;D26&amp;"?.toString()) : new Date();
"&amp;REPT(CHAR(9),2)&amp;"this.datepicker?.bsValueChange.emit(dateValue);","")</f>
        <v/>
      </c>
      <c r="M26" s="28"/>
      <c r="N26" s="28"/>
      <c r="O26" s="28"/>
      <c r="P26" s="28"/>
      <c r="Q26" s="28"/>
      <c r="R26" s="28"/>
      <c r="S26" s="28" t="str">
        <f t="shared" si="13"/>
        <v xml:space="preserve">	transport : string = '' ; </v>
      </c>
      <c r="T26" s="28" t="str">
        <f t="shared" si="14"/>
        <v xml:space="preserve">			this.transport,</v>
      </c>
      <c r="U26" s="28" t="str">
        <f t="shared" si="15"/>
        <v xml:space="preserve">		this.transport = '',</v>
      </c>
      <c r="V26" s="28" t="str">
        <f t="shared" si="6"/>
        <v/>
      </c>
    </row>
    <row r="27" spans="1:22" ht="18" customHeight="1" x14ac:dyDescent="0.3">
      <c r="A27" t="s">
        <v>369</v>
      </c>
      <c r="B27" s="28" t="str">
        <f t="shared" si="36"/>
        <v>Status</v>
      </c>
      <c r="C27" s="28" t="str">
        <f t="shared" si="37"/>
        <v>Status</v>
      </c>
      <c r="D27" s="28" t="str">
        <f t="shared" si="38"/>
        <v>status</v>
      </c>
      <c r="E27" s="28" t="str">
        <f>A.Backend!H21</f>
        <v>string</v>
      </c>
      <c r="F27" s="28" t="str">
        <f>A.Backend!G21</f>
        <v>10</v>
      </c>
      <c r="G27" s="28" t="str">
        <f t="shared" si="3"/>
        <v xml:space="preserve"> : string = '' ; </v>
      </c>
      <c r="H27" s="35" t="str">
        <f t="shared" si="4"/>
        <v xml:space="preserve">			{headerName: this.l('Status'),headerTooltip: this.l('Status'),field: 'status',flex: 1},</v>
      </c>
      <c r="I27" s="35" t="str">
        <f t="shared" si="10"/>
        <v xml:space="preserve">								&lt;div class='input-search'&gt;
									&lt;input [(ngModel)]='status' name='status'
									class='form-control' [placeholder]="l('Status')"
									type='text' (keyup.enter)='searchDatas()'&gt;
								&lt;/div&gt;</v>
      </c>
      <c r="J27" s="28"/>
      <c r="K27" s="35" t="str">
        <f t="shared" si="11"/>
        <v xml:space="preserve">					&lt;div class='col-md-12 form-group row'&gt;
						&lt;label class='col-md-2 form-control title'&gt;Status&lt;/label&gt;
						&lt;input type='text' class='col-md-10 form-control input-text' name='Status' [(ngModel)]='rowdata.status'&gt;
					&lt;/div&gt;</v>
      </c>
      <c r="L27" s="56" t="str">
        <f t="shared" si="39"/>
        <v/>
      </c>
      <c r="M27" s="28"/>
      <c r="N27" s="28"/>
      <c r="O27" s="28"/>
      <c r="P27" s="28"/>
      <c r="Q27" s="28"/>
      <c r="R27" s="28"/>
      <c r="S27" s="28" t="str">
        <f t="shared" si="13"/>
        <v xml:space="preserve">	status : string = '' ; </v>
      </c>
      <c r="T27" s="28" t="str">
        <f t="shared" si="14"/>
        <v xml:space="preserve">			this.status,</v>
      </c>
      <c r="U27" s="28" t="str">
        <f t="shared" si="15"/>
        <v xml:space="preserve">		this.status = '',</v>
      </c>
      <c r="V27" s="28" t="str">
        <f t="shared" si="6"/>
        <v/>
      </c>
    </row>
    <row r="28" spans="1:22" ht="15" customHeight="1" x14ac:dyDescent="0.3">
      <c r="A28" t="s">
        <v>367</v>
      </c>
      <c r="B28" s="28" t="str">
        <f t="shared" si="36"/>
        <v>PortCode</v>
      </c>
      <c r="C28" s="28" t="str">
        <f t="shared" si="37"/>
        <v>Port Code</v>
      </c>
      <c r="D28" s="28" t="str">
        <f t="shared" si="38"/>
        <v>portCode</v>
      </c>
      <c r="E28" s="28" t="str">
        <f>A.Backend!H22</f>
        <v>string</v>
      </c>
      <c r="F28" s="28" t="str">
        <f>A.Backend!G22</f>
        <v>50</v>
      </c>
      <c r="G28" s="28" t="str">
        <f t="shared" si="3"/>
        <v xml:space="preserve"> : string = '' ; </v>
      </c>
      <c r="H28" s="35" t="str">
        <f t="shared" si="4"/>
        <v xml:space="preserve">			{headerName: this.l('Port Code'),headerTooltip: this.l('Port Code'),field: 'portCode',flex: 1},</v>
      </c>
      <c r="I28" s="35" t="str">
        <f t="shared" si="10"/>
        <v xml:space="preserve">								&lt;div class='input-search'&gt;
									&lt;input [(ngModel)]='portCode' name='portCode'
									class='form-control' [placeholder]="l('Port Code')"
									type='text' (keyup.enter)='searchDatas()'&gt;
								&lt;/div&gt;</v>
      </c>
      <c r="J28" s="28"/>
      <c r="K28" s="35" t="str">
        <f>IF(OR(E28="DateTime?",E28="TimeSpan?"),
REPT(CHAR(9),5)&amp;"&lt;div class='col-md-12 form-group row'&gt;
"&amp;REPT(CHAR(9),6)&amp;"&lt;label class='col-md-2 form-control title'&gt;"&amp;C28&amp;"&lt;/label&gt;
"&amp;REPT(CHAR(9),6)&amp;"&lt;input type='text' class='col-md-10 form-control input-text' name='"&amp;D28&amp;"' 
"&amp;REPT(CHAR(9),6)&amp;"#datepicker='bsDatepicker' [(ngModel)]='rowdata."&amp;D28&amp;"'  bsDatepicker &gt;
"&amp;REPT(CHAR(9),5)&amp;"&lt;/div&gt;",
IF(AND(E28="string",F28="1"),
REPT(CHAR(9),5)&amp;"&lt;div class='col-md-12 form-group row'&gt;
"&amp;REPT(CHAR(9),6)&amp;"&lt;label class='col-md-2 form-control title'&gt;"&amp;C28&amp;"&lt;/label&gt;
"&amp;REPT(CHAR(9),6)&amp;"&lt;new-checkbox [(ngModel)]='_"&amp;D28&amp;"' name='"&amp;D28&amp;"' className='col-md-10' &gt; &lt;/new-checkbox&gt;
"&amp;REPT(CHAR(9),5)&amp;"&lt;/div&gt;",
IF(E28="string",
REPT(CHAR(9),5)&amp;"&lt;div class='col-md-12 form-group row'&gt;
"&amp;REPT(CHAR(9),6)&amp;"&lt;label class='col-md-2 form-control title'&gt;"&amp;C28&amp;"&lt;/label&gt;
"&amp;REPT(CHAR(9),6)&amp;"&lt;input type='text' class='col-md-10 form-control input-text' name='"&amp;B28&amp;"' [(ngModel)]='rowdata."&amp;D28&amp;"'&gt;
"&amp;REPT(CHAR(9),5)&amp;"&lt;/div&gt;",
IF(E28="int?",
REPT(CHAR(9),5)&amp;"&lt;div class='col-md-12 form-group row'&gt;
"&amp;REPT(CHAR(9),6)&amp;"&lt;label class='col-md-2 form-control title'&gt;"&amp;C28&amp;"&lt;/label&gt;
"&amp;REPT(CHAR(9),6)&amp;"&lt;input type='number' class='col-md-10 form-control input-text' name='"&amp;B28&amp;"' [(ngModel)]='rowdata."&amp;D28&amp;"'&gt;
"&amp;REPT(CHAR(9),5)&amp;"&lt;/div&gt;",
IF(E28="decimal?",
REPT(CHAR(9),5)&amp;"&lt;div class='col-md-12 form-group row'&gt;
"&amp;REPT(CHAR(9),6)&amp;"&lt;label class='col-md-2 form-control title'&gt;"&amp;C28&amp;"&lt;/label&gt;
"&amp;REPT(CHAR(9),6)&amp;"&lt;input type='number' class='col-md-10 form-control input-text' name='"&amp;B28&amp;"' [(ngModel)]='rowdata."&amp;D28&amp;"'&gt;
"&amp;REPT(CHAR(9),5)&amp;"&lt;/div&gt;",
IF(E28="long?",
REPT(CHAR(9),5)&amp;"&lt;div class='col-md-12 form-group row'&gt;
"&amp;REPT(CHAR(9),6)&amp;"&lt;label class='col-md-2 form-control title'&gt;"&amp;C28&amp;"&lt;/label&gt;
"&amp;REPT(CHAR(9),6)&amp;"&lt;input type='number' class='col-md-10 form-control input-text' name='"&amp;B28&amp;"' [(ngModel)]='rowdata."&amp;D28&amp;"'&gt;
"&amp;REPT(CHAR(9),5)&amp;"&lt;/div&gt;",
""))))
))</f>
        <v xml:space="preserve">					&lt;div class='col-md-12 form-group row'&gt;
						&lt;label class='col-md-2 form-control title'&gt;Port Code&lt;/label&gt;
						&lt;input type='text' class='col-md-10 form-control input-text' name='PortCode' [(ngModel)]='rowdata.portCode'&gt;
					&lt;/div&gt;</v>
      </c>
      <c r="L28" s="56" t="str">
        <f t="shared" si="39"/>
        <v/>
      </c>
      <c r="M28" s="28"/>
      <c r="N28" s="28"/>
      <c r="O28" s="28"/>
      <c r="P28" s="28"/>
      <c r="Q28" s="28"/>
      <c r="R28" s="28"/>
      <c r="S28" s="28" t="str">
        <f t="shared" si="13"/>
        <v xml:space="preserve">	portCode : string = '' ; </v>
      </c>
      <c r="T28" s="28" t="str">
        <f t="shared" si="14"/>
        <v xml:space="preserve">			this.portCode,</v>
      </c>
      <c r="U28" s="28" t="str">
        <f t="shared" si="15"/>
        <v xml:space="preserve">		this.portCode = '',</v>
      </c>
      <c r="V28" s="28" t="str">
        <f t="shared" si="6"/>
        <v/>
      </c>
    </row>
    <row r="29" spans="1:22" ht="18" customHeight="1" x14ac:dyDescent="0.3">
      <c r="A29" t="s">
        <v>368</v>
      </c>
      <c r="B29" s="28" t="str">
        <f t="shared" si="36"/>
        <v>PortName</v>
      </c>
      <c r="C29" s="28" t="str">
        <f t="shared" si="37"/>
        <v>Port Name</v>
      </c>
      <c r="D29" s="28" t="str">
        <f t="shared" si="38"/>
        <v>portName</v>
      </c>
      <c r="E29" s="28" t="str">
        <f>A.Backend!H23</f>
        <v>string</v>
      </c>
      <c r="F29" s="28" t="str">
        <f>A.Backend!G23</f>
        <v>100</v>
      </c>
      <c r="G29" s="28" t="str">
        <f t="shared" si="3"/>
        <v xml:space="preserve"> : string = '' ; </v>
      </c>
      <c r="H29" s="35" t="str">
        <f t="shared" si="4"/>
        <v xml:space="preserve">			{headerName: this.l('Port Name'),headerTooltip: this.l('Port Name'),field: 'portName',flex: 1},</v>
      </c>
      <c r="I29" s="35" t="str">
        <f t="shared" si="10"/>
        <v xml:space="preserve">								&lt;div class='input-search'&gt;
									&lt;input [(ngModel)]='portName' name='portName'
									class='form-control' [placeholder]="l('Port Name')"
									type='text' (keyup.enter)='searchDatas()'&gt;
								&lt;/div&gt;</v>
      </c>
      <c r="J29" s="28"/>
      <c r="K29" s="35" t="str">
        <f t="shared" si="11"/>
        <v xml:space="preserve">					&lt;div class='col-md-12 form-group row'&gt;
						&lt;label class='col-md-2 form-control title'&gt;Port Name&lt;/label&gt;
						&lt;input type='text' class='col-md-10 form-control input-text' name='PortName' [(ngModel)]='rowdata.portName'&gt;
					&lt;/div&gt;</v>
      </c>
      <c r="L29" s="56" t="str">
        <f t="shared" si="39"/>
        <v/>
      </c>
      <c r="M29" s="28"/>
      <c r="N29" s="28"/>
      <c r="O29" s="28"/>
      <c r="P29" s="28"/>
      <c r="Q29" s="28"/>
      <c r="R29" s="28"/>
      <c r="S29" s="28" t="str">
        <f t="shared" si="13"/>
        <v xml:space="preserve">	portName : string = '' ; </v>
      </c>
      <c r="T29" s="28" t="str">
        <f t="shared" si="14"/>
        <v xml:space="preserve">			this.portName,</v>
      </c>
      <c r="U29" s="28" t="str">
        <f t="shared" si="15"/>
        <v xml:space="preserve">		this.portName = '',</v>
      </c>
      <c r="V29" s="28" t="str">
        <f t="shared" si="6"/>
        <v/>
      </c>
    </row>
    <row r="30" spans="1:22" ht="18" customHeight="1" x14ac:dyDescent="0.3">
      <c r="A30" t="s">
        <v>366</v>
      </c>
      <c r="B30" s="28" t="str">
        <f>SUBSTITUTE(PROPER(A30),"_","")</f>
        <v>Remarks</v>
      </c>
      <c r="C30" s="28" t="str">
        <f>SUBSTITUTE(PROPER(A30),"_"," ")</f>
        <v>Remarks</v>
      </c>
      <c r="D30" s="28" t="str">
        <f>LOWER(LEFT(B30,1))&amp;RIGHT(B30,LEN(B30) - 1)</f>
        <v>remarks</v>
      </c>
      <c r="E30" s="28" t="str">
        <f>A.Backend!H24</f>
        <v>string</v>
      </c>
      <c r="F30" s="28" t="str">
        <f>A.Backend!G24</f>
        <v>200</v>
      </c>
      <c r="G30" s="28" t="str">
        <f t="shared" si="3"/>
        <v xml:space="preserve"> : string = '' ; </v>
      </c>
      <c r="H30" s="35" t="str">
        <f t="shared" si="4"/>
        <v xml:space="preserve">			{headerName: this.l('Remarks'),headerTooltip: this.l('Remarks'),field: 'remarks',flex: 1},</v>
      </c>
      <c r="I30" s="35" t="str">
        <f t="shared" si="10"/>
        <v xml:space="preserve">								&lt;div class='input-search'&gt;
									&lt;input [(ngModel)]='remarks' name='remarks'
									class='form-control' [placeholder]="l('Remarks')"
									type='text' (keyup.enter)='searchDatas()'&gt;
								&lt;/div&gt;</v>
      </c>
      <c r="J30" s="28"/>
      <c r="K30" s="35" t="str">
        <f t="shared" si="11"/>
        <v xml:space="preserve">					&lt;div class='col-md-12 form-group row'&gt;
						&lt;label class='col-md-2 form-control title'&gt;Remarks&lt;/label&gt;
						&lt;input type='text' class='col-md-10 form-control input-text' name='Remarks' [(ngModel)]='rowdata.remarks'&gt;
					&lt;/div&gt;</v>
      </c>
      <c r="L30" s="56" t="str">
        <f>IF(E30="DateTime",
REPT(CHAR(9),2)&amp;"const dateValue =  this.rowdata."&amp;D30&amp;" ? new Date(this.rowdata."&amp;D30&amp;"?.toString()) : new Date();
"&amp;REPT(CHAR(9),2)&amp;"this.datepicker?.bsValueChange.emit(dateValue);","")</f>
        <v/>
      </c>
      <c r="M30" s="28"/>
      <c r="N30" s="28"/>
      <c r="O30" s="28"/>
      <c r="P30" s="28"/>
      <c r="Q30" s="28"/>
      <c r="R30" s="28"/>
      <c r="S30" s="28" t="str">
        <f t="shared" si="13"/>
        <v xml:space="preserve">	remarks : string = '' ; </v>
      </c>
      <c r="T30" s="28" t="str">
        <f t="shared" si="14"/>
        <v xml:space="preserve">			this.remarks,</v>
      </c>
      <c r="U30" s="28" t="str">
        <f t="shared" si="15"/>
        <v xml:space="preserve">		this.remarks = '',</v>
      </c>
      <c r="V30" s="28" t="str">
        <f t="shared" si="6"/>
        <v/>
      </c>
    </row>
    <row r="31" spans="1:22" ht="15" customHeight="1" x14ac:dyDescent="0.3">
      <c r="A31" t="s">
        <v>319</v>
      </c>
      <c r="B31" s="28" t="str">
        <f t="shared" ref="B31" si="40">SUBSTITUTE(PROPER(A31),"_","")</f>
        <v>IsActive</v>
      </c>
      <c r="C31" s="28" t="str">
        <f t="shared" ref="C31" si="41">SUBSTITUTE(PROPER(A31),"_"," ")</f>
        <v>Is Active</v>
      </c>
      <c r="D31" s="28" t="str">
        <f t="shared" ref="D31" si="42">LOWER(LEFT(B31,1))&amp;RIGHT(B31,LEN(B31) - 1)</f>
        <v>isActive</v>
      </c>
      <c r="E31" s="28" t="str">
        <f>A.Backend!H25</f>
        <v>string</v>
      </c>
      <c r="F31" s="28" t="str">
        <f>A.Backend!G25</f>
        <v>1</v>
      </c>
      <c r="G31" s="28" t="str">
        <f t="shared" si="3"/>
        <v xml:space="preserve"> : string = '' ; </v>
      </c>
      <c r="H31" s="35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31" s="35" t="str">
        <f t="shared" si="10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31" s="28"/>
      <c r="K31" s="35" t="str">
        <f t="shared" si="11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31" s="56" t="str">
        <f t="shared" ref="L31" si="43">IF(E31="DateTime",
REPT(CHAR(9),2)&amp;"const dateValue =  this.rowdata."&amp;D31&amp;" ? new Date(this.rowdata."&amp;D31&amp;"?.toString()) : new Date();
"&amp;REPT(CHAR(9),2)&amp;"this.datepicker?.bsValueChange.emit(dateValue);","")</f>
        <v/>
      </c>
      <c r="M31" s="28"/>
      <c r="N31" s="28"/>
      <c r="O31" s="28"/>
      <c r="P31" s="28"/>
      <c r="Q31" s="28"/>
      <c r="R31" s="28"/>
      <c r="S31" s="28" t="str">
        <f t="shared" si="13"/>
        <v xml:space="preserve">	isActive : string = '' ; </v>
      </c>
      <c r="T31" s="28" t="str">
        <f t="shared" si="14"/>
        <v xml:space="preserve">			this.isActive,</v>
      </c>
      <c r="U31" s="28" t="str">
        <f t="shared" si="15"/>
        <v xml:space="preserve">		this.isActive = '',</v>
      </c>
      <c r="V31" s="28" t="str">
        <f t="shared" si="6"/>
        <v>isActive</v>
      </c>
    </row>
    <row r="33" ht="17.25" customHeight="1" x14ac:dyDescent="0.3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workbookViewId="0">
      <selection activeCell="B24" sqref="B24"/>
    </sheetView>
  </sheetViews>
  <sheetFormatPr defaultColWidth="8.88671875" defaultRowHeight="14.4" x14ac:dyDescent="0.3"/>
  <cols>
    <col min="1" max="1" width="22.44140625" bestFit="1" customWidth="1"/>
    <col min="2" max="2" width="29.88671875" bestFit="1" customWidth="1"/>
  </cols>
  <sheetData>
    <row r="1" spans="1:2" x14ac:dyDescent="0.3">
      <c r="A1" s="1" t="s">
        <v>16</v>
      </c>
      <c r="B1" s="1" t="s">
        <v>17</v>
      </c>
    </row>
    <row r="2" spans="1:2" x14ac:dyDescent="0.3">
      <c r="A2" t="s">
        <v>19</v>
      </c>
      <c r="B2" t="s">
        <v>32</v>
      </c>
    </row>
    <row r="3" spans="1:2" x14ac:dyDescent="0.3">
      <c r="A3" t="s">
        <v>18</v>
      </c>
      <c r="B3" t="s">
        <v>32</v>
      </c>
    </row>
    <row r="4" spans="1:2" x14ac:dyDescent="0.3">
      <c r="A4" t="s">
        <v>20</v>
      </c>
      <c r="B4" t="s">
        <v>21</v>
      </c>
    </row>
    <row r="5" spans="1:2" x14ac:dyDescent="0.3">
      <c r="A5" t="s">
        <v>22</v>
      </c>
      <c r="B5" t="s">
        <v>34</v>
      </c>
    </row>
    <row r="6" spans="1:2" x14ac:dyDescent="0.3">
      <c r="A6" t="s">
        <v>23</v>
      </c>
      <c r="B6" t="s">
        <v>355</v>
      </c>
    </row>
    <row r="7" spans="1:2" x14ac:dyDescent="0.3">
      <c r="A7" t="s">
        <v>24</v>
      </c>
      <c r="B7" t="s">
        <v>350</v>
      </c>
    </row>
    <row r="8" spans="1:2" x14ac:dyDescent="0.3">
      <c r="A8" t="s">
        <v>4</v>
      </c>
      <c r="B8" t="s">
        <v>350</v>
      </c>
    </row>
    <row r="9" spans="1:2" x14ac:dyDescent="0.3">
      <c r="A9" t="s">
        <v>0</v>
      </c>
      <c r="B9" t="s">
        <v>351</v>
      </c>
    </row>
    <row r="10" spans="1:2" x14ac:dyDescent="0.3">
      <c r="A10" t="s">
        <v>25</v>
      </c>
      <c r="B10" t="s">
        <v>354</v>
      </c>
    </row>
    <row r="11" spans="1:2" x14ac:dyDescent="0.3">
      <c r="A11" t="s">
        <v>26</v>
      </c>
      <c r="B11" t="s">
        <v>354</v>
      </c>
    </row>
    <row r="12" spans="1:2" x14ac:dyDescent="0.3">
      <c r="A12" t="s">
        <v>27</v>
      </c>
      <c r="B12" t="s">
        <v>354</v>
      </c>
    </row>
    <row r="13" spans="1:2" x14ac:dyDescent="0.3">
      <c r="A13" t="s">
        <v>28</v>
      </c>
      <c r="B13" t="s">
        <v>354</v>
      </c>
    </row>
    <row r="14" spans="1:2" x14ac:dyDescent="0.3">
      <c r="A14" t="s">
        <v>29</v>
      </c>
      <c r="B14" t="s">
        <v>354</v>
      </c>
    </row>
    <row r="15" spans="1:2" x14ac:dyDescent="0.3">
      <c r="A15" t="s">
        <v>30</v>
      </c>
      <c r="B15" t="s">
        <v>354</v>
      </c>
    </row>
    <row r="16" spans="1:2" x14ac:dyDescent="0.3">
      <c r="A16" t="s">
        <v>31</v>
      </c>
      <c r="B16" t="s">
        <v>352</v>
      </c>
    </row>
    <row r="17" spans="1:2" x14ac:dyDescent="0.3">
      <c r="A17" t="s">
        <v>3</v>
      </c>
      <c r="B17" t="s">
        <v>352</v>
      </c>
    </row>
    <row r="18" spans="1:2" x14ac:dyDescent="0.3">
      <c r="A18" t="s">
        <v>33</v>
      </c>
      <c r="B18" t="s">
        <v>352</v>
      </c>
    </row>
    <row r="19" spans="1:2" x14ac:dyDescent="0.3">
      <c r="A19" t="s">
        <v>2</v>
      </c>
      <c r="B19" t="s">
        <v>352</v>
      </c>
    </row>
    <row r="20" spans="1:2" x14ac:dyDescent="0.3">
      <c r="A20" t="s">
        <v>263</v>
      </c>
      <c r="B20" t="s">
        <v>353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workbookViewId="0">
      <selection activeCell="B99" sqref="B99"/>
    </sheetView>
  </sheetViews>
  <sheetFormatPr defaultColWidth="8.88671875" defaultRowHeight="15.6" x14ac:dyDescent="0.3"/>
  <cols>
    <col min="1" max="1" width="14.33203125" customWidth="1"/>
    <col min="2" max="2" width="71.6640625" style="20" customWidth="1"/>
  </cols>
  <sheetData>
    <row r="2" spans="1:2" x14ac:dyDescent="0.3">
      <c r="A2" s="22" t="s">
        <v>190</v>
      </c>
      <c r="B2" s="23" t="s">
        <v>187</v>
      </c>
    </row>
    <row r="3" spans="1:2" x14ac:dyDescent="0.3">
      <c r="B3" s="20" t="s">
        <v>112</v>
      </c>
    </row>
    <row r="4" spans="1:2" x14ac:dyDescent="0.3">
      <c r="B4" s="20" t="s">
        <v>113</v>
      </c>
    </row>
    <row r="5" spans="1:2" x14ac:dyDescent="0.3">
      <c r="B5" s="20" t="s">
        <v>114</v>
      </c>
    </row>
    <row r="6" spans="1:2" x14ac:dyDescent="0.3">
      <c r="B6" s="20" t="s">
        <v>115</v>
      </c>
    </row>
    <row r="7" spans="1:2" x14ac:dyDescent="0.3">
      <c r="B7" s="20" t="s">
        <v>116</v>
      </c>
    </row>
    <row r="8" spans="1:2" x14ac:dyDescent="0.3">
      <c r="B8" s="20" t="s">
        <v>117</v>
      </c>
    </row>
    <row r="9" spans="1:2" x14ac:dyDescent="0.3">
      <c r="B9" s="20" t="s">
        <v>118</v>
      </c>
    </row>
    <row r="10" spans="1:2" x14ac:dyDescent="0.3">
      <c r="B10" s="20" t="s">
        <v>119</v>
      </c>
    </row>
    <row r="11" spans="1:2" x14ac:dyDescent="0.3">
      <c r="B11" s="20" t="s">
        <v>120</v>
      </c>
    </row>
    <row r="12" spans="1:2" x14ac:dyDescent="0.3">
      <c r="B12" s="20" t="s">
        <v>121</v>
      </c>
    </row>
    <row r="13" spans="1:2" x14ac:dyDescent="0.3">
      <c r="B13" s="20" t="s">
        <v>122</v>
      </c>
    </row>
    <row r="14" spans="1:2" x14ac:dyDescent="0.3">
      <c r="B14" s="20" t="s">
        <v>123</v>
      </c>
    </row>
    <row r="15" spans="1:2" x14ac:dyDescent="0.3">
      <c r="B15" s="20" t="s">
        <v>124</v>
      </c>
    </row>
    <row r="16" spans="1:2" x14ac:dyDescent="0.3">
      <c r="B16" s="20" t="s">
        <v>125</v>
      </c>
    </row>
    <row r="17" spans="1:3" x14ac:dyDescent="0.3">
      <c r="B17" s="20" t="s">
        <v>126</v>
      </c>
    </row>
    <row r="18" spans="1:3" x14ac:dyDescent="0.3">
      <c r="B18" s="20" t="s">
        <v>127</v>
      </c>
      <c r="C18" t="s">
        <v>189</v>
      </c>
    </row>
    <row r="19" spans="1:3" x14ac:dyDescent="0.3">
      <c r="B19" s="20" t="s">
        <v>128</v>
      </c>
    </row>
    <row r="20" spans="1:3" x14ac:dyDescent="0.3">
      <c r="B20" s="20" t="s">
        <v>129</v>
      </c>
    </row>
    <row r="21" spans="1:3" x14ac:dyDescent="0.3">
      <c r="B21" s="20" t="s">
        <v>130</v>
      </c>
    </row>
    <row r="22" spans="1:3" x14ac:dyDescent="0.3">
      <c r="B22" s="20" t="s">
        <v>131</v>
      </c>
      <c r="C22" t="s">
        <v>194</v>
      </c>
    </row>
    <row r="23" spans="1:3" x14ac:dyDescent="0.3">
      <c r="B23" s="20" t="s">
        <v>132</v>
      </c>
    </row>
    <row r="24" spans="1:3" x14ac:dyDescent="0.3">
      <c r="B24" s="20" t="s">
        <v>133</v>
      </c>
    </row>
    <row r="25" spans="1:3" x14ac:dyDescent="0.3">
      <c r="B25" s="20" t="s">
        <v>134</v>
      </c>
    </row>
    <row r="26" spans="1:3" x14ac:dyDescent="0.3">
      <c r="A26" s="22" t="s">
        <v>191</v>
      </c>
      <c r="B26" s="23" t="s">
        <v>188</v>
      </c>
    </row>
    <row r="27" spans="1:3" x14ac:dyDescent="0.3">
      <c r="B27" s="20" t="s">
        <v>135</v>
      </c>
    </row>
    <row r="28" spans="1:3" x14ac:dyDescent="0.3">
      <c r="B28" s="21" t="s">
        <v>136</v>
      </c>
    </row>
    <row r="29" spans="1:3" x14ac:dyDescent="0.3">
      <c r="B29" s="20" t="s">
        <v>137</v>
      </c>
    </row>
    <row r="30" spans="1:3" x14ac:dyDescent="0.3">
      <c r="B30" s="20" t="s">
        <v>138</v>
      </c>
    </row>
    <row r="31" spans="1:3" x14ac:dyDescent="0.3">
      <c r="B31" s="20" t="s">
        <v>139</v>
      </c>
    </row>
    <row r="32" spans="1:3" x14ac:dyDescent="0.3">
      <c r="B32" s="20" t="s">
        <v>140</v>
      </c>
    </row>
    <row r="33" spans="2:2" x14ac:dyDescent="0.3">
      <c r="B33" s="20" t="s">
        <v>141</v>
      </c>
    </row>
    <row r="34" spans="2:2" x14ac:dyDescent="0.3">
      <c r="B34" s="20" t="s">
        <v>142</v>
      </c>
    </row>
    <row r="35" spans="2:2" x14ac:dyDescent="0.3">
      <c r="B35" s="20" t="s">
        <v>143</v>
      </c>
    </row>
    <row r="36" spans="2:2" x14ac:dyDescent="0.3">
      <c r="B36" s="20" t="s">
        <v>144</v>
      </c>
    </row>
    <row r="37" spans="2:2" x14ac:dyDescent="0.3">
      <c r="B37" s="20" t="s">
        <v>145</v>
      </c>
    </row>
    <row r="38" spans="2:2" x14ac:dyDescent="0.3">
      <c r="B38" s="20" t="s">
        <v>146</v>
      </c>
    </row>
    <row r="39" spans="2:2" x14ac:dyDescent="0.3">
      <c r="B39" s="20" t="s">
        <v>147</v>
      </c>
    </row>
    <row r="40" spans="2:2" x14ac:dyDescent="0.3">
      <c r="B40" s="20" t="s">
        <v>148</v>
      </c>
    </row>
    <row r="41" spans="2:2" x14ac:dyDescent="0.3">
      <c r="B41" s="20" t="s">
        <v>149</v>
      </c>
    </row>
    <row r="42" spans="2:2" x14ac:dyDescent="0.3">
      <c r="B42" s="20" t="s">
        <v>150</v>
      </c>
    </row>
    <row r="43" spans="2:2" x14ac:dyDescent="0.3">
      <c r="B43" s="21" t="s">
        <v>151</v>
      </c>
    </row>
    <row r="44" spans="2:2" x14ac:dyDescent="0.3">
      <c r="B44" s="20" t="s">
        <v>137</v>
      </c>
    </row>
    <row r="45" spans="2:2" x14ac:dyDescent="0.3">
      <c r="B45" s="20" t="s">
        <v>152</v>
      </c>
    </row>
    <row r="46" spans="2:2" x14ac:dyDescent="0.3">
      <c r="B46" s="20" t="s">
        <v>153</v>
      </c>
    </row>
    <row r="47" spans="2:2" x14ac:dyDescent="0.3">
      <c r="B47" s="20" t="s">
        <v>154</v>
      </c>
    </row>
    <row r="48" spans="2:2" x14ac:dyDescent="0.3">
      <c r="B48" s="20" t="s">
        <v>155</v>
      </c>
    </row>
    <row r="49" spans="2:2" x14ac:dyDescent="0.3">
      <c r="B49" s="20" t="s">
        <v>138</v>
      </c>
    </row>
    <row r="50" spans="2:2" x14ac:dyDescent="0.3">
      <c r="B50" s="20" t="s">
        <v>139</v>
      </c>
    </row>
    <row r="51" spans="2:2" x14ac:dyDescent="0.3">
      <c r="B51" s="20" t="s">
        <v>140</v>
      </c>
    </row>
    <row r="52" spans="2:2" x14ac:dyDescent="0.3">
      <c r="B52" s="20" t="s">
        <v>141</v>
      </c>
    </row>
    <row r="53" spans="2:2" x14ac:dyDescent="0.3">
      <c r="B53" s="20" t="s">
        <v>142</v>
      </c>
    </row>
    <row r="54" spans="2:2" x14ac:dyDescent="0.3">
      <c r="B54" s="20" t="s">
        <v>143</v>
      </c>
    </row>
    <row r="55" spans="2:2" x14ac:dyDescent="0.3">
      <c r="B55" s="20" t="s">
        <v>144</v>
      </c>
    </row>
    <row r="56" spans="2:2" x14ac:dyDescent="0.3">
      <c r="B56" s="20" t="s">
        <v>156</v>
      </c>
    </row>
    <row r="57" spans="2:2" x14ac:dyDescent="0.3">
      <c r="B57" s="20" t="s">
        <v>157</v>
      </c>
    </row>
    <row r="58" spans="2:2" x14ac:dyDescent="0.3">
      <c r="B58" s="20" t="s">
        <v>145</v>
      </c>
    </row>
    <row r="59" spans="2:2" x14ac:dyDescent="0.3">
      <c r="B59" s="20" t="s">
        <v>146</v>
      </c>
    </row>
    <row r="60" spans="2:2" x14ac:dyDescent="0.3">
      <c r="B60" s="20" t="s">
        <v>158</v>
      </c>
    </row>
    <row r="61" spans="2:2" x14ac:dyDescent="0.3">
      <c r="B61" s="20" t="s">
        <v>159</v>
      </c>
    </row>
    <row r="62" spans="2:2" x14ac:dyDescent="0.3">
      <c r="B62" s="20" t="s">
        <v>160</v>
      </c>
    </row>
    <row r="63" spans="2:2" x14ac:dyDescent="0.3">
      <c r="B63" s="20" t="s">
        <v>155</v>
      </c>
    </row>
    <row r="64" spans="2:2" x14ac:dyDescent="0.3">
      <c r="B64" s="20" t="s">
        <v>147</v>
      </c>
    </row>
    <row r="65" spans="2:2" x14ac:dyDescent="0.3">
      <c r="B65" s="20" t="s">
        <v>148</v>
      </c>
    </row>
    <row r="66" spans="2:2" x14ac:dyDescent="0.3">
      <c r="B66" s="20" t="s">
        <v>161</v>
      </c>
    </row>
    <row r="67" spans="2:2" x14ac:dyDescent="0.3">
      <c r="B67" s="20" t="s">
        <v>155</v>
      </c>
    </row>
    <row r="68" spans="2:2" x14ac:dyDescent="0.3">
      <c r="B68" s="20" t="s">
        <v>149</v>
      </c>
    </row>
    <row r="69" spans="2:2" x14ac:dyDescent="0.3">
      <c r="B69" s="20" t="s">
        <v>162</v>
      </c>
    </row>
    <row r="70" spans="2:2" x14ac:dyDescent="0.3">
      <c r="B70" s="21" t="s">
        <v>163</v>
      </c>
    </row>
    <row r="71" spans="2:2" x14ac:dyDescent="0.3">
      <c r="B71" s="20" t="s">
        <v>137</v>
      </c>
    </row>
    <row r="72" spans="2:2" x14ac:dyDescent="0.3">
      <c r="B72" s="20" t="s">
        <v>138</v>
      </c>
    </row>
    <row r="73" spans="2:2" x14ac:dyDescent="0.3">
      <c r="B73" s="20" t="s">
        <v>139</v>
      </c>
    </row>
    <row r="74" spans="2:2" x14ac:dyDescent="0.3">
      <c r="B74" s="20" t="s">
        <v>140</v>
      </c>
    </row>
    <row r="75" spans="2:2" x14ac:dyDescent="0.3">
      <c r="B75" s="20" t="s">
        <v>144</v>
      </c>
    </row>
    <row r="76" spans="2:2" x14ac:dyDescent="0.3">
      <c r="B76" s="20" t="s">
        <v>146</v>
      </c>
    </row>
    <row r="77" spans="2:2" x14ac:dyDescent="0.3">
      <c r="B77" s="20" t="s">
        <v>147</v>
      </c>
    </row>
    <row r="78" spans="2:2" x14ac:dyDescent="0.3">
      <c r="B78" s="20" t="s">
        <v>148</v>
      </c>
    </row>
    <row r="79" spans="2:2" x14ac:dyDescent="0.3">
      <c r="B79" s="20" t="s">
        <v>149</v>
      </c>
    </row>
    <row r="80" spans="2:2" x14ac:dyDescent="0.3">
      <c r="B80" s="20" t="s">
        <v>162</v>
      </c>
    </row>
    <row r="81" spans="1:2" x14ac:dyDescent="0.3">
      <c r="B81" s="21" t="s">
        <v>164</v>
      </c>
    </row>
    <row r="82" spans="1:2" x14ac:dyDescent="0.3">
      <c r="B82" s="21" t="s">
        <v>165</v>
      </c>
    </row>
    <row r="83" spans="1:2" x14ac:dyDescent="0.3">
      <c r="B83" s="21" t="s">
        <v>166</v>
      </c>
    </row>
    <row r="84" spans="1:2" x14ac:dyDescent="0.3">
      <c r="B84" s="21" t="s">
        <v>167</v>
      </c>
    </row>
    <row r="85" spans="1:2" x14ac:dyDescent="0.3">
      <c r="B85" s="21" t="s">
        <v>168</v>
      </c>
    </row>
    <row r="86" spans="1:2" x14ac:dyDescent="0.3">
      <c r="B86" s="21" t="s">
        <v>169</v>
      </c>
    </row>
    <row r="87" spans="1:2" x14ac:dyDescent="0.3">
      <c r="B87" s="21" t="s">
        <v>170</v>
      </c>
    </row>
    <row r="88" spans="1:2" x14ac:dyDescent="0.3">
      <c r="A88" s="22" t="s">
        <v>192</v>
      </c>
      <c r="B88" s="24" t="s">
        <v>171</v>
      </c>
    </row>
    <row r="89" spans="1:2" x14ac:dyDescent="0.3">
      <c r="B89" s="20" t="s">
        <v>172</v>
      </c>
    </row>
    <row r="90" spans="1:2" x14ac:dyDescent="0.3">
      <c r="B90" s="20" t="s">
        <v>173</v>
      </c>
    </row>
    <row r="91" spans="1:2" x14ac:dyDescent="0.3">
      <c r="B91" s="20" t="s">
        <v>174</v>
      </c>
    </row>
    <row r="92" spans="1:2" x14ac:dyDescent="0.3">
      <c r="B92" s="20" t="s">
        <v>175</v>
      </c>
    </row>
    <row r="93" spans="1:2" x14ac:dyDescent="0.3">
      <c r="B93" s="20" t="s">
        <v>176</v>
      </c>
    </row>
    <row r="94" spans="1:2" x14ac:dyDescent="0.3">
      <c r="B94" s="20" t="s">
        <v>177</v>
      </c>
    </row>
    <row r="95" spans="1:2" x14ac:dyDescent="0.3">
      <c r="B95" s="20" t="s">
        <v>178</v>
      </c>
    </row>
    <row r="96" spans="1:2" x14ac:dyDescent="0.3">
      <c r="B96" s="20" t="s">
        <v>179</v>
      </c>
    </row>
    <row r="97" spans="2:2" x14ac:dyDescent="0.3">
      <c r="B97" s="20" t="s">
        <v>180</v>
      </c>
    </row>
    <row r="98" spans="2:2" x14ac:dyDescent="0.3">
      <c r="B98" s="20" t="s">
        <v>181</v>
      </c>
    </row>
    <row r="99" spans="2:2" x14ac:dyDescent="0.3">
      <c r="B99" s="20" t="s">
        <v>182</v>
      </c>
    </row>
    <row r="100" spans="2:2" x14ac:dyDescent="0.3">
      <c r="B100" s="20" t="s">
        <v>183</v>
      </c>
    </row>
    <row r="101" spans="2:2" x14ac:dyDescent="0.3">
      <c r="B101" s="20" t="s">
        <v>184</v>
      </c>
    </row>
    <row r="102" spans="2:2" x14ac:dyDescent="0.3">
      <c r="B102" s="20" t="s">
        <v>185</v>
      </c>
    </row>
    <row r="103" spans="2:2" x14ac:dyDescent="0.3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Thinh Bui Duc</cp:lastModifiedBy>
  <dcterms:created xsi:type="dcterms:W3CDTF">2022-04-01T07:31:40Z</dcterms:created>
  <dcterms:modified xsi:type="dcterms:W3CDTF">2023-05-15T06:45:00Z</dcterms:modified>
</cp:coreProperties>
</file>
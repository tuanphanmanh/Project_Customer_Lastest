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  <externalReference r:id="rId7"/>
    <externalReference r:id="rId8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8" i="5" l="1"/>
  <c r="G38" i="5"/>
  <c r="F38" i="5"/>
  <c r="V38" i="5" s="1"/>
  <c r="E38" i="5"/>
  <c r="I38" i="5" s="1"/>
  <c r="C38" i="5"/>
  <c r="B38" i="5"/>
  <c r="D38" i="5" s="1"/>
  <c r="L12" i="1"/>
  <c r="G12" i="1"/>
  <c r="E12" i="1"/>
  <c r="H12" i="1" s="1"/>
  <c r="D12" i="1"/>
  <c r="V12" i="1" s="1"/>
  <c r="F16" i="5"/>
  <c r="F17" i="5"/>
  <c r="F18" i="5"/>
  <c r="F19" i="5"/>
  <c r="F20" i="5"/>
  <c r="E21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E56" i="5"/>
  <c r="F56" i="5"/>
  <c r="C53" i="5"/>
  <c r="B53" i="5"/>
  <c r="D53" i="5" s="1"/>
  <c r="C52" i="5"/>
  <c r="B52" i="5"/>
  <c r="D52" i="5" s="1"/>
  <c r="T52" i="5" s="1"/>
  <c r="C51" i="5"/>
  <c r="B51" i="5"/>
  <c r="D51" i="5" s="1"/>
  <c r="L16" i="1"/>
  <c r="G16" i="1"/>
  <c r="E16" i="1"/>
  <c r="H16" i="1" s="1"/>
  <c r="D16" i="1"/>
  <c r="V16" i="1" s="1"/>
  <c r="C56" i="5"/>
  <c r="B56" i="5"/>
  <c r="D56" i="5" s="1"/>
  <c r="T56" i="5" s="1"/>
  <c r="C55" i="5"/>
  <c r="B55" i="5"/>
  <c r="D55" i="5" s="1"/>
  <c r="C54" i="5"/>
  <c r="B54" i="5"/>
  <c r="D54" i="5" s="1"/>
  <c r="T54" i="5" s="1"/>
  <c r="C50" i="5"/>
  <c r="B50" i="5"/>
  <c r="D50" i="5" s="1"/>
  <c r="C49" i="5"/>
  <c r="B49" i="5"/>
  <c r="D49" i="5" s="1"/>
  <c r="T49" i="5" s="1"/>
  <c r="C48" i="5"/>
  <c r="B48" i="5"/>
  <c r="D48" i="5" s="1"/>
  <c r="C47" i="5"/>
  <c r="B47" i="5"/>
  <c r="D47" i="5" s="1"/>
  <c r="T47" i="5" s="1"/>
  <c r="C46" i="5"/>
  <c r="B46" i="5"/>
  <c r="D46" i="5" s="1"/>
  <c r="C45" i="5"/>
  <c r="B45" i="5"/>
  <c r="D45" i="5" s="1"/>
  <c r="T45" i="5" s="1"/>
  <c r="C44" i="5"/>
  <c r="B44" i="5"/>
  <c r="D44" i="5" s="1"/>
  <c r="C43" i="5"/>
  <c r="B43" i="5"/>
  <c r="D43" i="5" s="1"/>
  <c r="T43" i="5" s="1"/>
  <c r="L50" i="1"/>
  <c r="G50" i="1"/>
  <c r="E50" i="1"/>
  <c r="H50" i="1" s="1"/>
  <c r="D50" i="1"/>
  <c r="V50" i="1" s="1"/>
  <c r="L41" i="1"/>
  <c r="G41" i="1"/>
  <c r="E41" i="1"/>
  <c r="H41" i="1" s="1"/>
  <c r="E47" i="5" s="1"/>
  <c r="D41" i="1"/>
  <c r="V41" i="1" s="1"/>
  <c r="L37" i="1"/>
  <c r="G37" i="1"/>
  <c r="E37" i="1"/>
  <c r="H37" i="1" s="1"/>
  <c r="E43" i="5" s="1"/>
  <c r="D37" i="1"/>
  <c r="V37" i="1" s="1"/>
  <c r="L38" i="1"/>
  <c r="G38" i="1"/>
  <c r="E38" i="1"/>
  <c r="H38" i="1" s="1"/>
  <c r="E44" i="5" s="1"/>
  <c r="I44" i="5" s="1"/>
  <c r="D38" i="1"/>
  <c r="V38" i="1" s="1"/>
  <c r="L40" i="1"/>
  <c r="G40" i="1"/>
  <c r="E40" i="1"/>
  <c r="H40" i="1" s="1"/>
  <c r="E46" i="5" s="1"/>
  <c r="I46" i="5" s="1"/>
  <c r="D40" i="1"/>
  <c r="V40" i="1" s="1"/>
  <c r="G39" i="1"/>
  <c r="E39" i="1"/>
  <c r="H39" i="1" s="1"/>
  <c r="E45" i="5" s="1"/>
  <c r="D39" i="1"/>
  <c r="T39" i="1" s="1"/>
  <c r="L33" i="1"/>
  <c r="G33" i="1"/>
  <c r="E33" i="1"/>
  <c r="H33" i="1" s="1"/>
  <c r="E39" i="5" s="1"/>
  <c r="D33" i="1"/>
  <c r="V33" i="1" s="1"/>
  <c r="L32" i="1"/>
  <c r="G32" i="1"/>
  <c r="E32" i="1"/>
  <c r="H32" i="1" s="1"/>
  <c r="E37" i="5" s="1"/>
  <c r="D32" i="1"/>
  <c r="V32" i="1" s="1"/>
  <c r="L34" i="1"/>
  <c r="G34" i="1"/>
  <c r="E34" i="1"/>
  <c r="H34" i="1" s="1"/>
  <c r="E40" i="5" s="1"/>
  <c r="D34" i="1"/>
  <c r="V34" i="1" s="1"/>
  <c r="L36" i="1"/>
  <c r="G36" i="1"/>
  <c r="E36" i="1"/>
  <c r="H36" i="1" s="1"/>
  <c r="E42" i="5" s="1"/>
  <c r="D36" i="1"/>
  <c r="V36" i="1" s="1"/>
  <c r="L17" i="1"/>
  <c r="G17" i="1"/>
  <c r="E17" i="1"/>
  <c r="H17" i="1" s="1"/>
  <c r="W17" i="1" s="1"/>
  <c r="D17" i="1"/>
  <c r="V17" i="1" s="1"/>
  <c r="L15" i="1"/>
  <c r="G15" i="1"/>
  <c r="E15" i="1"/>
  <c r="H15" i="1" s="1"/>
  <c r="E20" i="5" s="1"/>
  <c r="D15" i="1"/>
  <c r="V15" i="1" s="1"/>
  <c r="H45" i="5" l="1"/>
  <c r="U38" i="5"/>
  <c r="T38" i="5"/>
  <c r="S38" i="5"/>
  <c r="H38" i="5"/>
  <c r="V47" i="5"/>
  <c r="K38" i="5"/>
  <c r="H56" i="5"/>
  <c r="N12" i="1"/>
  <c r="I12" i="1"/>
  <c r="M12" i="1"/>
  <c r="W12" i="1"/>
  <c r="O12" i="1"/>
  <c r="J12" i="1"/>
  <c r="P12" i="1"/>
  <c r="E22" i="5"/>
  <c r="T12" i="1"/>
  <c r="T51" i="5"/>
  <c r="T53" i="5"/>
  <c r="M39" i="1"/>
  <c r="H43" i="5"/>
  <c r="H47" i="5"/>
  <c r="P16" i="1"/>
  <c r="W16" i="1"/>
  <c r="O16" i="1"/>
  <c r="J16" i="1"/>
  <c r="N16" i="1"/>
  <c r="I16" i="1"/>
  <c r="M16" i="1"/>
  <c r="K46" i="5"/>
  <c r="V46" i="5"/>
  <c r="L46" i="5"/>
  <c r="T16" i="1"/>
  <c r="G46" i="5"/>
  <c r="S46" i="5" s="1"/>
  <c r="U46" i="5"/>
  <c r="G44" i="5"/>
  <c r="S44" i="5" s="1"/>
  <c r="V43" i="5"/>
  <c r="L44" i="5"/>
  <c r="V45" i="5"/>
  <c r="H46" i="5"/>
  <c r="V56" i="5"/>
  <c r="T44" i="5"/>
  <c r="U44" i="5"/>
  <c r="T46" i="5"/>
  <c r="T55" i="5"/>
  <c r="T50" i="5"/>
  <c r="H44" i="5"/>
  <c r="T48" i="5"/>
  <c r="K44" i="5"/>
  <c r="I43" i="5"/>
  <c r="V44" i="5"/>
  <c r="I45" i="5"/>
  <c r="I47" i="5"/>
  <c r="I56" i="5"/>
  <c r="K43" i="5"/>
  <c r="U43" i="5"/>
  <c r="K45" i="5"/>
  <c r="U45" i="5"/>
  <c r="K47" i="5"/>
  <c r="U47" i="5"/>
  <c r="K56" i="5"/>
  <c r="U56" i="5"/>
  <c r="G43" i="5"/>
  <c r="S43" i="5" s="1"/>
  <c r="L43" i="5"/>
  <c r="G45" i="5"/>
  <c r="S45" i="5" s="1"/>
  <c r="L45" i="5"/>
  <c r="G47" i="5"/>
  <c r="S47" i="5" s="1"/>
  <c r="L47" i="5"/>
  <c r="G56" i="5"/>
  <c r="S56" i="5" s="1"/>
  <c r="L56" i="5"/>
  <c r="W50" i="1"/>
  <c r="O50" i="1"/>
  <c r="J50" i="1"/>
  <c r="N50" i="1"/>
  <c r="I50" i="1"/>
  <c r="M50" i="1"/>
  <c r="P50" i="1"/>
  <c r="T50" i="1"/>
  <c r="W41" i="1"/>
  <c r="O41" i="1"/>
  <c r="J41" i="1"/>
  <c r="N41" i="1"/>
  <c r="I41" i="1"/>
  <c r="M41" i="1"/>
  <c r="P41" i="1"/>
  <c r="T41" i="1"/>
  <c r="P37" i="1"/>
  <c r="W37" i="1"/>
  <c r="O37" i="1"/>
  <c r="J37" i="1"/>
  <c r="N37" i="1"/>
  <c r="I37" i="1"/>
  <c r="M37" i="1"/>
  <c r="T37" i="1"/>
  <c r="W38" i="1"/>
  <c r="O38" i="1"/>
  <c r="J38" i="1"/>
  <c r="N38" i="1"/>
  <c r="I38" i="1"/>
  <c r="M38" i="1"/>
  <c r="P38" i="1"/>
  <c r="I39" i="1"/>
  <c r="T38" i="1"/>
  <c r="P40" i="1"/>
  <c r="W40" i="1"/>
  <c r="O40" i="1"/>
  <c r="J40" i="1"/>
  <c r="N40" i="1"/>
  <c r="I40" i="1"/>
  <c r="M40" i="1"/>
  <c r="J39" i="1"/>
  <c r="O39" i="1"/>
  <c r="W39" i="1"/>
  <c r="T40" i="1"/>
  <c r="N39" i="1"/>
  <c r="V39" i="1"/>
  <c r="P39" i="1"/>
  <c r="W33" i="1"/>
  <c r="O33" i="1"/>
  <c r="J33" i="1"/>
  <c r="N33" i="1"/>
  <c r="I33" i="1"/>
  <c r="M33" i="1"/>
  <c r="P33" i="1"/>
  <c r="T33" i="1"/>
  <c r="N32" i="1"/>
  <c r="I32" i="1"/>
  <c r="M32" i="1"/>
  <c r="W32" i="1"/>
  <c r="O32" i="1"/>
  <c r="J32" i="1"/>
  <c r="P32" i="1"/>
  <c r="T32" i="1"/>
  <c r="W34" i="1"/>
  <c r="O34" i="1"/>
  <c r="J34" i="1"/>
  <c r="N34" i="1"/>
  <c r="I34" i="1"/>
  <c r="M34" i="1"/>
  <c r="P34" i="1"/>
  <c r="T34" i="1"/>
  <c r="N36" i="1"/>
  <c r="I36" i="1"/>
  <c r="W36" i="1"/>
  <c r="O36" i="1"/>
  <c r="J36" i="1"/>
  <c r="M36" i="1"/>
  <c r="P36" i="1"/>
  <c r="T36" i="1"/>
  <c r="T17" i="1"/>
  <c r="P17" i="1"/>
  <c r="M17" i="1"/>
  <c r="I17" i="1"/>
  <c r="N17" i="1"/>
  <c r="J17" i="1"/>
  <c r="O17" i="1"/>
  <c r="N15" i="1"/>
  <c r="I15" i="1"/>
  <c r="M15" i="1"/>
  <c r="W15" i="1"/>
  <c r="O15" i="1"/>
  <c r="J15" i="1"/>
  <c r="P15" i="1"/>
  <c r="T15" i="1"/>
  <c r="L35" i="1" l="1"/>
  <c r="G35" i="1"/>
  <c r="E35" i="1"/>
  <c r="H35" i="1" s="1"/>
  <c r="E41" i="5" s="1"/>
  <c r="D35" i="1"/>
  <c r="V35" i="1" s="1"/>
  <c r="L31" i="1"/>
  <c r="G31" i="1"/>
  <c r="E31" i="1"/>
  <c r="H31" i="1" s="1"/>
  <c r="E36" i="5" s="1"/>
  <c r="D31" i="1"/>
  <c r="V31" i="1" s="1"/>
  <c r="L25" i="1"/>
  <c r="G25" i="1"/>
  <c r="E25" i="1"/>
  <c r="H25" i="1" s="1"/>
  <c r="E30" i="5" s="1"/>
  <c r="D25" i="1"/>
  <c r="T25" i="1" s="1"/>
  <c r="L29" i="1"/>
  <c r="G29" i="1"/>
  <c r="E29" i="1"/>
  <c r="H29" i="1" s="1"/>
  <c r="E34" i="5" s="1"/>
  <c r="D29" i="1"/>
  <c r="V29" i="1" s="1"/>
  <c r="L24" i="1"/>
  <c r="G24" i="1"/>
  <c r="E24" i="1"/>
  <c r="H24" i="1" s="1"/>
  <c r="E29" i="5" s="1"/>
  <c r="D24" i="1"/>
  <c r="V24" i="1" s="1"/>
  <c r="L18" i="1"/>
  <c r="G18" i="1"/>
  <c r="E18" i="1"/>
  <c r="H18" i="1" s="1"/>
  <c r="E23" i="5" s="1"/>
  <c r="D18" i="1"/>
  <c r="P18" i="1" s="1"/>
  <c r="D47" i="1"/>
  <c r="T47" i="1" s="1"/>
  <c r="E47" i="1"/>
  <c r="H47" i="1" s="1"/>
  <c r="E53" i="5" s="1"/>
  <c r="G47" i="1"/>
  <c r="L47" i="1"/>
  <c r="L20" i="1"/>
  <c r="G20" i="1"/>
  <c r="E20" i="1"/>
  <c r="H20" i="1" s="1"/>
  <c r="D20" i="1"/>
  <c r="T20" i="1" s="1"/>
  <c r="L27" i="1"/>
  <c r="G27" i="1"/>
  <c r="E27" i="1"/>
  <c r="H27" i="1" s="1"/>
  <c r="E32" i="5" s="1"/>
  <c r="D27" i="1"/>
  <c r="V27" i="1" s="1"/>
  <c r="L28" i="1"/>
  <c r="G28" i="1"/>
  <c r="E28" i="1"/>
  <c r="H28" i="1" s="1"/>
  <c r="E33" i="5" s="1"/>
  <c r="D28" i="1"/>
  <c r="V28" i="1" s="1"/>
  <c r="L26" i="1"/>
  <c r="G26" i="1"/>
  <c r="E26" i="1"/>
  <c r="H26" i="1" s="1"/>
  <c r="E31" i="5" s="1"/>
  <c r="D26" i="1"/>
  <c r="V26" i="1" s="1"/>
  <c r="L14" i="1"/>
  <c r="G14" i="1"/>
  <c r="E14" i="1"/>
  <c r="H14" i="1" s="1"/>
  <c r="E19" i="5" s="1"/>
  <c r="D14" i="1"/>
  <c r="T14" i="1" s="1"/>
  <c r="L13" i="1"/>
  <c r="G13" i="1"/>
  <c r="E13" i="1"/>
  <c r="H13" i="1" s="1"/>
  <c r="E18" i="5" s="1"/>
  <c r="D13" i="1"/>
  <c r="V13" i="1" s="1"/>
  <c r="I53" i="5" l="1"/>
  <c r="L53" i="5"/>
  <c r="V53" i="5"/>
  <c r="K53" i="5"/>
  <c r="G53" i="5"/>
  <c r="S53" i="5" s="1"/>
  <c r="H53" i="5"/>
  <c r="U53" i="5"/>
  <c r="W20" i="1"/>
  <c r="E25" i="5"/>
  <c r="P47" i="1"/>
  <c r="W31" i="1"/>
  <c r="N35" i="1"/>
  <c r="I35" i="1"/>
  <c r="M35" i="1"/>
  <c r="W35" i="1"/>
  <c r="O35" i="1"/>
  <c r="J35" i="1"/>
  <c r="P35" i="1"/>
  <c r="T35" i="1"/>
  <c r="T31" i="1"/>
  <c r="P31" i="1"/>
  <c r="M31" i="1"/>
  <c r="I31" i="1"/>
  <c r="N31" i="1"/>
  <c r="J31" i="1"/>
  <c r="O31" i="1"/>
  <c r="W25" i="1"/>
  <c r="N25" i="1"/>
  <c r="V25" i="1"/>
  <c r="P25" i="1"/>
  <c r="M25" i="1"/>
  <c r="I25" i="1"/>
  <c r="J25" i="1"/>
  <c r="O25" i="1"/>
  <c r="W29" i="1"/>
  <c r="O29" i="1"/>
  <c r="J29" i="1"/>
  <c r="N29" i="1"/>
  <c r="I29" i="1"/>
  <c r="M29" i="1"/>
  <c r="P29" i="1"/>
  <c r="T29" i="1"/>
  <c r="W24" i="1"/>
  <c r="O24" i="1"/>
  <c r="J24" i="1"/>
  <c r="N24" i="1"/>
  <c r="I24" i="1"/>
  <c r="M24" i="1"/>
  <c r="P24" i="1"/>
  <c r="T24" i="1"/>
  <c r="W18" i="1"/>
  <c r="M18" i="1"/>
  <c r="T18" i="1"/>
  <c r="N18" i="1"/>
  <c r="V18" i="1"/>
  <c r="I18" i="1"/>
  <c r="J18" i="1"/>
  <c r="O18" i="1"/>
  <c r="V47" i="1"/>
  <c r="I47" i="1"/>
  <c r="M47" i="1"/>
  <c r="W47" i="1"/>
  <c r="O47" i="1"/>
  <c r="J47" i="1"/>
  <c r="N47" i="1"/>
  <c r="P20" i="1"/>
  <c r="I20" i="1"/>
  <c r="N20" i="1"/>
  <c r="V20" i="1"/>
  <c r="M20" i="1"/>
  <c r="J20" i="1"/>
  <c r="O20" i="1"/>
  <c r="N27" i="1"/>
  <c r="M27" i="1"/>
  <c r="W27" i="1"/>
  <c r="O27" i="1"/>
  <c r="J27" i="1"/>
  <c r="I27" i="1"/>
  <c r="P27" i="1"/>
  <c r="T27" i="1"/>
  <c r="N28" i="1"/>
  <c r="I28" i="1"/>
  <c r="M28" i="1"/>
  <c r="W28" i="1"/>
  <c r="O28" i="1"/>
  <c r="J28" i="1"/>
  <c r="P28" i="1"/>
  <c r="T28" i="1"/>
  <c r="N26" i="1"/>
  <c r="I26" i="1"/>
  <c r="M26" i="1"/>
  <c r="W26" i="1"/>
  <c r="O26" i="1"/>
  <c r="J26" i="1"/>
  <c r="P26" i="1"/>
  <c r="T26" i="1"/>
  <c r="M14" i="1"/>
  <c r="W14" i="1"/>
  <c r="O14" i="1"/>
  <c r="J14" i="1"/>
  <c r="N14" i="1"/>
  <c r="I14" i="1"/>
  <c r="V14" i="1"/>
  <c r="P14" i="1"/>
  <c r="O13" i="1"/>
  <c r="J13" i="1"/>
  <c r="N13" i="1"/>
  <c r="I13" i="1"/>
  <c r="M13" i="1"/>
  <c r="W13" i="1"/>
  <c r="P13" i="1"/>
  <c r="T13" i="1"/>
  <c r="C30" i="5" l="1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52" i="1"/>
  <c r="G52" i="1"/>
  <c r="F58" i="5" s="1"/>
  <c r="E52" i="1"/>
  <c r="H52" i="1" s="1"/>
  <c r="E58" i="5" s="1"/>
  <c r="D52" i="1"/>
  <c r="T52" i="1" s="1"/>
  <c r="L30" i="1"/>
  <c r="G30" i="1"/>
  <c r="E30" i="1"/>
  <c r="H30" i="1" s="1"/>
  <c r="E35" i="5" s="1"/>
  <c r="D30" i="1"/>
  <c r="K39" i="5"/>
  <c r="L51" i="1"/>
  <c r="G51" i="1"/>
  <c r="F57" i="5" s="1"/>
  <c r="E51" i="1"/>
  <c r="H51" i="1" s="1"/>
  <c r="E57" i="5" s="1"/>
  <c r="D51" i="1"/>
  <c r="T51" i="1" s="1"/>
  <c r="L49" i="1"/>
  <c r="G49" i="1"/>
  <c r="F55" i="5" s="1"/>
  <c r="E49" i="1"/>
  <c r="H49" i="1" s="1"/>
  <c r="E55" i="5" s="1"/>
  <c r="D49" i="1"/>
  <c r="L48" i="1"/>
  <c r="G48" i="1"/>
  <c r="F54" i="5" s="1"/>
  <c r="E48" i="1"/>
  <c r="H48" i="1" s="1"/>
  <c r="E54" i="5" s="1"/>
  <c r="D48" i="1"/>
  <c r="V48" i="1" s="1"/>
  <c r="I55" i="5" l="1"/>
  <c r="V55" i="5"/>
  <c r="K55" i="5"/>
  <c r="L55" i="5"/>
  <c r="U55" i="5"/>
  <c r="G55" i="5"/>
  <c r="S55" i="5" s="1"/>
  <c r="H55" i="5"/>
  <c r="U54" i="5"/>
  <c r="L54" i="5"/>
  <c r="I54" i="5"/>
  <c r="K54" i="5"/>
  <c r="G54" i="5"/>
  <c r="S54" i="5" s="1"/>
  <c r="V54" i="5"/>
  <c r="H54" i="5"/>
  <c r="W49" i="1"/>
  <c r="W30" i="1"/>
  <c r="K30" i="5"/>
  <c r="V32" i="5"/>
  <c r="G32" i="5"/>
  <c r="G34" i="5"/>
  <c r="V34" i="5"/>
  <c r="G36" i="5"/>
  <c r="V36" i="5"/>
  <c r="V41" i="5"/>
  <c r="G41" i="5"/>
  <c r="G57" i="5"/>
  <c r="G58" i="5"/>
  <c r="G33" i="5"/>
  <c r="V33" i="5"/>
  <c r="K37" i="5"/>
  <c r="I37" i="5"/>
  <c r="G37" i="5"/>
  <c r="V37" i="5"/>
  <c r="V40" i="5"/>
  <c r="G40" i="5"/>
  <c r="V39" i="5"/>
  <c r="G39" i="5"/>
  <c r="G30" i="5"/>
  <c r="S30" i="5" s="1"/>
  <c r="H30" i="5"/>
  <c r="V30" i="5"/>
  <c r="I39" i="5"/>
  <c r="I30" i="5"/>
  <c r="U30" i="5"/>
  <c r="L30" i="5"/>
  <c r="P52" i="1"/>
  <c r="P51" i="1"/>
  <c r="V52" i="1"/>
  <c r="V51" i="1"/>
  <c r="M30" i="1"/>
  <c r="M49" i="1"/>
  <c r="O51" i="1"/>
  <c r="N51" i="1"/>
  <c r="M51" i="1"/>
  <c r="W51" i="1"/>
  <c r="J51" i="1"/>
  <c r="I51" i="1"/>
  <c r="W48" i="1"/>
  <c r="J48" i="1"/>
  <c r="I48" i="1"/>
  <c r="O48" i="1"/>
  <c r="N48" i="1"/>
  <c r="M48" i="1"/>
  <c r="O52" i="1"/>
  <c r="N52" i="1"/>
  <c r="M52" i="1"/>
  <c r="W52" i="1"/>
  <c r="J52" i="1"/>
  <c r="I52" i="1"/>
  <c r="N30" i="1"/>
  <c r="O49" i="1"/>
  <c r="O30" i="1"/>
  <c r="P49" i="1"/>
  <c r="P30" i="1"/>
  <c r="T49" i="1"/>
  <c r="T30" i="1"/>
  <c r="P48" i="1"/>
  <c r="I49" i="1"/>
  <c r="V49" i="1"/>
  <c r="I30" i="1"/>
  <c r="V30" i="1"/>
  <c r="T48" i="1"/>
  <c r="J49" i="1"/>
  <c r="J30" i="1"/>
  <c r="N49" i="1"/>
  <c r="B7" i="5"/>
  <c r="B6" i="5"/>
  <c r="B2" i="5"/>
  <c r="V31" i="5" l="1"/>
  <c r="G31" i="5"/>
  <c r="G42" i="5"/>
  <c r="V42" i="5"/>
  <c r="G35" i="5"/>
  <c r="V35" i="5"/>
  <c r="B8" i="5"/>
  <c r="B3" i="5"/>
  <c r="C58" i="5"/>
  <c r="B58" i="5"/>
  <c r="D58" i="5" s="1"/>
  <c r="C57" i="5"/>
  <c r="B57" i="5"/>
  <c r="D57" i="5" s="1"/>
  <c r="S57" i="5" s="1"/>
  <c r="C42" i="5"/>
  <c r="K42" i="5" s="1"/>
  <c r="B42" i="5"/>
  <c r="D42" i="5" s="1"/>
  <c r="T42" i="5" s="1"/>
  <c r="C41" i="5"/>
  <c r="B41" i="5"/>
  <c r="D41" i="5" s="1"/>
  <c r="I41" i="5" s="1"/>
  <c r="C40" i="5"/>
  <c r="K40" i="5" s="1"/>
  <c r="B40" i="5"/>
  <c r="D40" i="5" s="1"/>
  <c r="I40" i="5" s="1"/>
  <c r="C39" i="5"/>
  <c r="B39" i="5"/>
  <c r="D39" i="5" s="1"/>
  <c r="C37" i="5"/>
  <c r="B37" i="5"/>
  <c r="D37" i="5" s="1"/>
  <c r="C36" i="5"/>
  <c r="B36" i="5"/>
  <c r="D36" i="5" s="1"/>
  <c r="C35" i="5"/>
  <c r="K35" i="5" s="1"/>
  <c r="B35" i="5"/>
  <c r="D35" i="5" s="1"/>
  <c r="T35" i="5" s="1"/>
  <c r="C34" i="5"/>
  <c r="B34" i="5"/>
  <c r="D34" i="5" s="1"/>
  <c r="C33" i="5"/>
  <c r="B33" i="5"/>
  <c r="D33" i="5" s="1"/>
  <c r="I33" i="5" s="1"/>
  <c r="G44" i="1"/>
  <c r="E44" i="1"/>
  <c r="H44" i="1" s="1"/>
  <c r="E50" i="5" s="1"/>
  <c r="D44" i="1"/>
  <c r="T44" i="1" s="1"/>
  <c r="L43" i="1"/>
  <c r="G43" i="1"/>
  <c r="E43" i="1"/>
  <c r="H43" i="1" s="1"/>
  <c r="E49" i="5" s="1"/>
  <c r="D43" i="1"/>
  <c r="V43" i="1" s="1"/>
  <c r="L42" i="1"/>
  <c r="G42" i="1"/>
  <c r="E42" i="1"/>
  <c r="H42" i="1" s="1"/>
  <c r="E48" i="5" s="1"/>
  <c r="D42" i="1"/>
  <c r="T42" i="1" s="1"/>
  <c r="L46" i="1"/>
  <c r="G46" i="1"/>
  <c r="E46" i="1"/>
  <c r="H46" i="1" s="1"/>
  <c r="E52" i="5" s="1"/>
  <c r="D46" i="1"/>
  <c r="V46" i="1" s="1"/>
  <c r="L45" i="1"/>
  <c r="G45" i="1"/>
  <c r="E45" i="1"/>
  <c r="H45" i="1" s="1"/>
  <c r="E51" i="5" s="1"/>
  <c r="D45" i="1"/>
  <c r="T45" i="1" s="1"/>
  <c r="L23" i="1"/>
  <c r="G23" i="1"/>
  <c r="E23" i="1"/>
  <c r="H23" i="1" s="1"/>
  <c r="E28" i="5" s="1"/>
  <c r="D23" i="1"/>
  <c r="V23" i="1" s="1"/>
  <c r="G22" i="1"/>
  <c r="E22" i="1"/>
  <c r="H22" i="1" s="1"/>
  <c r="E27" i="5" s="1"/>
  <c r="D22" i="1"/>
  <c r="T22" i="1" s="1"/>
  <c r="K33" i="5" l="1"/>
  <c r="S34" i="5"/>
  <c r="I34" i="5"/>
  <c r="S36" i="5"/>
  <c r="I36" i="5"/>
  <c r="K34" i="5"/>
  <c r="H36" i="5"/>
  <c r="K36" i="5"/>
  <c r="H41" i="5"/>
  <c r="K41" i="5"/>
  <c r="I35" i="5"/>
  <c r="I52" i="5"/>
  <c r="U52" i="5"/>
  <c r="K52" i="5"/>
  <c r="V52" i="5"/>
  <c r="G52" i="5"/>
  <c r="S52" i="5" s="1"/>
  <c r="H52" i="5"/>
  <c r="L52" i="5"/>
  <c r="H48" i="5"/>
  <c r="I48" i="5"/>
  <c r="L48" i="5"/>
  <c r="V48" i="5"/>
  <c r="G48" i="5"/>
  <c r="S48" i="5" s="1"/>
  <c r="K48" i="5"/>
  <c r="U48" i="5"/>
  <c r="H49" i="5"/>
  <c r="U49" i="5"/>
  <c r="L49" i="5"/>
  <c r="V49" i="5"/>
  <c r="G49" i="5"/>
  <c r="S49" i="5" s="1"/>
  <c r="I49" i="5"/>
  <c r="K49" i="5"/>
  <c r="I50" i="5"/>
  <c r="G50" i="5"/>
  <c r="S50" i="5" s="1"/>
  <c r="V50" i="5"/>
  <c r="H50" i="5"/>
  <c r="U50" i="5"/>
  <c r="K50" i="5"/>
  <c r="L50" i="5"/>
  <c r="I51" i="5"/>
  <c r="G51" i="5"/>
  <c r="S51" i="5" s="1"/>
  <c r="L51" i="5"/>
  <c r="H51" i="5"/>
  <c r="U51" i="5"/>
  <c r="V51" i="5"/>
  <c r="K51" i="5"/>
  <c r="H35" i="5"/>
  <c r="S42" i="5"/>
  <c r="T36" i="5"/>
  <c r="U36" i="5"/>
  <c r="T41" i="5"/>
  <c r="U41" i="5"/>
  <c r="T58" i="5"/>
  <c r="V58" i="5"/>
  <c r="U58" i="5"/>
  <c r="I58" i="5"/>
  <c r="H58" i="5"/>
  <c r="K58" i="5"/>
  <c r="S58" i="5"/>
  <c r="H40" i="5"/>
  <c r="T37" i="5"/>
  <c r="U37" i="5"/>
  <c r="H42" i="5"/>
  <c r="H33" i="5"/>
  <c r="H37" i="5"/>
  <c r="U35" i="5"/>
  <c r="U42" i="5"/>
  <c r="S41" i="5"/>
  <c r="T34" i="5"/>
  <c r="U34" i="5"/>
  <c r="T39" i="5"/>
  <c r="U39" i="5"/>
  <c r="T57" i="5"/>
  <c r="I57" i="5"/>
  <c r="U57" i="5"/>
  <c r="V57" i="5"/>
  <c r="I42" i="5"/>
  <c r="S39" i="5"/>
  <c r="T33" i="5"/>
  <c r="U33" i="5"/>
  <c r="H34" i="5"/>
  <c r="H39" i="5"/>
  <c r="H57" i="5"/>
  <c r="K57" i="5"/>
  <c r="S37" i="5"/>
  <c r="S33" i="5"/>
  <c r="T40" i="5"/>
  <c r="U40" i="5"/>
  <c r="S35" i="5"/>
  <c r="S40" i="5"/>
  <c r="I42" i="1"/>
  <c r="K28" i="5"/>
  <c r="I28" i="5"/>
  <c r="H28" i="5"/>
  <c r="G28" i="5"/>
  <c r="S28" i="5" s="1"/>
  <c r="V28" i="5"/>
  <c r="U28" i="5"/>
  <c r="L28" i="5"/>
  <c r="K20" i="5"/>
  <c r="I20" i="5"/>
  <c r="H20" i="5"/>
  <c r="G20" i="5"/>
  <c r="S20" i="5" s="1"/>
  <c r="L20" i="5"/>
  <c r="V20" i="5"/>
  <c r="U20" i="5"/>
  <c r="U23" i="5"/>
  <c r="G23" i="5"/>
  <c r="S23" i="5" s="1"/>
  <c r="K23" i="5"/>
  <c r="V23" i="5"/>
  <c r="I23" i="5"/>
  <c r="H23" i="5"/>
  <c r="L23" i="5"/>
  <c r="V22" i="5"/>
  <c r="K22" i="5"/>
  <c r="I22" i="5"/>
  <c r="U22" i="5"/>
  <c r="H22" i="5"/>
  <c r="G22" i="5"/>
  <c r="S22" i="5" s="1"/>
  <c r="L22" i="5"/>
  <c r="K29" i="5"/>
  <c r="I29" i="5"/>
  <c r="H29" i="5"/>
  <c r="G29" i="5"/>
  <c r="S29" i="5" s="1"/>
  <c r="V29" i="5"/>
  <c r="L29" i="5"/>
  <c r="U29" i="5"/>
  <c r="L21" i="5"/>
  <c r="K21" i="5"/>
  <c r="I21" i="5"/>
  <c r="H21" i="5"/>
  <c r="G21" i="5"/>
  <c r="S21" i="5" s="1"/>
  <c r="V21" i="5"/>
  <c r="U21" i="5"/>
  <c r="G25" i="5"/>
  <c r="S25" i="5" s="1"/>
  <c r="V25" i="5"/>
  <c r="I25" i="5"/>
  <c r="U25" i="5"/>
  <c r="L25" i="5"/>
  <c r="K25" i="5"/>
  <c r="H25" i="5"/>
  <c r="I27" i="5"/>
  <c r="H27" i="5"/>
  <c r="G27" i="5"/>
  <c r="S27" i="5" s="1"/>
  <c r="K27" i="5"/>
  <c r="V27" i="5"/>
  <c r="U27" i="5"/>
  <c r="L27" i="5"/>
  <c r="L35" i="5"/>
  <c r="L37" i="5"/>
  <c r="L42" i="5"/>
  <c r="L33" i="5"/>
  <c r="L39" i="5"/>
  <c r="L41" i="5"/>
  <c r="L57" i="5"/>
  <c r="L58" i="5"/>
  <c r="L34" i="5"/>
  <c r="L36" i="5"/>
  <c r="M44" i="1"/>
  <c r="I44" i="1"/>
  <c r="P23" i="1"/>
  <c r="P43" i="1"/>
  <c r="W23" i="1"/>
  <c r="M42" i="1"/>
  <c r="W43" i="1"/>
  <c r="O43" i="1"/>
  <c r="J43" i="1"/>
  <c r="N43" i="1"/>
  <c r="I43" i="1"/>
  <c r="M43" i="1"/>
  <c r="N42" i="1"/>
  <c r="V42" i="1"/>
  <c r="N44" i="1"/>
  <c r="V44" i="1"/>
  <c r="J42" i="1"/>
  <c r="O42" i="1"/>
  <c r="W42" i="1"/>
  <c r="T43" i="1"/>
  <c r="J44" i="1"/>
  <c r="O44" i="1"/>
  <c r="W44" i="1"/>
  <c r="P42" i="1"/>
  <c r="P44" i="1"/>
  <c r="P46" i="1"/>
  <c r="W46" i="1"/>
  <c r="O46" i="1"/>
  <c r="J46" i="1"/>
  <c r="N46" i="1"/>
  <c r="I46" i="1"/>
  <c r="M46" i="1"/>
  <c r="M45" i="1"/>
  <c r="N45" i="1"/>
  <c r="I45" i="1"/>
  <c r="W45" i="1"/>
  <c r="O45" i="1"/>
  <c r="J45" i="1"/>
  <c r="M22" i="1"/>
  <c r="N22" i="1"/>
  <c r="I22" i="1"/>
  <c r="W22" i="1"/>
  <c r="O22" i="1"/>
  <c r="J22" i="1"/>
  <c r="M23" i="1"/>
  <c r="T23" i="1"/>
  <c r="T46" i="1"/>
  <c r="V22" i="1"/>
  <c r="V45" i="1"/>
  <c r="I23" i="1"/>
  <c r="N23" i="1"/>
  <c r="P45" i="1"/>
  <c r="P22" i="1"/>
  <c r="J23" i="1"/>
  <c r="O23" i="1"/>
  <c r="C31" i="5"/>
  <c r="B31" i="5"/>
  <c r="D31" i="5" s="1"/>
  <c r="C17" i="5"/>
  <c r="B17" i="5"/>
  <c r="D17" i="5" s="1"/>
  <c r="T17" i="5" s="1"/>
  <c r="C16" i="5"/>
  <c r="B16" i="5"/>
  <c r="D16" i="5" s="1"/>
  <c r="T16" i="5" s="1"/>
  <c r="K31" i="5" l="1"/>
  <c r="S31" i="5"/>
  <c r="I31" i="5"/>
  <c r="T31" i="5"/>
  <c r="U31" i="5"/>
  <c r="H31" i="5"/>
  <c r="L40" i="5"/>
  <c r="B6" i="1"/>
  <c r="G21" i="1"/>
  <c r="E21" i="1"/>
  <c r="H21" i="1" s="1"/>
  <c r="E26" i="5" s="1"/>
  <c r="K26" i="5" s="1"/>
  <c r="D21" i="1"/>
  <c r="V21" i="1" s="1"/>
  <c r="I26" i="5" l="1"/>
  <c r="G26" i="5"/>
  <c r="S26" i="5" s="1"/>
  <c r="U26" i="5"/>
  <c r="H26" i="5"/>
  <c r="V26" i="5"/>
  <c r="L26" i="5"/>
  <c r="I19" i="5"/>
  <c r="H19" i="5"/>
  <c r="K19" i="5"/>
  <c r="G19" i="5"/>
  <c r="S19" i="5" s="1"/>
  <c r="V19" i="5"/>
  <c r="U19" i="5"/>
  <c r="L19" i="5"/>
  <c r="W21" i="1"/>
  <c r="N21" i="1"/>
  <c r="I21" i="1"/>
  <c r="M21" i="1"/>
  <c r="O21" i="1"/>
  <c r="J21" i="1"/>
  <c r="L21" i="1"/>
  <c r="P21" i="1"/>
  <c r="T21" i="1"/>
  <c r="C32" i="5"/>
  <c r="K32" i="5" s="1"/>
  <c r="B32" i="5"/>
  <c r="D32" i="5" s="1"/>
  <c r="I32" i="5" s="1"/>
  <c r="C15" i="5"/>
  <c r="B15" i="5"/>
  <c r="D15" i="5" s="1"/>
  <c r="T15" i="5" s="1"/>
  <c r="L19" i="1"/>
  <c r="G19" i="1"/>
  <c r="E19" i="1"/>
  <c r="H19" i="1" s="1"/>
  <c r="E24" i="5" s="1"/>
  <c r="D19" i="1"/>
  <c r="V19" i="1" s="1"/>
  <c r="G11" i="1"/>
  <c r="E11" i="1"/>
  <c r="H11" i="1" s="1"/>
  <c r="E17" i="5" s="1"/>
  <c r="D11" i="1"/>
  <c r="T11" i="1" s="1"/>
  <c r="V24" i="5" l="1"/>
  <c r="K24" i="5"/>
  <c r="U24" i="5"/>
  <c r="I24" i="5"/>
  <c r="H24" i="5"/>
  <c r="L24" i="5"/>
  <c r="G24" i="5"/>
  <c r="S24" i="5" s="1"/>
  <c r="T32" i="5"/>
  <c r="U32" i="5"/>
  <c r="S32" i="5"/>
  <c r="H32" i="5"/>
  <c r="H18" i="5"/>
  <c r="G18" i="5"/>
  <c r="S18" i="5" s="1"/>
  <c r="V18" i="5"/>
  <c r="I18" i="5"/>
  <c r="U18" i="5"/>
  <c r="K18" i="5"/>
  <c r="L18" i="5"/>
  <c r="G17" i="5"/>
  <c r="S17" i="5" s="1"/>
  <c r="V17" i="5"/>
  <c r="U17" i="5"/>
  <c r="H17" i="5"/>
  <c r="I17" i="5"/>
  <c r="K17" i="5"/>
  <c r="L31" i="5"/>
  <c r="L17" i="5"/>
  <c r="M11" i="1"/>
  <c r="L11" i="1"/>
  <c r="P11" i="1"/>
  <c r="W19" i="1"/>
  <c r="O19" i="1"/>
  <c r="J19" i="1"/>
  <c r="I19" i="1"/>
  <c r="N19" i="1"/>
  <c r="M19" i="1"/>
  <c r="I11" i="1"/>
  <c r="N11" i="1"/>
  <c r="V11" i="1"/>
  <c r="P19" i="1"/>
  <c r="J11" i="1"/>
  <c r="O11" i="1"/>
  <c r="W11" i="1"/>
  <c r="T19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E16" i="5" s="1"/>
  <c r="D10" i="1"/>
  <c r="T10" i="1" s="1"/>
  <c r="V16" i="5" l="1"/>
  <c r="U16" i="5"/>
  <c r="H16" i="5"/>
  <c r="G16" i="5"/>
  <c r="S16" i="5" s="1"/>
  <c r="K16" i="5"/>
  <c r="I16" i="5"/>
  <c r="L16" i="5"/>
  <c r="L32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54" i="1"/>
  <c r="K12" i="5" l="1"/>
  <c r="H12" i="5"/>
  <c r="V12" i="5"/>
  <c r="T12" i="5"/>
  <c r="U12" i="5"/>
  <c r="I12" i="5"/>
  <c r="L12" i="5"/>
  <c r="S12" i="5"/>
  <c r="R3" i="1" l="1"/>
  <c r="D1" i="1"/>
  <c r="F6" i="1"/>
  <c r="T54" i="1"/>
  <c r="T13" i="5"/>
  <c r="T7" i="1" l="1"/>
  <c r="W54" i="1"/>
  <c r="G6" i="1" l="1"/>
  <c r="V13" i="5"/>
  <c r="H13" i="5"/>
  <c r="K13" i="5"/>
  <c r="L13" i="5"/>
  <c r="S13" i="5"/>
  <c r="I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39" i="1" s="1"/>
  <c r="L44" i="1" l="1"/>
  <c r="L22" i="1"/>
  <c r="L9" i="1"/>
  <c r="L10" i="1"/>
  <c r="C7" i="1"/>
  <c r="P54" i="1"/>
  <c r="O54" i="1"/>
  <c r="I54" i="1"/>
  <c r="N54" i="1"/>
  <c r="J54" i="1"/>
  <c r="Q7" i="1" l="1"/>
  <c r="M68" i="3" s="1"/>
  <c r="L7" i="1"/>
  <c r="G68" i="3" s="1"/>
  <c r="K68" i="3"/>
  <c r="J68" i="3"/>
  <c r="M54" i="1"/>
  <c r="K5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comments2.xml><?xml version="1.0" encoding="utf-8"?>
<comments xmlns="http://schemas.openxmlformats.org/spreadsheetml/2006/main">
  <authors>
    <author>S_member</author>
  </authors>
  <commentList>
    <comment ref="B1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PAY TAX
CUSTOMS DECLARED
PRE CUSTOMS
ALLOCATED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Nếu cont kéo về kho Chi Phương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Ngày Request về TMV hoặc về kho thuê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Forwarder/Shipping Company</t>
        </r>
      </text>
    </comment>
    <comment ref="A35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TMV or Rental WH</t>
        </r>
      </text>
    </comment>
    <comment ref="A3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Plan Gate In</t>
        </r>
      </text>
    </comment>
  </commentList>
</comments>
</file>

<file path=xl/sharedStrings.xml><?xml version="1.0" encoding="utf-8"?>
<sst xmlns="http://schemas.openxmlformats.org/spreadsheetml/2006/main" count="608" uniqueCount="415">
  <si>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</si>
  <si>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</si>
  <si>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</si>
  <si>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</si>
  <si>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</si>
  <si>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</si>
  <si>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</si>
  <si>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</si>
  <si>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</si>
  <si>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</si>
  <si>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</si>
  <si>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</si>
  <si>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</si>
  <si>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</si>
  <si>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</si>
  <si>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</si>
  <si>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</si>
  <si>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</si>
  <si>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</si>
  <si>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</si>
  <si>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</si>
  <si>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</si>
  <si>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</si>
  <si>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</si>
  <si>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</si>
  <si>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</si>
  <si>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</si>
  <si>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</si>
  <si>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</si>
  <si>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</si>
  <si>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</si>
  <si>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</si>
  <si>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</si>
  <si>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</si>
  <si>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</si>
  <si>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</si>
  <si>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</si>
  <si>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</si>
  <si>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</si>
  <si>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</si>
  <si>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</si>
  <si>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</si>
  <si>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</si>
  <si>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</si>
  <si>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</si>
  <si>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</si>
  <si>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</si>
  <si>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</si>
  <si>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</si>
  <si>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</si>
  <si>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</si>
  <si>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</si>
  <si>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</si>
  <si>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</si>
  <si>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</si>
  <si>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</si>
  <si>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</si>
  <si>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</si>
  <si>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</si>
  <si>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</si>
  <si>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</si>
  <si>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</si>
  <si>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</si>
  <si>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</si>
  <si>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</si>
  <si>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</si>
  <si>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</si>
  <si>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</si>
  <si>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</si>
  <si>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</si>
  <si>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</si>
  <si>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</si>
  <si>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</si>
  <si>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</si>
  <si>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</si>
  <si>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</si>
  <si>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</si>
  <si>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</si>
  <si>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</si>
  <si>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</si>
  <si>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</si>
  <si>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</si>
  <si>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</si>
  <si>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</si>
  <si>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</si>
  <si>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</si>
  <si>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</si>
  <si>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</si>
  <si>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</si>
  <si>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</si>
  <si>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</si>
  <si>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</si>
  <si>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</si>
  <si>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</si>
  <si>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</si>
  <si>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</si>
  <si>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</si>
  <si>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</si>
  <si>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</si>
  <si>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</si>
  <si>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</si>
  <si>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</si>
  <si>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</si>
  <si>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</si>
  <si>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</si>
  <si>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</si>
  <si>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</si>
  <si>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</si>
  <si>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</si>
  <si>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</si>
  <si>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</si>
  <si>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</si>
  <si>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</si>
  <si>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</si>
  <si>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</si>
  <si>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</si>
  <si>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</si>
  <si>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</si>
  <si>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</si>
  <si>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</si>
  <si>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</si>
  <si>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</si>
  <si>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</si>
  <si>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</si>
  <si>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</si>
  <si>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</si>
  <si>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</si>
  <si>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</si>
  <si>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</si>
  <si>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</si>
  <si>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</si>
  <si>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</si>
  <si>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</si>
  <si>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</si>
  <si>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</si>
  <si>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</si>
  <si>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</si>
  <si>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</si>
  <si>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</si>
  <si>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</si>
  <si>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</si>
  <si>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</si>
  <si>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</si>
  <si>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</si>
  <si>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</si>
  <si>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</si>
  <si>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</si>
  <si>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</si>
  <si>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</si>
  <si>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</si>
  <si>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</si>
  <si>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</si>
  <si>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</si>
  <si>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</si>
  <si>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</si>
  <si>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</si>
  <si>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</si>
  <si>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</si>
  <si>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</si>
  <si>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</si>
  <si>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</si>
  <si>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</si>
  <si>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</si>
  <si>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</si>
  <si>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</si>
  <si>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</si>
  <si>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</si>
  <si>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</si>
  <si>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</si>
  <si>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</si>
  <si>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</si>
  <si>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</si>
  <si>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</si>
  <si>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</si>
  <si>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</si>
  <si>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</si>
  <si>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</si>
  <si>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</si>
  <si>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</si>
  <si>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</si>
  <si>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</si>
  <si>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</si>
  <si>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</si>
  <si>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</si>
  <si>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</si>
  <si>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</si>
  <si>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</si>
  <si>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</si>
  <si>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</si>
  <si>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</si>
  <si>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</si>
  <si>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</si>
  <si>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</si>
  <si>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</si>
  <si>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</si>
  <si>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</si>
  <si>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</si>
  <si>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</si>
  <si>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</si>
  <si>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</si>
  <si>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</si>
  <si>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</si>
  <si>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</si>
  <si>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</si>
  <si>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</si>
  <si>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</si>
  <si>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</si>
  <si>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</si>
  <si>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</si>
  <si>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</si>
  <si>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</si>
  <si>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</si>
  <si>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</si>
  <si>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</si>
  <si>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</si>
  <si>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</si>
  <si>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</si>
  <si>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</si>
  <si>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</si>
  <si>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</si>
  <si>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</si>
  <si>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</si>
  <si>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</si>
  <si>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</si>
  <si>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</si>
  <si>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</si>
  <si>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</si>
  <si>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</si>
  <si>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</si>
  <si>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</si>
  <si>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</si>
  <si>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</si>
  <si>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</si>
  <si>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</si>
  <si>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</si>
  <si>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</si>
  <si>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</si>
  <si>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</si>
  <si>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</si>
  <si>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</si>
  <si>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</si>
  <si>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</si>
  <si>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</si>
  <si>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</si>
  <si>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</si>
  <si>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</si>
  <si>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</si>
  <si>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</si>
  <si>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</si>
  <si>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</si>
  <si>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</si>
  <si>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</si>
  <si>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</si>
  <si>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</si>
  <si>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</si>
  <si>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</si>
  <si>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</si>
  <si>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</si>
  <si>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</si>
  <si>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</si>
  <si>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</si>
  <si>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</si>
  <si>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</si>
  <si>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</si>
  <si>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</si>
  <si>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</si>
  <si>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</si>
  <si>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</si>
  <si>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</si>
  <si>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</si>
  <si>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</si>
  <si>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</si>
  <si>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</si>
  <si>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</si>
  <si>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</si>
  <si>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</si>
  <si>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</si>
  <si>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</si>
  <si>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</si>
  <si>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</si>
  <si>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</si>
  <si>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</si>
  <si>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</si>
  <si>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</si>
  <si>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</si>
  <si>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</si>
  <si>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</si>
  <si>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</si>
  <si>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</si>
  <si>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</si>
  <si>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</si>
  <si>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</si>
  <si>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</si>
  <si>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</si>
  <si>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</si>
  <si>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</si>
  <si>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</si>
  <si>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</si>
  <si>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</si>
  <si>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</si>
  <si>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</si>
  <si>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</si>
  <si>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</si>
  <si>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</si>
  <si>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</si>
  <si>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</si>
  <si>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</si>
  <si>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</si>
  <si>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</si>
  <si>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</si>
  <si>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</si>
  <si>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</si>
  <si>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</si>
  <si>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</si>
  <si>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</si>
  <si>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</si>
  <si>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</si>
  <si>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</si>
  <si>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</si>
  <si>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</si>
  <si>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</si>
  <si>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</si>
  <si>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</si>
  <si>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</si>
  <si>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</si>
  <si>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</si>
  <si>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</si>
  <si>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</si>
  <si>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</si>
  <si>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</si>
  <si>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</si>
  <si>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</si>
  <si>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</si>
  <si>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</si>
  <si>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</si>
  <si>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</si>
  <si>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</si>
  <si>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</si>
  <si>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</si>
  <si>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</si>
  <si>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</si>
  <si>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</si>
  <si>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</si>
  <si>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</si>
  <si>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</si>
  <si>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</si>
  <si>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</si>
  <si>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</si>
  <si>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</si>
  <si>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</si>
  <si>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</si>
  <si>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FOB</t>
  </si>
  <si>
    <t>FREIGHT</t>
  </si>
  <si>
    <t>INSURANCE</t>
  </si>
  <si>
    <t>CIF</t>
  </si>
  <si>
    <t>SUPPLIER_NO</t>
  </si>
  <si>
    <t>int?</t>
  </si>
  <si>
    <t>long?</t>
  </si>
  <si>
    <t>DateTime?</t>
  </si>
  <si>
    <t>TimeSpan?</t>
  </si>
  <si>
    <t>decimal?</t>
  </si>
  <si>
    <t>byte?</t>
  </si>
  <si>
    <t>VARCHAR(10)</t>
  </si>
  <si>
    <t>CONTAINER_NO</t>
  </si>
  <si>
    <t>VARCHAR(15)</t>
  </si>
  <si>
    <t>TAX</t>
  </si>
  <si>
    <t>DECIMAL(18,4)</t>
  </si>
  <si>
    <t>DATE</t>
  </si>
  <si>
    <t>VARCHAR(1)</t>
  </si>
  <si>
    <t>RENBAN</t>
  </si>
  <si>
    <t>VARCHAR(6)</t>
  </si>
  <si>
    <t>SHIPPING_DATE</t>
  </si>
  <si>
    <t>PORT_DATE</t>
  </si>
  <si>
    <t>AMOUNT</t>
  </si>
  <si>
    <t>SHOP</t>
  </si>
  <si>
    <t>InvCkdContainerList</t>
  </si>
  <si>
    <t>ContainerList</t>
  </si>
  <si>
    <t>BILL_OF_LADING_NO</t>
  </si>
  <si>
    <t>VARCHAR(20)</t>
  </si>
  <si>
    <t>SEAL_NO</t>
  </si>
  <si>
    <t>VARCHAR(500)</t>
  </si>
  <si>
    <t>VARCHAR(1000)</t>
  </si>
  <si>
    <t>PORT_TRANSIT_DATE</t>
  </si>
  <si>
    <t>PORT_DATE_ACTUAL</t>
  </si>
  <si>
    <t>SHIPMENT_ID</t>
  </si>
  <si>
    <t>RECEIVING_PERIOD_ID</t>
  </si>
  <si>
    <t>RECEIVE_DATE</t>
  </si>
  <si>
    <t>BIGINT</t>
  </si>
  <si>
    <t>REQUEST_ID</t>
  </si>
  <si>
    <t>TRANSPORT</t>
  </si>
  <si>
    <t>REQUEST_LOT_NO</t>
  </si>
  <si>
    <t>INVOICE_NO</t>
  </si>
  <si>
    <t>LIST_CASE_NO</t>
  </si>
  <si>
    <t>DOCK</t>
  </si>
  <si>
    <t>WH_LOCATION</t>
  </si>
  <si>
    <t>LIST_LOT_NO</t>
  </si>
  <si>
    <t>CD_DATE</t>
  </si>
  <si>
    <t>CONTAINER_SIZE</t>
  </si>
  <si>
    <t>GATEIN_DATE</t>
  </si>
  <si>
    <t>REMARK</t>
  </si>
  <si>
    <t>DEVANNING_DATE</t>
  </si>
  <si>
    <t>DEVANNING_TIME</t>
  </si>
  <si>
    <t>INT</t>
  </si>
  <si>
    <t>Y</t>
  </si>
  <si>
    <t>time(7)</t>
  </si>
  <si>
    <t>TRANSIT_PORT_REQ_DATE</t>
  </si>
  <si>
    <t>TRANSIT_PORT_REQ_TIME</t>
  </si>
  <si>
    <t>TRANSIT_PORT_REQ_ID</t>
  </si>
  <si>
    <t>GATEIN_TIME</t>
  </si>
  <si>
    <t>TRANSIT_PORT_REMARK</t>
  </si>
  <si>
    <t>LOCATION_CODE</t>
  </si>
  <si>
    <t>LOCATION_DATE</t>
  </si>
  <si>
    <t>CD_STATUS</t>
  </si>
  <si>
    <t>HAISEN_NO</t>
  </si>
  <si>
    <t>CKD Container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</si>
</sst>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CkdContainerInvoi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nvCkdContainerDeliverySch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InvCkdContainerTransitPortPl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byte?</v>
          </cell>
        </row>
        <row r="7">
          <cell r="A7" t="str">
            <v>smallint</v>
          </cell>
          <cell r="B7" t="str">
            <v>int?</v>
          </cell>
        </row>
        <row r="8">
          <cell r="A8" t="str">
            <v>int</v>
          </cell>
          <cell r="B8" t="str">
            <v>int?</v>
          </cell>
        </row>
        <row r="9">
          <cell r="A9" t="str">
            <v>bigint</v>
          </cell>
          <cell r="B9" t="str">
            <v>long?</v>
          </cell>
        </row>
        <row r="10">
          <cell r="A10" t="str">
            <v>smallmoney</v>
          </cell>
          <cell r="B10" t="str">
            <v>decimal?</v>
          </cell>
        </row>
        <row r="11">
          <cell r="A11" t="str">
            <v>money</v>
          </cell>
          <cell r="B11" t="str">
            <v>decimal?</v>
          </cell>
        </row>
        <row r="12">
          <cell r="A12" t="str">
            <v>numeric</v>
          </cell>
          <cell r="B12" t="str">
            <v>decimal?</v>
          </cell>
        </row>
        <row r="13">
          <cell r="A13" t="str">
            <v>decimal</v>
          </cell>
          <cell r="B13" t="str">
            <v>decimal?</v>
          </cell>
        </row>
        <row r="14">
          <cell r="A14" t="str">
            <v>real</v>
          </cell>
          <cell r="B14" t="str">
            <v>decimal?</v>
          </cell>
        </row>
        <row r="15">
          <cell r="A15" t="str">
            <v>float</v>
          </cell>
          <cell r="B15" t="str">
            <v>decimal?</v>
          </cell>
        </row>
        <row r="16">
          <cell r="A16" t="str">
            <v>smalldatetime</v>
          </cell>
          <cell r="B16" t="str">
            <v>DateTime?</v>
          </cell>
        </row>
        <row r="17">
          <cell r="A17" t="str">
            <v>datetime</v>
          </cell>
          <cell r="B17" t="str">
            <v>DateTime?</v>
          </cell>
        </row>
        <row r="18">
          <cell r="A18" t="str">
            <v>datetime2</v>
          </cell>
          <cell r="B18" t="str">
            <v>DateTime?</v>
          </cell>
        </row>
        <row r="19">
          <cell r="A19" t="str">
            <v>date</v>
          </cell>
          <cell r="B19" t="str">
            <v>DateTime?</v>
          </cell>
        </row>
        <row r="20">
          <cell r="A20" t="str">
            <v>time</v>
          </cell>
          <cell r="B20" t="str">
            <v>TimeSpan?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byte?</v>
          </cell>
        </row>
        <row r="7">
          <cell r="A7" t="str">
            <v>smallint</v>
          </cell>
          <cell r="B7" t="str">
            <v>int?</v>
          </cell>
        </row>
        <row r="8">
          <cell r="A8" t="str">
            <v>int</v>
          </cell>
          <cell r="B8" t="str">
            <v>int?</v>
          </cell>
        </row>
        <row r="9">
          <cell r="A9" t="str">
            <v>bigint</v>
          </cell>
          <cell r="B9" t="str">
            <v>long?</v>
          </cell>
        </row>
        <row r="10">
          <cell r="A10" t="str">
            <v>smallmoney</v>
          </cell>
          <cell r="B10" t="str">
            <v>decimal?</v>
          </cell>
        </row>
        <row r="11">
          <cell r="A11" t="str">
            <v>money</v>
          </cell>
          <cell r="B11" t="str">
            <v>decimal?</v>
          </cell>
        </row>
        <row r="12">
          <cell r="A12" t="str">
            <v>numeric</v>
          </cell>
          <cell r="B12" t="str">
            <v>decimal?</v>
          </cell>
        </row>
        <row r="13">
          <cell r="A13" t="str">
            <v>decimal</v>
          </cell>
          <cell r="B13" t="str">
            <v>decimal?</v>
          </cell>
        </row>
        <row r="14">
          <cell r="A14" t="str">
            <v>real</v>
          </cell>
          <cell r="B14" t="str">
            <v>decimal?</v>
          </cell>
        </row>
        <row r="15">
          <cell r="A15" t="str">
            <v>float</v>
          </cell>
          <cell r="B15" t="str">
            <v>decimal?</v>
          </cell>
        </row>
        <row r="16">
          <cell r="A16" t="str">
            <v>smalldatetime</v>
          </cell>
          <cell r="B16" t="str">
            <v>DateTime?</v>
          </cell>
        </row>
        <row r="17">
          <cell r="A17" t="str">
            <v>datetime</v>
          </cell>
          <cell r="B17" t="str">
            <v>DateTime?</v>
          </cell>
        </row>
        <row r="18">
          <cell r="A18" t="str">
            <v>datetime2</v>
          </cell>
          <cell r="B18" t="str">
            <v>DateTime?</v>
          </cell>
        </row>
        <row r="19">
          <cell r="A19" t="str">
            <v>date</v>
          </cell>
          <cell r="B19" t="str">
            <v>DateTime?</v>
          </cell>
        </row>
        <row r="20">
          <cell r="A20" t="str">
            <v>time</v>
          </cell>
          <cell r="B20" t="str">
            <v>TimeSpan?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byte?</v>
          </cell>
        </row>
        <row r="7">
          <cell r="A7" t="str">
            <v>smallint</v>
          </cell>
          <cell r="B7" t="str">
            <v>int?</v>
          </cell>
        </row>
        <row r="8">
          <cell r="A8" t="str">
            <v>int</v>
          </cell>
          <cell r="B8" t="str">
            <v>int?</v>
          </cell>
        </row>
        <row r="9">
          <cell r="A9" t="str">
            <v>bigint</v>
          </cell>
          <cell r="B9" t="str">
            <v>long?</v>
          </cell>
        </row>
        <row r="10">
          <cell r="A10" t="str">
            <v>smallmoney</v>
          </cell>
          <cell r="B10" t="str">
            <v>decimal?</v>
          </cell>
        </row>
        <row r="11">
          <cell r="A11" t="str">
            <v>money</v>
          </cell>
          <cell r="B11" t="str">
            <v>decimal?</v>
          </cell>
        </row>
        <row r="12">
          <cell r="A12" t="str">
            <v>numeric</v>
          </cell>
          <cell r="B12" t="str">
            <v>decimal?</v>
          </cell>
        </row>
        <row r="13">
          <cell r="A13" t="str">
            <v>decimal</v>
          </cell>
          <cell r="B13" t="str">
            <v>decimal?</v>
          </cell>
        </row>
        <row r="14">
          <cell r="A14" t="str">
            <v>real</v>
          </cell>
          <cell r="B14" t="str">
            <v>decimal?</v>
          </cell>
        </row>
        <row r="15">
          <cell r="A15" t="str">
            <v>float</v>
          </cell>
          <cell r="B15" t="str">
            <v>decimal?</v>
          </cell>
        </row>
        <row r="16">
          <cell r="A16" t="str">
            <v>smalldatetime</v>
          </cell>
          <cell r="B16" t="str">
            <v>DateTime?</v>
          </cell>
        </row>
        <row r="17">
          <cell r="A17" t="str">
            <v>datetime</v>
          </cell>
          <cell r="B17" t="str">
            <v>DateTime?</v>
          </cell>
        </row>
        <row r="18">
          <cell r="A18" t="str">
            <v>datetime2</v>
          </cell>
          <cell r="B18" t="str">
            <v>DateTime?</v>
          </cell>
        </row>
        <row r="19">
          <cell r="A19" t="str">
            <v>date</v>
          </cell>
          <cell r="B19" t="str">
            <v>DateTime?</v>
          </cell>
        </row>
        <row r="20">
          <cell r="A20" t="str">
            <v>time</v>
          </cell>
          <cell r="B20" t="str">
            <v>TimeSpan?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C68" sqref="C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346</v>
      </c>
      <c r="F18" s="1" t="s">
        <v>348</v>
      </c>
      <c r="G18" t="s">
        <v>347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320</v>
      </c>
      <c r="F42" s="1" t="s">
        <v>333</v>
      </c>
      <c r="G42" t="s">
        <v>333</v>
      </c>
    </row>
    <row r="43" spans="1:8" x14ac:dyDescent="0.25">
      <c r="A43" s="1"/>
      <c r="D43" t="s">
        <v>321</v>
      </c>
      <c r="F43" s="1" t="s">
        <v>327</v>
      </c>
      <c r="G43" t="s">
        <v>334</v>
      </c>
    </row>
    <row r="44" spans="1:8" x14ac:dyDescent="0.25">
      <c r="A44" s="1"/>
      <c r="D44" t="s">
        <v>323</v>
      </c>
      <c r="F44" s="1" t="s">
        <v>328</v>
      </c>
      <c r="G44" t="s">
        <v>335</v>
      </c>
    </row>
    <row r="45" spans="1:8" x14ac:dyDescent="0.25">
      <c r="A45" s="1"/>
      <c r="D45" t="s">
        <v>322</v>
      </c>
      <c r="F45" s="1" t="s">
        <v>329</v>
      </c>
      <c r="G45" t="s">
        <v>336</v>
      </c>
    </row>
    <row r="46" spans="1:8" x14ac:dyDescent="0.25">
      <c r="A46" s="1"/>
      <c r="D46" t="s">
        <v>325</v>
      </c>
      <c r="F46" s="1" t="s">
        <v>330</v>
      </c>
      <c r="G46" t="s">
        <v>337</v>
      </c>
    </row>
    <row r="47" spans="1:8" x14ac:dyDescent="0.25">
      <c r="A47" s="1"/>
      <c r="D47" t="s">
        <v>343</v>
      </c>
      <c r="F47" s="1" t="s">
        <v>344</v>
      </c>
      <c r="G47" t="s">
        <v>345</v>
      </c>
    </row>
    <row r="48" spans="1:8" x14ac:dyDescent="0.25">
      <c r="A48" s="1"/>
      <c r="D48" t="s">
        <v>326</v>
      </c>
      <c r="F48" s="1" t="s">
        <v>331</v>
      </c>
      <c r="G48" t="s">
        <v>338</v>
      </c>
    </row>
    <row r="49" spans="1:7" x14ac:dyDescent="0.25">
      <c r="A49" s="1"/>
      <c r="D49" t="s">
        <v>324</v>
      </c>
      <c r="F49" s="1" t="s">
        <v>332</v>
      </c>
      <c r="G49" t="s">
        <v>339</v>
      </c>
    </row>
    <row r="50" spans="1:7" x14ac:dyDescent="0.25">
      <c r="A50" s="1"/>
      <c r="D50" t="s">
        <v>340</v>
      </c>
      <c r="F50" s="1" t="s">
        <v>341</v>
      </c>
      <c r="G50" t="s">
        <v>342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[Table("InvCkdContainerList")]
	[Index(nameof(TransitPortReqDate), Name="IX_InvCkdContainerList_TransitPortReqDate")]
	public class InvCkdContainerList: FullAuditedEntity&lt;long&gt;, IEntity&lt;long&gt;	
	{
		public const int MaxContainerNoLength = 15;
		public const int MaxRenbanLength = 6;
		public const int MaxSupplierNoLength = 10;
		public const int MaxHaisenNoLength = 10;
		public const int MaxBillOfLadingNoLength = 20;
		public const int MaxSealNoLength = 20;
		public const int MaxCdStatusLength = 20;
		public const int MaxRequestLotNoLength = 10;
		public const int MaxInvoiceNoLength = 500;
		public const int MaxListLotNoLength = 1000;
		public const int MaxListCaseNoLength = 1000;
		public const int MaxTransportLength = 10;
		public const int MaxShopLength = 10;
		public const int MaxDockLength = 10;
		public const int MaxRemarkLength = 1000;
		public const int MaxWhLocationLength = 10;
		public const int MaxTransitPortRemarkLength = 1000;
		public const int MaxStatusLength = 20;
		public const int MaxLocationCodeLength = 20;
		public const int MaxIsActiveLength = 1;
		[StringLength(MaxContainerNoLength)]
		public virtual string ContainerNo { get; set; }
		[StringLength(MaxRenbanLength)]
		public virtual string Renban { get; set; }
		[StringLength(MaxSupplierNoLength)]
		public virtual string SupplierNo { get; set; }
		[StringLength(MaxHaisenNoLength)]
		public virtual string HaisenNo { get; set; }
		[StringLength(MaxBillOfLadingNoLength)]
		public virtual string BillOfLadingNo { get; set; }
		[StringLength(MaxSealNoLength)]
		public virtual string SealNo { get; set; }
		public virtual DateTime? CdDate { get; set; }
		[StringLength(MaxCdStatusLength)]
		public virtual string CdStatus { get; set; }
		public virtual int? ContainerSize { get; set; }
		public virtual long? ShipmentId { get; set; }
		public virtual DateTime? ShippingDate { get; set; }
		public virtual DateTime? PortDate { get; set; }
		public virtual DateTime? PortDateActual { get; set; }
		public virtual DateTime? PortTransitDate { get; set; }
		public virtual DateTime? ReceiveDate { get; set; }
		public virtual long? RequestId { get; set; }
		[StringLength(MaxRequestLotNoLength)]
		public virtual string RequestLotNo { get; set; }
		[StringLength(MaxInvoiceNoLength)]
		public virtual string InvoiceNo { get; set; }
		[StringLength(MaxListLotNoLength)]
		public virtual string ListLotNo { get; set; }
		[StringLength(MaxListCaseNoLength)]
		public virtual string ListCaseNo { get; set; }
		[StringLength(MaxTransportLength)]
		public virtual string Transport { get; set; }
		[StringLength(MaxShopLength)]
		public virtual string Shop { get; set; }
		[StringLength(MaxDockLength)]
		public virtual string Dock { get; set; }
		public virtual DateTime? DevanningDate { get; set; }
		public virtual TimeSpan? DevanningTime { get; set; }
		[StringLength(MaxRemarkLength)]
		public virtual string Remark { get; set; }
		[StringLength(MaxWhLocationLength)]
		public virtual string WhLocation { get; set; }
		public virtual DateTime? GateinDate { get; set; }
		public virtual TimeSpan? GateinTime { get; set; }
		public virtual long? TransitPortReqId { get; set; }
		public virtual DateTime? TransitPortReqDate { get; set; }
		public virtual TimeSpan? TransitPortReqTime { get; set; }
		[StringLength(MaxTransitPortRemarkLength)]
		public virtual string TransitPortRemark { get; set; }
		public virtual decimal? Fob { get; set; }
		public virtual decimal? Freight { get; set; }
		public virtual decimal? Insurance { get; set; }
		public virtual decimal? Cif { get; set; }
		public virtual decimal? Tax { get; set; }
		public virtual decimal? Amount { get; set; }
		[StringLength(MaxStatusLength)]
		public virtual string Status { get; set; }
		[StringLength(MaxLocationCodeLength)]
		public virtual string LocationCode { get; set; }
		public virtual DateTime? LocationDate { get; set; }
		public virtual long? ReceivingPeriodId { get; set; }
		[StringLength(MaxIsActiveLength)]
		public virtual string IsActive { get; set; }
	}
}
</v>
      </c>
      <c r="D68" s="48" t="str">
        <f>A.Backend!O7</f>
        <v xml:space="preserve">		public const string Pages_Inventory_CKD_ContainerList = "Pages.Inventory.CKD.ContainerList";
		public const string Pages_Inventory_CKD_ContainerList_CreateEdit = "Pages.Inventory.CKD.ContainerList.CreateEdit";
		public const string Pages_Inventory_CKD_ContainerList_Delete = "Pages.Inventory.CKD.ContainerList.Delete";
</v>
      </c>
      <c r="E68" s="48" t="str">
        <f>A.Backend!N7</f>
        <v xml:space="preserve">		var perInvCkdContainerList = PARENTS.CreateChildPermission(AppPermissions.Pages_Inventory_CKD_ContainerList, L( "InventoryCKDContainerList"), multiTenancySides: MultiTenancySides.Tenant);
		perInvCkdContainerList.CreateChildPermission(AppPermissions.Pages_Inventory_CKD_ContainerList_CreateEdit, L( "InventoryCKDContainerListCreateEdit"), multiTenancySides: MultiTenancySides.Tenant);
		perInvCkdContainerList.CreateChildPermission(AppPermissions.Pages_Inventory_CKD_ContainerList_Delete, L( "InventoryCKDContainerListDelete"), multiTenancySides: MultiTenancySides.Tenant);</v>
      </c>
      <c r="F68" s="48" t="str">
        <f>A.Backend!K7</f>
        <v>public virtual DbSet&lt;InvCkdContainerList&gt; InvCkdContainerLists { get; set; }</v>
      </c>
      <c r="G68" s="48" t="str">
        <f ca="1">A.Backend!L7</f>
        <v xml:space="preserve">namespace prod.Inventory.CKD
{
	public class InvCkdContainerListConsts	
	{
		public const int MaxContainerNoLength = 15;
		public const int MaxRenbanLength = 6;
		public const int MaxSupplierNoLength = 10;
		public const int MaxHaisenNoLength = 10;
		public const int MaxBillOfLadingNoLength = 20;
		public const int MaxSealNoLength = 20;
		public const int MaxCdStatusLength = 20;
		public const int MaxRequestLotNoLength = 10;
		public const int MaxInvoiceNoLength = 500;
		public const int MaxListLotNoLength = 1000;
		public const int MaxListCaseNoLength = 1000;
		public const int MaxTransportLength = 10;
		public const int MaxShopLength = 10;
		public const int MaxDockLength = 10;
		public const int MaxRemarkLength = 1000;
		public const int MaxWhLocationLength = 10;
		public const int MaxTransitPortRemarkLength = 1000;
		public const int MaxStatusLength = 20;
		public const int MaxLocationCodeLength = 20;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InvCkdContainerListDto : EntityDto&lt;long?&gt;	
	{
		public virtual string ContainerNo { get; set; }
		public virtual string Renban { get; set; }
		public virtual string SupplierNo { get; set; }
		public virtual string HaisenNo { get; set; }
		public virtual string BillOfLadingNo { get; set; }
		public virtual string SealNo { get; set; }
		public virtual DateTime? CdDate { get; set; }
		public virtual string CdStatus { get; set; }
		public virtual int? ContainerSize { get; set; }
		public virtual long? ShipmentId { get; set; }
		public virtual DateTime? ShippingDate { get; set; }
		public virtual DateTime? PortDate { get; set; }
		public virtual DateTime? PortDateActual { get; set; }
		public virtual DateTime? PortTransitDate { get; set; }
		public virtual DateTime? ReceiveDate { get; set; }
		public virtual long? RequestId { get; set; }
		public virtual string RequestLotNo { get; set; }
		public virtual string InvoiceNo { get; set; }
		public virtual string ListLotNo { get; set; }
		public virtual string ListCaseNo { get; set; }
		public virtual string Transport { get; set; }
		public virtual string Shop { get; set; }
		public virtual string Dock { get; set; }
		public virtual DateTime? DevanningDate { get; set; }
		public virtual TimeSpan? DevanningTime { get; set; }
		public virtual string Remark { get; set; }
		public virtual string WhLocation { get; set; }
		public virtual DateTime? GateinDate { get; set; }
		public virtual TimeSpan? GateinTime { get; set; }
		public virtual long? TransitPortReqId { get; set; }
		public virtual DateTime? TransitPortReqDate { get; set; }
		public virtual TimeSpan? TransitPortReqTime { get; set; }
		public virtual string TransitPortRemark { get; set; }
		public virtual decimal? Fob { get; set; }
		public virtual decimal? Freight { get; set; }
		public virtual decimal? Insurance { get; set; }
		public virtual decimal? Cif { get; set; }
		public virtual decimal? Tax { get; set; }
		public virtual decimal? Amount { get; set; }
		public virtual string Status { get; set; }
		public virtual string LocationCode { get; set; }
		public virtual DateTime? LocationDate { get; set; }
		public virtual long? ReceivingPeriodId { get; set; }
		public virtual string IsActive { get; set; }
	}
	public class CreateOrEditInvCkdContainerListDto : EntityDto&lt;long?&gt;	
	{
		[StringLength(InvCkdContainerListConsts.MaxContainerNoLength)]
		public virtual string ContainerNo { get; set; }
		[StringLength(InvCkdContainerListConsts.MaxRenbanLength)]
		public virtual string Renban { get; set; }
		[StringLength(InvCkdContainerListConsts.MaxSupplierNoLength)]
		public virtual string SupplierNo { get; set; }
		[StringLength(InvCkdContainerListConsts.MaxHaisenNoLength)]
		public virtual string HaisenNo { get; set; }
		[StringLength(InvCkdContainerListConsts.MaxBillOfLadingNoLength)]
		public virtual string BillOfLadingNo { get; set; }
		[StringLength(InvCkdContainerListConsts.MaxSealNoLength)]
		public virtual string SealNo { get; set; }
		public virtual DateTime? CdDate { get; set; }
		[StringLength(InvCkdContainerListConsts.MaxCdStatusLength)]
		public virtual string CdStatus { get; set; }
		public virtual int? ContainerSize { get; set; }
		public virtual long? ShipmentId { get; set; }
		public virtual DateTime? ShippingDate { get; set; }
		public virtual DateTime? PortDate { get; set; }
		public virtual DateTime? PortDateActual { get; set; }
		public virtual DateTime? PortTransitDate { get; set; }
		public virtual DateTime? ReceiveDate { get; set; }
		public virtual long? RequestId { get; set; }
		[StringLength(InvCkdContainerListConsts.MaxRequestLotNoLength)]
		public virtual string RequestLotNo { get; set; }
		[StringLength(InvCkdContainerListConsts.MaxInvoiceNoLength)]
		public virtual string InvoiceNo { get; set; }
		[StringLength(InvCkdContainerListConsts.MaxListLotNoLength)]
		public virtual string ListLotNo { get; set; }
		[StringLength(InvCkdContainerListConsts.MaxListCaseNoLength)]
		public virtual string ListCaseNo { get; set; }
		[StringLength(InvCkdContainerListConsts.MaxTransportLength)]
		public virtual string Transport { get; set; }
		[StringLength(InvCkdContainerListConsts.MaxShopLength)]
		public virtual string Shop { get; set; }
		[StringLength(InvCkdContainerListConsts.MaxDockLength)]
		public virtual string Dock { get; set; }
		public virtual DateTime? DevanningDate { get; set; }
		public virtual TimeSpan? DevanningTime { get; set; }
		[StringLength(InvCkdContainerListConsts.MaxRemarkLength)]
		public virtual string Remark { get; set; }
		[StringLength(InvCkdContainerListConsts.MaxWhLocationLength)]
		public virtual string WhLocation { get; set; }
		public virtual DateTime? GateinDate { get; set; }
		public virtual TimeSpan? GateinTime { get; set; }
		public virtual long? TransitPortReqId { get; set; }
		public virtual DateTime? TransitPortReqDate { get; set; }
		public virtual TimeSpan? TransitPortReqTime { get; set; }
		[StringLength(InvCkdContainerListConsts.MaxTransitPortRemarkLength)]
		public virtual string TransitPortRemark { get; set; }
		public virtual decimal? Fob { get; set; }
		public virtual decimal? Freight { get; set; }
		public virtual decimal? Insurance { get; set; }
		public virtual decimal? Cif { get; set; }
		public virtual decimal? Tax { get; set; }
		public virtual decimal? Amount { get; set; }
		[StringLength(InvCkdContainerListConsts.MaxStatusLength)]
		public virtual string Status { get; set; }
		[StringLength(InvCkdContainerListConsts.MaxLocationCodeLength)]
		public virtual string LocationCode { get; set; }
		public virtual DateTime? LocationDate { get; set; }
		public virtual long? ReceivingPeriodId { get; set; }
		[StringLength(InvCkdContainerListConsts.MaxIsActiveLength)]
		public virtual string IsActive { get; set; }
	}
	public class GetInvCkdContainerListInput : PagedAndSortedResultRequestDto	
	{
		public virtual string ContainerNo { get; set; }
		public virtual string Renban { get; set; }
		public virtual string SupplierNo { get; set; }
		public virtual string HaisenNo { get; set; }
		public virtual string BillOfLadingNo { get; set; }
		public virtual string SealNo { get; set; }
		public virtual string CdStatus { get; set; }
		public virtual string RequestLotNo { get; set; }
		public virtual string InvoiceNo { get; set; }
		public virtual string ListLotNo { get; set; }
		public virtual string ListCaseNo { get; set; }
		public virtual string Transport { get; set; }
		public virtual string Shop { get; set; }
		public virtual string Dock { get; set; }
		public virtual string Remark { get; set; }
		public virtual string WhLocation { get; set; }
		public virtual string TransitPortRemark { get; set; }
		public virtual string Status { get; set; }
		public virtual string LocationCode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InvCkdContainerListExportInput{
		public virtual string ContainerNo { get; set; }
		public virtual string Renban { get; set; }
		public virtual string SupplierNo { get; set; }
		public virtual string HaisenNo { get; set; }
		public virtual string BillOfLadingNo { get; set; }
		public virtual string SealNo { get; set; }
		public virtual DateTime? CdDate { get; set; }
		public virtual string CdStatus { get; set; }
		public virtual int? ContainerSize { get; set; }
		public virtual long? ShipmentId { get; set; }
		public virtual DateTime? ShippingDate { get; set; }
		public virtual DateTime? PortDate { get; set; }
		public virtual DateTime? PortDateActual { get; set; }
		public virtual DateTime? PortTransitDate { get; set; }
		public virtual DateTime? ReceiveDate { get; set; }
		public virtual long? RequestId { get; set; }
		public virtual string RequestLotNo { get; set; }
		public virtual string InvoiceNo { get; set; }
		public virtual string ListLotNo { get; set; }
		public virtual string ListCaseNo { get; set; }
		public virtual string Transport { get; set; }
		public virtual string Shop { get; set; }
		public virtual string Dock { get; set; }
		public virtual DateTime? DevanningDate { get; set; }
		public virtual TimeSpan? DevanningTime { get; set; }
		public virtual string Remark { get; set; }
		public virtual string WhLocation { get; set; }
		public virtual DateTime? GateinDate { get; set; }
		public virtual TimeSpan? GateinTime { get; set; }
		public virtual long? TransitPortReqId { get; set; }
		public virtual DateTime? TransitPortReqDate { get; set; }
		public virtual TimeSpan? TransitPortReqTime { get; set; }
		public virtual string TransitPortRemark { get; set; }
		public virtual decimal? Fob { get; set; }
		public virtual decimal? Freight { get; set; }
		public virtual decimal? Insurance { get; set; }
		public virtual decimal? Cif { get; set; }
		public virtual decimal? Tax { get; set; }
		public virtual decimal? Amount { get; set; }
		public virtual string Status { get; set; }
		public virtual string LocationCode { get; set; }
		public virtual DateTime? LocationDate { get; set; }
		public virtual long? ReceivingPeriodId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IInvCkdContainerListAppService : IApplicationService
	{
		Task&lt;PagedResultDto&lt;InvCkdContainerListDto&gt;&gt; GetAll(GetInvCkdContainerListInput input);
		Task CreateOrEdit(CreateOrEditInvCkdContainerListDto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IInvCkdContainerListExcelExporter : IApplicationService
	{
		FileDto ExportToFile(List&lt;InvCkdContainerListDto&gt; invckdcontainerlist);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InvCkdContainerListExcelExporter : NpoiExcelExporterBase, IInvCkdContainerListExcelExporter
    {
        public InvCkdContainerListExcelExporter(ITempFileCacheManager tempFileCacheManager) : base(tempFileCacheManager) { }
        public FileDto ExportToFile(List&lt;InvCkdContainerListDto&gt; containerlist)
        {
            return CreateExcelPackage(
				"InventoryCKDContainerList.xlsx",
				excelPackage =&gt;
				 {
					var sheet = excelPackage.CreateSheet("ContainerList");
					AddHeader(
								sheet,
								("ContainerNo"),
								("Renban"),
								("SupplierNo"),
								("HaisenNo"),
								("BillOfLadingNo"),
								("SealNo"),
								("CdDate"),
								("CdStatus"),
								("ContainerSize"),
								("ShipmentId"),
								("ShippingDate"),
								("PortDate"),
								("PortDateActual"),
								("PortTransitDate"),
								("ReceiveDate"),
								("RequestId"),
								("RequestLotNo"),
								("InvoiceNo"),
								("ListLotNo"),
								("ListCaseNo"),
								("Transport"),
								("Shop"),
								("Dock"),
								("DevanningDate"),
								("DevanningTime"),
								("Remark"),
								("WhLocation"),
								("GateinDate"),
								("GateinTime"),
								("TransitPortReqId"),
								("TransitPortReqDate"),
								("TransitPortReqTime"),
								("TransitPortRemark"),
								("Fob"),
								("Freight"),
								("Insurance"),
								("Cif"),
								("Tax"),
								("Amount"),
								("Status"),
								("LocationCode"),
								("LocationDate"),
								("ReceivingPeriodId"),
								("IsActive"),
							   );
					AddObjects(
						 sheet, 1, containerlist,                                       
								_ =&gt; _.ContainerNo,
								_ =&gt; _.Renban,
								_ =&gt; _.SupplierNo,
								_ =&gt; _.HaisenNo,
								_ =&gt; _.BillOfLadingNo,
								_ =&gt; _.SealNo,
								_ =&gt; _.CdDate,
								_ =&gt; _.CdStatus,
								_ =&gt; _.ContainerSize,
								_ =&gt; _.ShipmentId,
								_ =&gt; _.ShippingDate,
								_ =&gt; _.PortDate,
								_ =&gt; _.PortDateActual,
								_ =&gt; _.PortTransitDate,
								_ =&gt; _.ReceiveDate,
								_ =&gt; _.RequestId,
								_ =&gt; _.RequestLotNo,
								_ =&gt; _.InvoiceNo,
								_ =&gt; _.ListLotNo,
								_ =&gt; _.ListCaseNo,
								_ =&gt; _.Transport,
								_ =&gt; _.Shop,
								_ =&gt; _.Dock,
								_ =&gt; _.DevanningDate,
								_ =&gt; _.DevanningTime,
								_ =&gt; _.Remark,
								_ =&gt; _.WhLocation,
								_ =&gt; _.GateinDate,
								_ =&gt; _.GateinTime,
								_ =&gt; _.TransitPortReqId,
								_ =&gt; _.TransitPortReqDate,
								_ =&gt; _.TransitPortReqTime,
								_ =&gt; _.TransitPortRemark,
								_ =&gt; _.Fob,
								_ =&gt; _.Freight,
								_ =&gt; _.Insurance,
								_ =&gt; _.Cif,
								_ =&gt; _.Tax,
								_ =&gt; _.Amount,
								_ =&gt; _.Status,
								_ =&gt; _.LocationCode,
								_ =&gt; _.LocationDate,
								_ =&gt; _.ReceivingPeriodId,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[AbpAuthorize(AppPermissions.Pages_Inventory_CKD_ContainerList)]
    public class InvCkdContainerListAppService : vovinaAppServiceBase, IInvCkdContainerListAppService
    {
        private readonly IDapperRepository&lt;InvCkdContainerList, long&gt; _dapperRepo;
        private readonly IRepository&lt;InvCkdContainerList, long&gt; _repo;
        private readonly IInvCkdContainerListExcelExporter _calendarListExcelExporter;
        public InvCkdContainerListAppService(IRepository&lt;InvCkdContainerList,long&gt; repo, 
                                         IDapperRepository&lt;InvCkdContainerList,long&gt; dapperRepo,
                                        IInvCkdContainerListExcelExporter calendarListExcelExporter
            )
        {
            _repo = repo;
            _dapperRepo = dapperRepo;
            _calendarListExcelExporter = calendarListExcelExporter;
        }
        [AbpAuthorize(AppPermissions.Pages_Inventory_CKD_ContainerList_CreateEdit)]
        public async Task CreateOrEdit(CreateOrEditInvCkdContainerListDto input)
        {
            if (input.Id == null) await Create(input);
            else await Update(input);
        }
        //CREATE
        private async Task Create(CreateOrEditInvCkdContainerListDto input)
        {          
            var mainObj = ObjectMapper.Map&lt;InvCkdContainerList&gt;(input);
            await CurrentUnitOfWork.GetDbContext&lt;vovinaDbContext&gt;().AddAsync(mainObj);
        }
        // EDIT
        private async Task Update(CreateOrEditInvCkdContainerListDto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[AbpAuthorize(AppPermissions.Pages_Inventory_CKD_ContainerList_Delete)]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Task&lt;PagedResultDto&lt;InvCkdContainerListDto&gt;&gt; GetAll(GetInvCkdContainerListInput input)
        {
            var filtered = _repo.GetAll()
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.WhereIf(!string.IsNullOrWhiteSpace(input.HaisenNo), e =&gt; e.HaisenNo.Contains(input.HaisenNo))
				.WhereIf(!string.IsNullOrWhiteSpace(input.BillOfLadingNo), e =&gt; e.BillOfLadingNo.Contains(input.BillOfLadingNo))
				.WhereIf(!string.IsNullOrWhiteSpace(input.SealNo), e =&gt; e.SealNo.Contains(input.SealNo))
				.WhereIf(!string.IsNullOrWhiteSpace(input.CdStatus), e =&gt; e.CdStatus.Contains(input.CdStatus))
				.WhereIf(!string.IsNullOrWhiteSpace(input.RequestLotNo), e =&gt; e.RequestLotNo.Contains(input.RequestLotNo))
				.WhereIf(!string.IsNullOrWhiteSpace(input.InvoiceNo), e =&gt; e.InvoiceNo.Contains(input.InvoiceNo))
				.WhereIf(!string.IsNullOrWhiteSpace(input.ListLotNo), e =&gt; e.ListLotNo.Contains(input.ListLotNo))
				.WhereIf(!string.IsNullOrWhiteSpace(input.ListCaseNo), e =&gt; e.ListCaseNo.Contains(input.ListCaseNo))
				.WhereIf(!string.IsNullOrWhiteSpace(input.Transport), e =&gt; e.Transport.Contains(input.Transport))
				.WhereIf(!string.IsNullOrWhiteSpace(input.Shop), e =&gt; e.Shop.Contains(input.Shop))
				.WhereIf(!string.IsNullOrWhiteSpace(input.Dock), e =&gt; e.Dock.Contains(input.Dock))
				.WhereIf(!string.IsNullOrWhiteSpace(input.Remark), e =&gt; e.Remark.Contains(input.Remark))
				.WhereIf(!string.IsNullOrWhiteSpace(input.WhLocation), e =&gt; e.WhLocation.Contains(input.WhLocation))
				.WhereIf(!string.IsNullOrWhiteSpace(input.TransitPortRemark), e =&gt; e.TransitPortRemark.Contains(input.TransitPortRemark))
				.WhereIf(!string.IsNullOrWhiteSpace(input.Status), e =&gt; e.Status.Contains(input.Status))
				.WhereIf(!string.IsNullOrWhiteSpace(input.LocationCode), e =&gt; e.LocationCode.Contains(input.LocationCode))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InvCkdContainerListDto
                        {
							Id = o.Id,
							ContainerNo = o.ContainerNo,
							Renban = o.Renban,
							SupplierNo = o.SupplierNo,
							HaisenNo = o.HaisenNo,
							BillOfLadingNo = o.BillOfLadingNo,
							SealNo = o.SealNo,
							CdDate = o.CdDate,
							CdStatus = o.CdStatus,
							ContainerSize = o.ContainerSize,
							ShipmentId = o.ShipmentId,
							ShippingDate = o.ShippingDate,
							PortDate = o.PortDate,
							PortDateActual = o.PortDateActual,
							PortTransitDate = o.PortTransitDate,
							ReceiveDate = o.ReceiveDate,
							RequestId = o.RequestId,
							RequestLotNo = o.RequestLotNo,
							InvoiceNo = o.InvoiceNo,
							ListLotNo = o.ListLotNo,
							ListCaseNo = o.ListCaseNo,
							Transport = o.Transport,
							Shop = o.Shop,
							Dock = o.Dock,
							DevanningDate = o.DevanningDate,
							DevanningTime = o.DevanningTime,
							Remark = o.Remark,
							WhLocation = o.WhLocation,
							GateinDate = o.GateinDate,
							GateinTime = o.GateinTime,
							TransitPortReqId = o.TransitPortReqId,
							TransitPortReqDate = o.TransitPortReqDate,
							TransitPortReqTime = o.TransitPortReqTime,
							TransitPortRemark = o.TransitPortRemark,
							Fob = o.Fob,
							Freight = o.Freight,
							Insurance = o.Insurance,
							Cif = o.Cif,
							Tax = o.Tax,
							Amount = o.Amount,
							Status = o.Status,
							LocationCode = o.LocationCode,
							LocationDate = o.LocationDate,
							ReceivingPeriodId = o.ReceivingPeriodId,
							IsActive = o.IsActive,
                        };
            var totalCount = await filtered.CountAsync();
			var paged = system.PageBy(input);
            return new PagedResultDto&lt;InvCkdContainerListDto&gt;(
                totalCount,
                 await paged.ToListAsync()
            );
        }
        public async Task&lt;FileDto&gt; GetContainerListToExcel(InvCkdContainerListExportInput input)
        {
            var query = from o in _repo.GetAll()
                        select new InvCkdContainerListDto
                        {
							Id = o.Id,
							ContainerNo = o.ContainerNo,
							Renban = o.Renban,
							SupplierNo = o.SupplierNo,
							HaisenNo = o.HaisenNo,
							BillOfLadingNo = o.BillOfLadingNo,
							SealNo = o.SealNo,
							CdDate = o.CdDate,
							CdStatus = o.CdStatus,
							ContainerSize = o.ContainerSize,
							ShipmentId = o.ShipmentId,
							ShippingDate = o.ShippingDate,
							PortDate = o.PortDate,
							PortDateActual = o.PortDateActual,
							PortTransitDate = o.PortTransitDate,
							ReceiveDate = o.ReceiveDate,
							RequestId = o.RequestId,
							RequestLotNo = o.RequestLotNo,
							InvoiceNo = o.InvoiceNo,
							ListLotNo = o.ListLotNo,
							ListCaseNo = o.ListCaseNo,
							Transport = o.Transport,
							Shop = o.Shop,
							Dock = o.Dock,
							DevanningDate = o.DevanningDate,
							DevanningTime = o.DevanningTime,
							Remark = o.Remark,
							WhLocation = o.WhLocation,
							GateinDate = o.GateinDate,
							GateinTime = o.GateinTime,
							TransitPortReqId = o.TransitPortReqId,
							TransitPortReqDate = o.TransitPortReqDate,
							TransitPortReqTime = o.TransitPortReqTime,
							TransitPortRemark = o.TransitPortRemark,
							Fob = o.Fob,
							Freight = o.Freight,
							Insurance = o.Insurance,
							Cif = o.Cif,
							Tax = o.Tax,
							Amount = o.Amount,
							Status = o.Status,
							LocationCode = o.LocationCode,
							LocationDate = o.LocationDate,
							ReceivingPeriodId = o.ReceivingPeriodId,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_dapperRepo.ExecuteAsync(InvCkdContainerListConsts.SP_MST_WPT_CALENDAR_GENERATE);
       // }
    }
}</v>
      </c>
      <c r="N68" s="58" t="str">
        <f>A.Backend!U7</f>
        <v xml:space="preserve">  configuration.CreateMap&lt;InvCkdContainerListDto, InvCkdContainerList&gt;();
  configuration.CreateMap&lt;InvCkdContainerList, InvCkdContainerListDto&gt;();
  configuration.CreateMap&lt;CreateOrEditInvCkdContainerListDto, InvCkdContainerList&gt;();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containerlist</v>
      </c>
      <c r="C73" s="66" t="str">
        <f>"create folder " &amp;B73</f>
        <v>create folder containerlist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containerlist.component.ts</v>
      </c>
      <c r="D74" s="28" t="str">
        <f>B.Frontend!I14</f>
        <v>containerlist.component.html</v>
      </c>
      <c r="E74" s="28" t="str">
        <f>B.Frontend!J14</f>
        <v>containerlist.component.less</v>
      </c>
      <c r="F74" s="28" t="str">
        <f>B.Frontend!K14</f>
        <v>create-or-edit-containerlist-modal.component.html</v>
      </c>
      <c r="G74" s="28" t="str">
        <f>B.Frontend!L14</f>
        <v>create-or-edit-containerlist-modal.component.ts</v>
      </c>
      <c r="H74" s="28" t="str">
        <f>B.Frontend!M14</f>
        <v>create-or-edit-containerlist-modal.component.less</v>
      </c>
      <c r="I74" s="28" t="str">
        <f>B.Frontend!N14</f>
        <v>containerlist.module.ts</v>
      </c>
      <c r="J74" s="28" t="str">
        <f>B.Frontend!O14</f>
        <v>containerlist-routing.module.ts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InvCkdContainerListDto, InvCkdContainerListServiceProxy } from '@shared/service-proxies/service-proxies';
import { finalize } from 'rxjs/internal/operators/finalize';
import { CreateOrEditContainerListModalComponent } from './create-or-edit-containerlist-modal.component';
import { DatePipe } from '@angular/common';
import { FileDownloadService } from '@shared/utils/file-download.service';
import ceil from 'lodash-es/ceil';
import { Paginator } from 'primeng/paginator';
@Component({
    templateUrl: './containerlist.component.html',
    styleUrls: ['./containerlist.component.less'],
})
export class ContainerListComponent extends AppComponentBase implements OnInit {
    @ViewChild('createOrEditModalContainerList', { static: true }) createOrEditModalContainerList:| CreateOrEditContainerListModalComponent|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InvCkdContainerListDto = new InvCkdContainerListDto();
    saveSelectedRow: InvCkdContainerListDto = new InvCkdContainerListDto();
    datas: InvCkdContainerListDto = new InvCkdContainerListDto();
    isLoading: boolean = false;
    dataParams: GridParams | undefined;
    rowData: any[] = [];
    gridApi!: GridApi;
    rowSelection = 'multiple';
    filter: string = '';
	pipe = new DatePipe('en-US');
	frameworkComponents: FrameworkComponent;
    	containerNo : string = '' ; 
	renban : string = '' ; 
	supplierNo : string = '' ; 
	haisenNo : string = '' ; 
	billOfLadingNo : string = '' ; 
	sealNo
	cdDate : string = '' ; 
	cdStatus
	containerSize
	shipmentId
	shippingDate
	portDate
	portDateActual
	portTransitDate
	receiveDate
	requestId : string = '' ; 
	requestLotNo : string = '' ; 
	invoiceNo : string = '' ; 
	listLotNo : string = '' ; 
	listCaseNo : string = '' ; 
	transport : string = '' ; 
	shop : string = '' ; 
	dock
	devanningDate
	devanningTime
	remark : string = '' ; 
	whLocation : string = '' ; 
	gateinDate
	gateinTime
	transitPortReqId
	transitPortReqDate
	transitPortReqTime
	transitPortRemark : string = '' ; 
	fob
	freight
	insurance
	cif
	tax
	amount
	status : string = '' ; 
	locationCode : string = '' ; 
	locationDate
	receivingPeriodId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InvCkdContainerListServiceProxy,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this.l('Container No'),headerTooltip: this.l('Container No'),field: 'containerNo',flex: 1},
			{headerName: this.l('Renban'),headerTooltip: this.l('Renban'),field: 'renban',flex: 1},
			{headerName: this.l('Supplier No'),headerTooltip: this.l('Supplier No'),field: 'supplierNo',flex: 1},
			{headerName: this.l('Haisen No'),headerTooltip: this.l('Haisen No'),field: 'haisenNo',flex: 1},
			{headerName: this.l('Bill Of Lading No'),headerTooltip: this.l('Bill Of Lading No'),field: 'billOfLadingNo',flex: 1},
			{headerName: this.l('Seal No'),headerTooltip: this.l('Seal No'),field: 'sealNo',flex: 1},
			{headerName: this.l('Cd Date'),headerTooltip: this.l('Cd Date'),field: 'cdDate',flex: 1},
			{headerName: this.l('Cd Status'),headerTooltip: this.l('Cd Status'),field: 'cdStatus',flex: 1},
			{headerName: this.l('Container Size'),headerTooltip: this.l('Container Size'),field: 'containerSize',flex: 1},
			{headerName: this.l('Shipment Id'),headerTooltip: this.l('Shipment Id'),field: 'shipmentId',flex: 1},
			{headerName: this.l('Shipping Date'),headerTooltip: this.l('Shipping Date'),field: 'shippingDate',flex: 1},
			{headerName: this.l('Port Date'),headerTooltip: this.l('Port Date'),field: 'portDate',flex: 1},
			{headerName: this.l('Port Date Actual'),headerTooltip: this.l('Port Date Actual'),field: 'portDateActual',flex: 1},
			{headerName: this.l('Port Transit Date'),headerTooltip: this.l('Port Transit Date'),field: 'portTransitDate',flex: 1},
			{headerName: this.l('Receive Date'),headerTooltip: this.l('Receive Date'),field: 'receiveDate',flex: 1},
			{headerName: this.l('Request Id'),headerTooltip: this.l('Request Id'),field: 'requestId',flex: 1},
			{headerName: this.l('Request Lot No'),headerTooltip: this.l('Request Lot No'),field: 'requestLotNo',flex: 1},
			{headerName: this.l('Invoice No'),headerTooltip: this.l('Invoice No'),field: 'invoiceNo',flex: 1},
			{headerName: this.l('List Lot No'),headerTooltip: this.l('List Lot No'),field: 'listLotNo',flex: 1},
			{headerName: this.l('List Case No'),headerTooltip: this.l('List Case No'),field: 'listCaseNo',flex: 1},
			{headerName: this.l('Transport'),headerTooltip: this.l('Transport'),field: 'transport',flex: 1},
			{headerName: this.l('Shop'),headerTooltip: this.l('Shop'),field: 'shop',flex: 1},
			{headerName: this.l('Dock'),headerTooltip: this.l('Dock'),field: 'dock',flex: 1},
			{headerName: this.l('Devanning Date'),headerTooltip: this.l('Devanning Date'),field: 'devanningDate',flex: 1},
			{headerName: this.l('Devanning Time'),headerTooltip: this.l('Devanning Time'),field: 'devanningTime',flex: 1},
			{headerName: this.l('Remark'),headerTooltip: this.l('Remark'),field: 'remark',flex: 1},
			{headerName: this.l('Wh Location'),headerTooltip: this.l('Wh Location'),field: 'whLocation',flex: 1},
			{headerName: this.l('Gatein Date'),headerTooltip: this.l('Gatein Date'),field: 'gateinDate',flex: 1},
			{headerName: this.l('Gatein Time'),headerTooltip: this.l('Gatein Time'),field: 'gateinTime',flex: 1},
			{headerName: this.l('Transit Port Req Id'),headerTooltip: this.l('Transit Port Req Id'),field: 'transitPortReqId',flex: 1},
			{headerName: this.l('Transit Port Req Date'),headerTooltip: this.l('Transit Port Req Date'),field: 'transitPortReqDate',flex: 1},
			{headerName: this.l('Transit Port Req Time'),headerTooltip: this.l('Transit Port Req Time'),field: 'transitPortReqTime',flex: 1},
			{headerName: this.l('Transit Port Remark'),headerTooltip: this.l('Transit Port Remark'),field: 'transitPortRemark',flex: 1},
			{headerName: this.l('Fob'),headerTooltip: this.l('Fob'),field: 'fob',flex: 1},
			{headerName: this.l('Freight'),headerTooltip: this.l('Freight'),field: 'freight',flex: 1},
			{headerName: this.l('Insurance'),headerTooltip: this.l('Insurance'),field: 'insurance',flex: 1},
			{headerName: this.l('Cif'),headerTooltip: this.l('Cif'),field: 'cif',flex: 1},
			{headerName: this.l('Tax'),headerTooltip: this.l('Tax'),field: 'tax',flex: 1},
			{headerName: this.l('Amount'),headerTooltip: this.l('Amount'),field: 'amount',flex: 1},
			{headerName: this.l('Status'),headerTooltip: this.l('Status'),field: 'status',flex: 1},
			{headerName: this.l('Location Code'),headerTooltip: this.l('Location Code'),field: 'locationCode',flex: 1},
			{headerName: this.l('Location Date'),headerTooltip: this.l('Location Date'),field: 'locationDate',flex: 1},
			{headerName: this.l('Receiving Period Id'),headerTooltip: this.l('Receiving Period Id'),field: 'receivingPeriodId',flex: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this.containerNo,
			this.renban,
			this.supplierNo,
			this.haisenNo,
			this.billOfLadingNo,
			this.sealNo,
			this.cdDate,
			this.cdStatus,
			this.containerSize,
			this.shipmentId,
			this.shippingDate,
			this.portDate,
			this.portDateActual,
			this.portTransitDate,
			this.receiveDate,
			this.requestId,
			this.requestLotNo,
			this.invoiceNo,
			this.listLotNo,
			this.listCaseNo,
			this.transport,
			this.shop,
			this.dock,
			this.devanningDate,
			this.devanningTime,
			this.remark,
			this.whLocation,
			this.gateinDate,
			this.gateinTime,
			this.transitPortReqId,
			this.transitPortReqDate,
			this.transitPortReqTime,
			this.transitPortRemark,
			this.fob,
			this.freight,
			this.insurance,
			this.cif,
			this.tax,
			this.amount,
			this.status,
			this.locationCode,
			this.locationDate,
			this.receivingPeriodId,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this.containerNo = '',
		this.renban = '',
		this.supplierNo = '',
		this.haisenNo = '',
		this.billOfLadingNo = '',
		this.sealNo = '',
		this.cdDate = '',
		this.cdStatus = '',
		this.containerSize = '',
		this.shipmentId = '',
		this.shippingDate = '',
		this.portDate = '',
		this.portDateActual = '',
		this.portTransitDate = '',
		this.receiveDate = '',
		this.requestId = '',
		this.requestLotNo = '',
		this.invoiceNo = '',
		this.listLotNo = '',
		this.listCaseNo = '',
		this.transport = '',
		this.shop = '',
		this.dock = '',
		this.devanningDate = '',
		this.devanningTime = '',
		this.remark = '',
		this.whLocation = '',
		this.gateinDate = '',
		this.gateinTime = '',
		this.transitPortReqId = '',
		this.transitPortReqDate = '',
		this.transitPortReqTime = '',
		this.transitPortRemark = '',
		this.fob = '',
		this.freight = '',
		this.insurance = '',
		this.cif = '',
		this.tax = '',
		this.amount = '',
		this.status = '',
		this.locationCode = '',
		this.locationDate = '',
		this.receivingPeriodId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this.containerNo,
			this.renban,
			this.supplierNo,
			this.haisenNo,
			this.billOfLadingNo,
			this.sealNo,
			this.cdDate,
			this.cdStatus,
			this.containerSize,
			this.shipmentId,
			this.shippingDate,
			this.portDate,
			this.portDateActual,
			this.portTransitDate,
			this.receiveDate,
			this.requestId,
			this.requestLotNo,
			this.invoiceNo,
			this.listLotNo,
			this.listCaseNo,
			this.transport,
			this.shop,
			this.dock,
			this.devanningDate,
			this.devanningTime,
			this.remark,
			this.whLocation,
			this.gateinDate,
			this.gateinTime,
			this.transitPortReqId,
			this.transitPortReqDate,
			this.transitPortReqTime,
			this.transitPortRemark,
			this.fob,
			this.freight,
			this.insurance,
			this.cif,
			this.tax,
			this.amount,
			this.status,
			this.locationCode,
			this.locationDate,
			this.receivingPeriodId,
			this.isActive,
			'',
            this.paginationParams.skipCount,
            this.paginationParams.pageSize
        );
    }
    onChangeRowSelection(params: { api: { getSelectedRows: () =&gt; InvCkdContainerListDto[] } }) {
        this.saveSelectedRow = params.api.getSelectedRows()[0] ?? new InvCkdContainerListDto();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InvCkdContainerListDto):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this._service.getContainerListToExcel(
			this.containerNo,
			this.renban,
			this.supplierNo,
			this.haisenNo,
			this.billOfLadingNo,
			this.sealNo,
			this.cdDate,
			this.cdStatus,
			this.containerSize,
			this.shipmentId,
			this.shippingDate,
			this.portDate,
			this.portDateActual,
			this.portTransitDate,
			this.receiveDate,
			this.requestId,
			this.requestLotNo,
			this.invoiceNo,
			this.listLotNo,
			this.listCaseNo,
			this.transport,
			this.shop,
			this.dock,
			this.devanningDate,
			this.devanningTime,
			this.remark,
			this.whLocation,
			this.gateinDate,
			this.gateinTime,
			this.transitPortReqId,
			this.transitPortReqDate,
			this.transitPortReqTime,
			this.transitPortRemark,
			this.fob,
			this.freight,
			this.insurance,
			this.cif,
			this.tax,
			this.amount,
			this.status,
			this.locationCode,
			this.locationDate,
			this.receivingPeriodId,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Container Management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[(ngModel)]='haisenNo' name='haisenNo'
									class='form-control' [placeholder]="l('Haisen No')"
									type='text' (keyup.enter)='searchDatas()'&gt;
								&lt;/div&gt;
								&lt;div class='input-search'&gt;
									&lt;input [(ngModel)]='billOfLadingNo' name='billOfLadingNo'
									class='form-control' [placeholder]="l('Bill Of Lading No')"
									type='text' (keyup.enter)='searchDatas()'&gt;
								&lt;/div&gt;
								&lt;div class='input-search'&gt;
									&lt;input [(ngModel)]='cdDate' name='cdDate'
									class='form-control' [placeholder]="l('Cd Date')"
									type='text' (keyup.enter)='searchDatas()'&gt;
								&lt;/div&gt;
								&lt;div class='input-search'&gt;
									&lt;input [(ngModel)]='requestId' name='requestId'
									class='form-control' [placeholder]="l('Request Id')"
									type='text' (keyup.enter)='searchDatas()'&gt;
								&lt;/div&gt;
								&lt;div class='input-search'&gt;
									&lt;input [(ngModel)]='requestLotNo' name='requestLotNo'
									class='form-control' [placeholder]="l('Request Lot No')"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[(ngModel)]='listLotNo' name='listLotNo'
									class='form-control' [placeholder]="l('List Lot No')"
									type='text' (keyup.enter)='searchDatas()'&gt;
								&lt;/div&gt;
								&lt;div class='input-search'&gt;
									&lt;input [(ngModel)]='listCaseNo' name='listCaseNo'
									class='form-control' [placeholder]="l('List Case No')"
									type='text' (keyup.enter)='searchDatas()'&gt;
								&lt;/div&gt;
								&lt;div class='input-search'&gt;
									&lt;input [(ngModel)]='transport' name='transport'
									class='form-control' [placeholder]="l('Transport')"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[(ngModel)]='whLocation' name='whLocation'
									class='form-control' [placeholder]="l('Wh Location')"
									type='text' (keyup.enter)='searchDatas()'&gt;
								&lt;/div&gt;
								&lt;div class='input-search'&gt;
									&lt;input [(ngModel)]='transitPortRemark' name='transitPortRemark'
									class='form-control' [placeholder]="l('Transit Port Remark')"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[(ngModel)]='locationCode' name='locationCode'
									class='form-control' [placeholder]="l('Location Code')"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(click)="createOrEditModalContainerList.show()"&gt;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(click)="createOrEditModalContainerList.show(selectedRow)"&gt;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&lt;create-or-edit-containerlist-modal
    #createOrEditModalContainerList
    (modalSave)="callBackDataGrid(dataParams)"
    (modalClose)="onChangeRowSelection(dataParams)"
&gt;
&lt;/create-or-edit-containerlist-modal&gt;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#createOrEditModalContainerList="bs-modal"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ContainerList')}}&lt;/h3&gt;
                    &lt;h3 *ngIf="!rowdata.id"&gt;{{('Create New ContainerList')}}&lt;/h3&gt;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title'&gt;Haisen No&lt;/label&gt;
						&lt;input type='text' class='col-md-10 form-control input-text' name='HaisenNo' [(ngModel)]='rowdata.haisenNo'&gt;
					&lt;/div&gt;
					&lt;div class='col-md-12 form-group row'&gt;
						&lt;label class='col-md-2 form-control title'&gt;Bill Of 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title'&gt;Cd Date&lt;/label&gt;
						&lt;input type='text' class='col-md-10 form-control input-text' name='CdDate' [(ngModel)]='rowdata.cdDate'&gt;
					&lt;/div&gt;
					&lt;div class='col-md-12 form-group row'&gt;
						&lt;label class='col-md-2 form-control title'&gt;Request Id&lt;/label&gt;
						&lt;input type='text' class='col-md-10 form-control input-text' name='RequestId' [(ngModel)]='rowdata.requestId'&gt;
					&lt;/div&gt;
					&lt;div class='col-md-12 form-group row'&gt;
						&lt;label class='col-md-2 form-control title'&gt;Request Lot No&lt;/label&gt;
						&lt;input type='text' class='col-md-10 form-control input-text' name='RequestLotNo' [(ngModel)]='rowdata.requestLotNo'&gt;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title'&gt;List Lot No&lt;/label&gt;
						&lt;input type='text' class='col-md-10 form-control input-text' name='ListLotNo' [(ngModel)]='rowdata.listLotNo'&gt;
					&lt;/div&gt;
					&lt;div class='col-md-12 form-group row'&gt;
						&lt;label class='col-md-2 form-control title'&gt;List Case No&lt;/label&gt;
						&lt;input type='text' class='col-md-10 form-control input-text' name='ListCaseNo' [(ngModel)]='rowdata.listCaseNo'&gt;
					&lt;/div&gt;
					&lt;div class='col-md-12 form-group row'&gt;
						&lt;label class='col-md-2 form-control title'&gt;Transport&lt;/label&gt;
						&lt;input type='text' class='col-md-10 form-control input-text' name='Transport' [(ngModel)]='rowdata.transport'&gt;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title'&gt;Wh Location&lt;/label&gt;
						&lt;input type='text' class='col-md-10 form-control input-text' name='WhLocation' [(ngModel)]='rowdata.whLocation'&gt;
					&lt;/div&gt;
					&lt;div class='col-md-12 form-group row'&gt;
						&lt;label class='col-md-2 form-control title'&gt;Transit Port Remark&lt;/label&gt;
						&lt;input type='text' class='col-md-10 form-control input-text' name='TransitPortRemark' [(ngModel)]='rowdata.transitPortRemark'&gt;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title'&gt;Location Code&lt;/label&gt;
						&lt;input type='text' class='col-md-10 form-control input-text' name='LocationCode' [(ngModel)]='rowdata.locationCode'&gt;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CreateOrEditInvCkdContainerListDto, InvCkdContainerListServiceProxy } from '@shared/service-proxies/service-proxies';
import { BsDatepickerDirective } from 'ngx-bootstrap/datepicker';
@Component({
    selector: 'create-or-edit-containerlist-modal',
    templateUrl: './create-or-edit-containerlist-modal.component.html',
    styleUrls: ['./create-or-edit-containerlist-modal.component.less']
    })
export class CreateOrEditContainerListModalComponent extends AppComponentBase {
    @ViewChild('createOrEditModalContainerList',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CreateOrEditInvCkdContainerListDto = new CreateOrEditInvCkdContainerListDto();
    active: boolean = false;
    saving: boolean = false;
    _isActive: boolean;
    constructor(
        injector: Injector,
        private _mstwptContainerListService: InvCkdContainerListServiceProxy,
    ) 
    {
        super(injector);
    }
    show(rowdata?: CreateOrEditInvCkdContainerListDto): void {
        if (!rowdata) this.rowdata = new CreateOrEditInvCkdContainerListDto();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this._mstwptContainerListService.createOrEdit(this.rowdata)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ContainerListRoutingModule } from './containerlist-routing.module';
import { ContainerListComponent } from './containerlist.component';
import { CreateOrEditContainerListModalComponent } from './create-or-edit-containerlist-modal.component';
@NgModule({
    declarations: [
       ContainerListComponent, 
        CreateOrEditContainerListModalComponent
    ],
    imports: [
        AppSharedModule, ContainerListRoutingModule]
})
export class ContainerListModule {}</v>
      </c>
      <c r="J75" s="46" t="str">
        <f>B.Frontend!O10</f>
        <v>import {NgModule} from '@angular/core';
import {RouterModule, Routes} from '@angular/router';
import { ContainerListComponent } from './containerlist.component';
const routes: Routes = [{
    path: '',
    component: ContainerListComponent,
    pathMatch: 'full'
}];
@NgModule({
    imports: [RouterModule.forChild(routes)],
    exports: [RouterModule],
})
export class ContainerListRoutingModule {}</v>
      </c>
      <c r="K75" s="46" t="str">
        <f>B.Frontend!P10</f>
        <v xml:space="preserve"> new AppMenuItem("ContainerList", "Pages.Inventory.CKD.ContainerList", "flaticon-book",   "/app/main/inventory/ckd/containerlist"),</v>
      </c>
      <c r="L75" s="47" t="str">
        <f>B.Frontend!Q10</f>
        <v>{
    path: 'inventory/ckd/containerlist',
    loadChildren: () =&gt; import('./inventory/ckd/containerlist/containerlist.module').then(m =&gt; m.ContainerListModule),
    data: { permission: 'Pages.Inventory.CKD.ContainerList' }
},</v>
      </c>
      <c r="M75" s="45" t="str">
        <f>B.Frontend!R10</f>
        <v>ApiServiceProxies.InvCkdContainerListServiceProxy,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54"/>
  <sheetViews>
    <sheetView tabSelected="1" topLeftCell="A21" workbookViewId="0">
      <pane xSplit="1" topLeftCell="B1" activePane="topRight" state="frozen"/>
      <selection pane="topRight" activeCell="A9" sqref="A9:A2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375</v>
      </c>
      <c r="C3" s="9" t="s">
        <v>41</v>
      </c>
      <c r="D3" s="9" t="s">
        <v>42</v>
      </c>
      <c r="E3" s="9" t="s">
        <v>37</v>
      </c>
      <c r="F3" s="10" t="str">
        <f>"J"&amp;COUNTA($A:$A)</f>
        <v>J52</v>
      </c>
      <c r="G3" s="4" t="s">
        <v>54</v>
      </c>
      <c r="H3" s="9" t="str">
        <f>"I"&amp;COUNTA($A:$A)</f>
        <v>I52</v>
      </c>
      <c r="I3" s="9" t="str">
        <f>REPT(CHAR(9),2)&amp;"[Required]"&amp;"
"</f>
        <v xml:space="preserve">		[Required]
</v>
      </c>
      <c r="J3" s="10" t="str">
        <f>"L"&amp;COUNTA($A:$A)</f>
        <v>L52</v>
      </c>
      <c r="K3" s="5" t="s">
        <v>53</v>
      </c>
      <c r="L3" s="10" t="str">
        <f>"M"&amp;COUNTA($A:$A)</f>
        <v>M52</v>
      </c>
      <c r="M3" s="10" t="str">
        <f>"N"&amp;COUNTA($A:$A)</f>
        <v>N52</v>
      </c>
      <c r="N3" s="10" t="str">
        <f>"O"&amp;COUNTA($A:$A)</f>
        <v>O52</v>
      </c>
      <c r="O3" s="10" t="str">
        <f>"P"&amp;COUNTA($A:$A)</f>
        <v>P52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InvCkdContainerListExportInput{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T52</v>
      </c>
      <c r="V3" s="10" t="str">
        <f>"V"&amp;COUNTA($A:$A)</f>
        <v>V52</v>
      </c>
      <c r="W3" s="9" t="str">
        <f>"W"&amp;COUNTA($A:$A)</f>
        <v>W52</v>
      </c>
    </row>
    <row r="4" spans="1:23" s="10" customFormat="1" ht="33" customHeight="1" x14ac:dyDescent="0.25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InvCkdContainerList: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InvCkdContainerListConsts	
	{
</v>
      </c>
      <c r="F6" s="10" t="str">
        <f>REPT(CHAR(9),1)&amp;"public class "&amp;B3&amp;"Dto"&amp;K3&amp;REPT(CHAR(9),1)&amp;"
"&amp;REPT(CHAR(9),1)&amp;C3</f>
        <v xml:space="preserve">	public class InvCkdContainerListDto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CreateOrEditInvCkdContainerListDto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GetInvCkdContainerListInput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InvCkdContainerList</v>
      </c>
      <c r="C7" s="10" t="str">
        <f>REPT(CHAR(9),1)&amp;"[Table("""&amp;B7&amp;""")]"&amp;"
"</f>
        <v xml:space="preserve">	[Table("InvCkdContainerList")]
</v>
      </c>
      <c r="D7" s="10"/>
      <c r="E7" s="10"/>
      <c r="F7" s="10"/>
      <c r="G7" s="10"/>
      <c r="H7" s="10"/>
      <c r="I7" s="10"/>
      <c r="J7" t="str">
        <f ca="1">SUBSTITUTE(SUBSTITUTE((B1&amp;C6&amp;C7&amp;K54&amp;D6&amp;I54&amp;E3&amp;J54&amp;""&amp;REPT(CHAR(9),1)&amp;D3&amp;D3),"WorkingPattern",$Q$3),"Master",$B$4)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[Table("InvCkdContainerList")]
	[Index(nameof(TransitPortReqDate), Name="IX_InvCkdContainerList_TransitPortReqDate")]
	public class InvCkdContainerList: FullAuditedEntity&lt;long&gt;, IEntity&lt;long&gt;	
	{
		public const int MaxContainerNoLength = 15;
		public const int MaxRenbanLength = 6;
		public const int MaxSupplierNoLength = 10;
		public const int MaxHaisenNoLength = 10;
		public const int MaxBillOfLadingNoLength = 20;
		public const int MaxSealNoLength = 20;
		public const int MaxCdStatusLength = 20;
		public const int MaxRequestLotNoLength = 10;
		public const int MaxInvoiceNoLength = 500;
		public const int MaxListLotNoLength = 1000;
		public const int MaxListCaseNoLength = 1000;
		public const int MaxTransportLength = 10;
		public const int MaxShopLength = 10;
		public const int MaxDockLength = 10;
		public const int MaxRemarkLength = 1000;
		public const int MaxWhLocationLength = 10;
		public const int MaxTransitPortRemarkLength = 1000;
		public const int MaxStatusLength = 20;
		public const int MaxLocationCodeLength = 20;
		public const int MaxIsActiveLength = 1;
		[StringLength(MaxContainerNoLength)]
		public virtual string ContainerNo { get; set; }
		[StringLength(MaxRenbanLength)]
		public virtual string Renban { get; set; }
		[StringLength(MaxSupplierNoLength)]
		public virtual string SupplierNo { get; set; }
		[StringLength(MaxHaisenNoLength)]
		public virtual string HaisenNo { get; set; }
		[StringLength(MaxBillOfLadingNoLength)]
		public virtual string BillOfLadingNo { get; set; }
		[StringLength(MaxSealNoLength)]
		public virtual string SealNo { get; set; }
		public virtual DateTime? CdDate { get; set; }
		[StringLength(MaxCdStatusLength)]
		public virtual string CdStatus { get; set; }
		public virtual int? ContainerSize { get; set; }
		public virtual long? ShipmentId { get; set; }
		public virtual DateTime? ShippingDate { get; set; }
		public virtual DateTime? PortDate { get; set; }
		public virtual DateTime? PortDateActual { get; set; }
		public virtual DateTime? PortTransitDate { get; set; }
		public virtual DateTime? ReceiveDate { get; set; }
		public virtual long? RequestId { get; set; }
		[StringLength(MaxRequestLotNoLength)]
		public virtual string RequestLotNo { get; set; }
		[StringLength(MaxInvoiceNoLength)]
		public virtual string InvoiceNo { get; set; }
		[StringLength(MaxListLotNoLength)]
		public virtual string ListLotNo { get; set; }
		[StringLength(MaxListCaseNoLength)]
		public virtual string ListCaseNo { get; set; }
		[StringLength(MaxTransportLength)]
		public virtual string Transport { get; set; }
		[StringLength(MaxShopLength)]
		public virtual string Shop { get; set; }
		[StringLength(MaxDockLength)]
		public virtual string Dock { get; set; }
		public virtual DateTime? DevanningDate { get; set; }
		public virtual TimeSpan? DevanningTime { get; set; }
		[StringLength(MaxRemarkLength)]
		public virtual string Remark { get; set; }
		[StringLength(MaxWhLocationLength)]
		public virtual string WhLocation { get; set; }
		public virtual DateTime? GateinDate { get; set; }
		public virtual TimeSpan? GateinTime { get; set; }
		public virtual long? TransitPortReqId { get; set; }
		public virtual DateTime? TransitPortReqDate { get; set; }
		public virtual TimeSpan? TransitPortReqTime { get; set; }
		[StringLength(MaxTransitPortRemarkLength)]
		public virtual string TransitPortRemark { get; set; }
		public virtual decimal? Fob { get; set; }
		public virtual decimal? Freight { get; set; }
		public virtual decimal? Insurance { get; set; }
		public virtual decimal? Cif { get; set; }
		public virtual decimal? Tax { get; set; }
		public virtual decimal? Amount { get; set; }
		[StringLength(MaxStatusLength)]
		public virtual string Status { get; set; }
		[StringLength(MaxLocationCodeLength)]
		public virtual string LocationCode { get; set; }
		public virtual DateTime? LocationDate { get; set; }
		public virtual long? ReceivingPeriodId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DbSet&lt;InvCkdContainerList&gt; InvCkdContainerLists { get; set; }</v>
      </c>
      <c r="L7" t="str">
        <f ca="1">SUBSTITUTE(SUBSTITUTE((C6&amp;E6&amp;I54&amp;"
"&amp;REPT(CHAR(9),2)&amp;"// Define Store Name: Format SP_ + &lt;Store Name&gt; = &lt;Store Name&gt;
"&amp;E3&amp;REPT(CHAR(9),1)&amp;D3&amp;D3),"WorkingPattern",$Q$3),"Master",$B$4)</f>
        <v xml:space="preserve">namespace prod.Inventory.CKD
{
	public class InvCkdContainerListConsts	
	{
		public const int MaxContainerNoLength = 15;
		public const int MaxRenbanLength = 6;
		public const int MaxSupplierNoLength = 10;
		public const int MaxHaisenNoLength = 10;
		public const int MaxBillOfLadingNoLength = 20;
		public const int MaxSealNoLength = 20;
		public const int MaxCdStatusLength = 20;
		public const int MaxRequestLotNoLength = 10;
		public const int MaxInvoiceNoLength = 500;
		public const int MaxListLotNoLength = 1000;
		public const int MaxListCaseNoLength = 1000;
		public const int MaxTransportLength = 10;
		public const int MaxShopLength = 10;
		public const int MaxDockLength = 10;
		public const int MaxRemarkLength = 1000;
		public const int MaxWhLocationLength = 10;
		public const int MaxTransitPortRemarkLength = 1000;
		public const int MaxStatusLength = 20;
		public const int MaxLocationCodeLength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"&amp;B6&amp;".Dto"&amp;E3&amp;C3&amp;F6&amp;M54&amp;E3&amp;REPT(CHAR(9),1)&amp;D3&amp;G6&amp;N54&amp;REPT(CHAR(9),1)&amp;D3&amp;H6&amp;O54&amp;"
"&amp;REPT(CHAR(9),1)&amp;D3&amp;D3),"WorkingPattern",$Q$3),"Master",$B$4)</f>
        <v xml:space="preserve">using Abp.Application.Services.Dto;
using System;
using System.ComponentModel.DataAnnotations;
namespace prod.Inventory.CKD.Dto
{
	public class InvCkdContainerListDto : EntityDto&lt;long?&gt;	
	{
		public virtual string ContainerNo { get; set; }
		public virtual string Renban { get; set; }
		public virtual string SupplierNo { get; set; }
		public virtual string HaisenNo { get; set; }
		public virtual string BillOfLadingNo { get; set; }
		public virtual string SealNo { get; set; }
		public virtual DateTime? CdDate { get; set; }
		public virtual string CdStatus { get; set; }
		public virtual int? ContainerSize { get; set; }
		public virtual long? ShipmentId { get; set; }
		public virtual DateTime? ShippingDate { get; set; }
		public virtual DateTime? PortDate { get; set; }
		public virtual DateTime? PortDateActual { get; set; }
		public virtual DateTime? PortTransitDate { get; set; }
		public virtual DateTime? ReceiveDate { get; set; }
		public virtual long? RequestId { get; set; }
		public virtual string RequestLotNo { get; set; }
		public virtual string InvoiceNo { get; set; }
		public virtual string ListLotNo { get; set; }
		public virtual string ListCaseNo { get; set; }
		public virtual string Transport { get; set; }
		public virtual string Shop { get; set; }
		public virtual string Dock { get; set; }
		public virtual DateTime? DevanningDate { get; set; }
		public virtual TimeSpan? DevanningTime { get; set; }
		public virtual string Remark { get; set; }
		public virtual string WhLocation { get; set; }
		public virtual DateTime? GateinDate { get; set; }
		public virtual TimeSpan? GateinTime { get; set; }
		public virtual long? TransitPortReqId { get; set; }
		public virtual DateTime? TransitPortReqDate { get; set; }
		public virtual TimeSpan? TransitPortReqTime { get; set; }
		public virtual string TransitPortRemark { get; set; }
		public virtual decimal? Fob { get; set; }
		public virtual decimal? Freight { get; set; }
		public virtual decimal? Insurance { get; set; }
		public virtual decimal? Cif { get; set; }
		public virtual decimal? Tax { get; set; }
		public virtual decimal? Amount { get; set; }
		public virtual string Status { get; set; }
		public virtual string LocationCode { get; set; }
		public virtual DateTime? LocationDate { get; set; }
		public virtual long? ReceivingPeriodId { get; set; }
		public virtual string IsActive { get; set; }
	}
	public class CreateOrEditInvCkdContainerListDto : EntityDto&lt;long?&gt;	
	{
		[StringLength(InvCkdContainerListConsts.MaxContainerNoLength)]
		public virtual string ContainerNo { get; set; }
		[StringLength(InvCkdContainerListConsts.MaxRenbanLength)]
		public virtual string Renban { get; set; }
		[StringLength(InvCkdContainerListConsts.MaxSupplierNoLength)]
		public virtual string SupplierNo { get; set; }
		[StringLength(InvCkdContainerListConsts.MaxHaisenNoLength)]
		public virtual string HaisenNo { get; set; }
		[StringLength(InvCkdContainerListConsts.MaxBillOfLadingNoLength)]
		public virtual string BillOfLadingNo { get; set; }
		[StringLength(InvCkdContainerListConsts.MaxSealNoLength)]
		public virtual string SealNo { get; set; }
		public virtual DateTime? CdDate { get; set; }
		[StringLength(InvCkdContainerListConsts.MaxCdStatusLength)]
		public virtual string CdStatus { get; set; }
		public virtual int? ContainerSize { get; set; }
		public virtual long? ShipmentId { get; set; }
		public virtual DateTime? ShippingDate { get; set; }
		public virtual DateTime? PortDate { get; set; }
		public virtual DateTime? PortDateActual { get; set; }
		public virtual DateTime? PortTransitDate { get; set; }
		public virtual DateTime? ReceiveDate { get; set; }
		public virtual long? RequestId { get; set; }
		[StringLength(InvCkdContainerListConsts.MaxRequestLotNoLength)]
		public virtual string RequestLotNo { get; set; }
		[StringLength(InvCkdContainerListConsts.MaxInvoiceNoLength)]
		public virtual string InvoiceNo { get; set; }
		[StringLength(InvCkdContainerListConsts.MaxListLotNoLength)]
		public virtual string ListLotNo { get; set; }
		[StringLength(InvCkdContainerListConsts.MaxListCaseNoLength)]
		public virtual string ListCaseNo { get; set; }
		[StringLength(InvCkdContainerListConsts.MaxTransportLength)]
		public virtual string Transport { get; set; }
		[StringLength(InvCkdContainerListConsts.MaxShopLength)]
		public virtual string Shop { get; set; }
		[StringLength(InvCkdContainerListConsts.MaxDockLength)]
		public virtual string Dock { get; set; }
		public virtual DateTime? DevanningDate { get; set; }
		public virtual TimeSpan? DevanningTime { get; set; }
		[StringLength(InvCkdContainerListConsts.MaxRemarkLength)]
		public virtual string Remark { get; set; }
		[StringLength(InvCkdContainerListConsts.MaxWhLocationLength)]
		public virtual string WhLocation { get; set; }
		public virtual DateTime? GateinDate { get; set; }
		public virtual TimeSpan? GateinTime { get; set; }
		public virtual long? TransitPortReqId { get; set; }
		public virtual DateTime? TransitPortReqDate { get; set; }
		public virtual TimeSpan? TransitPortReqTime { get; set; }
		[StringLength(InvCkdContainerListConsts.MaxTransitPortRemarkLength)]
		public virtual string TransitPortRemark { get; set; }
		public virtual decimal? Fob { get; set; }
		public virtual decimal? Freight { get; set; }
		public virtual decimal? Insurance { get; set; }
		public virtual decimal? Cif { get; set; }
		public virtual decimal? Tax { get; set; }
		public virtual decimal? Amount { get; set; }
		[StringLength(InvCkdContainerListConsts.MaxStatusLength)]
		public virtual string Status { get; set; }
		[StringLength(InvCkdContainerListConsts.MaxLocationCodeLength)]
		public virtual string LocationCode { get; set; }
		public virtual DateTime? LocationDate { get; set; }
		public virtual long? ReceivingPeriodId { get; set; }
		[StringLength(InvCkdContainerListConsts.MaxIsActiveLength)]
		public virtual string IsActive { get; set; }
	}
	public class GetInvCkdContainerListInput : PagedAndSortedResultRequestDto	
	{
		public virtual string ContainerNo { get; set; }
		public virtual string Renban { get; set; }
		public virtual string SupplierNo { get; set; }
		public virtual string HaisenNo { get; set; }
		public virtual string BillOfLadingNo { get; set; }
		public virtual string SealNo { get; set; }
		public virtual string CdStatus { get; set; }
		public virtual string RequestLotNo { get; set; }
		public virtual string InvoiceNo { get; set; }
		public virtual string ListLotNo { get; set; }
		public virtual string ListCaseNo { get; set; }
		public virtual string Transport { get; set; }
		public virtual string Shop { get; set; }
		public virtual string Dock { get; set; }
		public virtual string Remark { get; set; }
		public virtual string WhLocation { get; set; }
		public virtual string TransitPortRemark { get; set; }
		public virtual string Status { get; set; }
		public virtual string LocationCode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perInvCkdContainerList = PARENTS.CreateChildPermission(AppPermissions.Pages_Inventory_CKD_ContainerList, L( "InventoryCKDContainerList"), multiTenancySides: MultiTenancySides.Tenant);
		perInvCkdContainerList.CreateChildPermission(AppPermissions.Pages_Inventory_CKD_ContainerList_CreateEdit, L( "InventoryCKDContainerListCreateEdit"), multiTenancySides: MultiTenancySides.Tenant);
		perInvCkdContainerList.CreateChildPermission(AppPermissions.Pages_Inventory_CKD_ContainerList_Delete, L( "InventoryCKDContainerListDelete"),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Pages_Inventory_CKD_ContainerList = "Pages.Inventory.CKD.ContainerList";
		public const string Pages_Inventory_CKD_ContainerList_CreateEdit = "Pages.Inventory.CKD.ContainerList.CreateEdit";
		public const string Pages_Inventory_CKD_ContainerList_Delete = "Pages.Inventory.CKD.ContainerList.Delete";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IInvCkdContainerListAppService : IApplicationService
	{
		Task&lt;PagedResultDto&lt;InvCkdContainerListDto&gt;&gt; GetAll(GetInvCkdContainerListInput input);
		Task CreateOrEdit(CreateOrEditInvCkdContainerListDto input);
		Task Delete(EntityDto input);
	}
}
</v>
      </c>
      <c r="Q7" t="str">
        <f ca="1">SUBSTITUTE(SUBSTITUTE(SUBSTITUTE(SUBSTITUTE(SUBSTITUTE(SUBSTITUTE(E1,"MstWptCalendar",$B$3),"&lt;PROPERTIES&gt;",P54),"Calendar",$B$5),"WorkingPattern",$Q$3),"Master",$B$4),"&lt;PARAMS_SEARCH&gt;",$W$54)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[AbpAuthorize(AppPermissions.Pages_Inventory_CKD_ContainerList)]
    public class InvCkdContainerListAppService : vovinaAppServiceBase, IInvCkdContainerListAppService
    {
        private readonly IDapperRepository&lt;InvCkdContainerList, long&gt; _dapperRepo;
        private readonly IRepository&lt;InvCkdContainerList, long&gt; _repo;
        private readonly IInvCkdContainerListExcelExporter _calendarListExcelExporter;
        public InvCkdContainerListAppService(IRepository&lt;InvCkdContainerList,long&gt; repo, 
                                         IDapperRepository&lt;InvCkdContainerList,long&gt; dapperRepo,
                                        IInvCkdContainerListExcelExporter calendarListExcelExporter
            )
        {
            _repo = repo;
            _dapperRepo = dapperRepo;
            _calendarListExcelExporter = calendarListExcelExporter;
        }
        [AbpAuthorize(AppPermissions.Pages_Inventory_CKD_ContainerList_CreateEdit)]
        public async Task CreateOrEdit(CreateOrEditInvCkdContainerListDto input)
        {
            if (input.Id == null) await Create(input);
            else await Update(input);
        }
        //CREATE
        private async Task Create(CreateOrEditInvCkdContainerListDto input)
        {          
            var mainObj = ObjectMapper.Map&lt;InvCkdContainerList&gt;(input);
            await CurrentUnitOfWork.GetDbContext&lt;vovinaDbContext&gt;().AddAsync(mainObj);
        }
        // EDIT
        private async Task Update(CreateOrEditInvCkdContainerListDto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[AbpAuthorize(AppPermissions.Pages_Inventory_CKD_ContainerList_Delete)]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Task&lt;PagedResultDto&lt;InvCkdContainerListDto&gt;&gt; GetAll(GetInvCkdContainerListInput input)
        {
            var filtered = _repo.GetAll()
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.WhereIf(!string.IsNullOrWhiteSpace(input.HaisenNo), e =&gt; e.HaisenNo.Contains(input.HaisenNo))
				.WhereIf(!string.IsNullOrWhiteSpace(input.BillOfLadingNo), e =&gt; e.BillOfLadingNo.Contains(input.BillOfLadingNo))
				.WhereIf(!string.IsNullOrWhiteSpace(input.SealNo), e =&gt; e.SealNo.Contains(input.SealNo))
				.WhereIf(!string.IsNullOrWhiteSpace(input.CdStatus), e =&gt; e.CdStatus.Contains(input.CdStatus))
				.WhereIf(!string.IsNullOrWhiteSpace(input.RequestLotNo), e =&gt; e.RequestLotNo.Contains(input.RequestLotNo))
				.WhereIf(!string.IsNullOrWhiteSpace(input.InvoiceNo), e =&gt; e.InvoiceNo.Contains(input.InvoiceNo))
				.WhereIf(!string.IsNullOrWhiteSpace(input.ListLotNo), e =&gt; e.ListLotNo.Contains(input.ListLotNo))
				.WhereIf(!string.IsNullOrWhiteSpace(input.ListCaseNo), e =&gt; e.ListCaseNo.Contains(input.ListCaseNo))
				.WhereIf(!string.IsNullOrWhiteSpace(input.Transport), e =&gt; e.Transport.Contains(input.Transport))
				.WhereIf(!string.IsNullOrWhiteSpace(input.Shop), e =&gt; e.Shop.Contains(input.Shop))
				.WhereIf(!string.IsNullOrWhiteSpace(input.Dock), e =&gt; e.Dock.Contains(input.Dock))
				.WhereIf(!string.IsNullOrWhiteSpace(input.Remark), e =&gt; e.Remark.Contains(input.Remark))
				.WhereIf(!string.IsNullOrWhiteSpace(input.WhLocation), e =&gt; e.WhLocation.Contains(input.WhLocation))
				.WhereIf(!string.IsNullOrWhiteSpace(input.TransitPortRemark), e =&gt; e.TransitPortRemark.Contains(input.TransitPortRemark))
				.WhereIf(!string.IsNullOrWhiteSpace(input.Status), e =&gt; e.Status.Contains(input.Status))
				.WhereIf(!string.IsNullOrWhiteSpace(input.LocationCode), e =&gt; e.LocationCode.Contains(input.LocationCode))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InvCkdContainerListDto
                        {
							Id = o.Id,
							ContainerNo = o.ContainerNo,
							Renban = o.Renban,
							SupplierNo = o.SupplierNo,
							HaisenNo = o.HaisenNo,
							BillOfLadingNo = o.BillOfLadingNo,
							SealNo = o.SealNo,
							CdDate = o.CdDate,
							CdStatus = o.CdStatus,
							ContainerSize = o.ContainerSize,
							ShipmentId = o.ShipmentId,
							ShippingDate = o.ShippingDate,
							PortDate = o.PortDate,
							PortDateActual = o.PortDateActual,
							PortTransitDate = o.PortTransitDate,
							ReceiveDate = o.ReceiveDate,
							RequestId = o.RequestId,
							RequestLotNo = o.RequestLotNo,
							InvoiceNo = o.InvoiceNo,
							ListLotNo = o.ListLotNo,
							ListCaseNo = o.ListCaseNo,
							Transport = o.Transport,
							Shop = o.Shop,
							Dock = o.Dock,
							DevanningDate = o.DevanningDate,
							DevanningTime = o.DevanningTime,
							Remark = o.Remark,
							WhLocation = o.WhLocation,
							GateinDate = o.GateinDate,
							GateinTime = o.GateinTime,
							TransitPortReqId = o.TransitPortReqId,
							TransitPortReqDate = o.TransitPortReqDate,
							TransitPortReqTime = o.TransitPortReqTime,
							TransitPortRemark = o.TransitPortRemark,
							Fob = o.Fob,
							Freight = o.Freight,
							Insurance = o.Insurance,
							Cif = o.Cif,
							Tax = o.Tax,
							Amount = o.Amount,
							Status = o.Status,
							LocationCode = o.LocationCode,
							LocationDate = o.LocationDate,
							ReceivingPeriodId = o.ReceivingPeriodId,
							IsActive = o.IsActive,
                        };
            var totalCount = await filtered.CountAsync();
			var paged = system.PageBy(input);
            return new PagedResultDto&lt;InvCkdContainerListDto&gt;(
                totalCount,
                 await paged.ToListAsync()
            );
        }
        public async Task&lt;FileDto&gt; GetContainerListToExcel(InvCkdContainerListExportInput input)
        {
            var query = from o in _repo.GetAll()
                        select new InvCkdContainerListDto
                        {
							Id = o.Id,
							ContainerNo = o.ContainerNo,
							Renban = o.Renban,
							SupplierNo = o.SupplierNo,
							HaisenNo = o.HaisenNo,
							BillOfLadingNo = o.BillOfLadingNo,
							SealNo = o.SealNo,
							CdDate = o.CdDate,
							CdStatus = o.CdStatus,
							ContainerSize = o.ContainerSize,
							ShipmentId = o.ShipmentId,
							ShippingDate = o.ShippingDate,
							PortDate = o.PortDate,
							PortDateActual = o.PortDateActual,
							PortTransitDate = o.PortTransitDate,
							ReceiveDate = o.ReceiveDate,
							RequestId = o.RequestId,
							RequestLotNo = o.RequestLotNo,
							InvoiceNo = o.InvoiceNo,
							ListLotNo = o.ListLotNo,
							ListCaseNo = o.ListCaseNo,
							Transport = o.Transport,
							Shop = o.Shop,
							Dock = o.Dock,
							DevanningDate = o.DevanningDate,
							DevanningTime = o.DevanningTime,
							Remark = o.Remark,
							WhLocation = o.WhLocation,
							GateinDate = o.GateinDate,
							GateinTime = o.GateinTime,
							TransitPortReqId = o.TransitPortReqId,
							TransitPortReqDate = o.TransitPortReqDate,
							TransitPortReqTime = o.TransitPortReqTime,
							TransitPortRemark = o.TransitPortRemark,
							Fob = o.Fob,
							Freight = o.Freight,
							Insurance = o.Insurance,
							Cif = o.Cif,
							Tax = o.Tax,
							Amount = o.Amount,
							Status = o.Status,
							LocationCode = o.LocationCode,
							LocationDate = o.LocationDate,
							ReceivingPeriodId = o.ReceivingPeriodId,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_dapperRepo.ExecuteAsync(InvCkdContainerListConsts.SP_MST_WPT_CALENDAR_GENERATE);
       // }
    }
}</v>
      </c>
      <c r="R7" t="str">
        <f ca="1">SUBSTITUTE(SUBSTITUTE((C1&amp;"namespace "&amp;B6&amp;".Dto"&amp;E3&amp;C3&amp;R3&amp;M54&amp;E3&amp;REPT(CHAR(9),1)&amp;D3&amp;D3),"WorkingPattern",$Q$3),"Master",$B$4)</f>
        <v xml:space="preserve">using Abp.Application.Services.Dto;
using System;
using System.ComponentModel.DataAnnotations;
namespace prod.Inventory.CKD.Dto
{
	public class InvCkdContainerListExportInput{
		public virtual string ContainerNo { get; set; }
		public virtual string Renban { get; set; }
		public virtual string SupplierNo { get; set; }
		public virtual string HaisenNo { get; set; }
		public virtual string BillOfLadingNo { get; set; }
		public virtual string SealNo { get; set; }
		public virtual DateTime? CdDate { get; set; }
		public virtual string CdStatus { get; set; }
		public virtual int? ContainerSize { get; set; }
		public virtual long? ShipmentId { get; set; }
		public virtual DateTime? ShippingDate { get; set; }
		public virtual DateTime? PortDate { get; set; }
		public virtual DateTime? PortDateActual { get; set; }
		public virtual DateTime? PortTransitDate { get; set; }
		public virtual DateTime? ReceiveDate { get; set; }
		public virtual long? RequestId { get; set; }
		public virtual string RequestLotNo { get; set; }
		public virtual string InvoiceNo { get; set; }
		public virtual string ListLotNo { get; set; }
		public virtual string ListCaseNo { get; set; }
		public virtual string Transport { get; set; }
		public virtual string Shop { get; set; }
		public virtual string Dock { get; set; }
		public virtual DateTime? DevanningDate { get; set; }
		public virtual TimeSpan? DevanningTime { get; set; }
		public virtual string Remark { get; set; }
		public virtual string WhLocation { get; set; }
		public virtual DateTime? GateinDate { get; set; }
		public virtual TimeSpan? GateinTime { get; set; }
		public virtual long? TransitPortReqId { get; set; }
		public virtual DateTime? TransitPortReqDate { get; set; }
		public virtual TimeSpan? TransitPortReqTime { get; set; }
		public virtual string TransitPortRemark { get; set; }
		public virtual decimal? Fob { get; set; }
		public virtual decimal? Freight { get; set; }
		public virtual decimal? Insurance { get; set; }
		public virtual decimal? Cif { get; set; }
		public virtual decimal? Tax { get; set; }
		public virtual decimal? Amount { get; set; }
		public virtual string Status { get; set; }
		public virtual string LocationCode { get; set; }
		public virtual DateTime? LocationDate { get; set; }
		public virtual long? ReceivingPeriodId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IInvCkdContainerListExcelExporter : IApplicationService
	{
		FileDto ExportToFile(List&lt;InvCkdContainerListDto&gt; invckdcontainerlist);
	}
}
</v>
      </c>
      <c r="T7" s="26" t="str">
        <f ca="1">SUBSTITUTE(SUBSTITUTE(SUBSTITUTE(SUBSTITUTE(SUBSTITUTE(SUBSTITUTE(SUBSTITUTE(T1,"MstWptCalendar",$B$3),"&lt;PROPERTIES1&gt;",V54),"&lt;PROPERTIES&gt;",T54),"Calendar",$B$5),"calendar",LOWER(B5)),"WorkingPattern",$Q$3),"Master",$B$4)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InvCkdContainerListExcelExporter : NpoiExcelExporterBase, IInvCkdContainerListExcelExporter
    {
        public InvCkdContainerListExcelExporter(ITempFileCacheManager tempFileCacheManager) : base(tempFileCacheManager) { }
        public FileDto ExportToFile(List&lt;InvCkdContainerListDto&gt; containerlist)
        {
            return CreateExcelPackage(
				"InventoryCKDContainerList.xlsx",
				excelPackage =&gt;
				 {
					var sheet = excelPackage.CreateSheet("ContainerList");
					AddHeader(
								sheet,
								("ContainerNo"),
								("Renban"),
								("SupplierNo"),
								("HaisenNo"),
								("BillOfLadingNo"),
								("SealNo"),
								("CdDate"),
								("CdStatus"),
								("ContainerSize"),
								("ShipmentId"),
								("ShippingDate"),
								("PortDate"),
								("PortDateActual"),
								("PortTransitDate"),
								("ReceiveDate"),
								("RequestId"),
								("RequestLotNo"),
								("InvoiceNo"),
								("ListLotNo"),
								("ListCaseNo"),
								("Transport"),
								("Shop"),
								("Dock"),
								("DevanningDate"),
								("DevanningTime"),
								("Remark"),
								("WhLocation"),
								("GateinDate"),
								("GateinTime"),
								("TransitPortReqId"),
								("TransitPortReqDate"),
								("TransitPortReqTime"),
								("TransitPortRemark"),
								("Fob"),
								("Freight"),
								("Insurance"),
								("Cif"),
								("Tax"),
								("Amount"),
								("Status"),
								("LocationCode"),
								("LocationDate"),
								("ReceivingPeriodId"),
								("IsActive"),
							   );
					AddObjects(
						 sheet, 1, containerlist,                                       
								_ =&gt; _.ContainerNo,
								_ =&gt; _.Renban,
								_ =&gt; _.SupplierNo,
								_ =&gt; _.HaisenNo,
								_ =&gt; _.BillOfLadingNo,
								_ =&gt; _.SealNo,
								_ =&gt; _.CdDate,
								_ =&gt; _.CdStatus,
								_ =&gt; _.ContainerSize,
								_ =&gt; _.ShipmentId,
								_ =&gt; _.ShippingDate,
								_ =&gt; _.PortDate,
								_ =&gt; _.PortDateActual,
								_ =&gt; _.PortTransitDate,
								_ =&gt; _.ReceiveDate,
								_ =&gt; _.RequestId,
								_ =&gt; _.RequestLotNo,
								_ =&gt; _.InvoiceNo,
								_ =&gt; _.ListLotNo,
								_ =&gt; _.ListCaseNo,
								_ =&gt; _.Transport,
								_ =&gt; _.Shop,
								_ =&gt; _.Dock,
								_ =&gt; _.DevanningDate,
								_ =&gt; _.DevanningTime,
								_ =&gt; _.Remark,
								_ =&gt; _.WhLocation,
								_ =&gt; _.GateinDate,
								_ =&gt; _.GateinTime,
								_ =&gt; _.TransitPortReqId,
								_ =&gt; _.TransitPortReqDate,
								_ =&gt; _.TransitPortReqTime,
								_ =&gt; _.TransitPortRemark,
								_ =&gt; _.Fob,
								_ =&gt; _.Freight,
								_ =&gt; _.Insurance,
								_ =&gt; _.Cif,
								_ =&gt; _.Tax,
								_ =&gt; _.Amount,
								_ =&gt; _.Status,
								_ =&gt; _.LocationCode,
								_ =&gt; _.LocationDate,
								_ =&gt; _.ReceivingPeriodId,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configuration.CreateMap&lt;InvCkdContainerListDto, InvCkdContainerList&gt;();
  configuration.CreateMap&lt;InvCkdContainerList, InvCkdContainerListDto&gt;();
  configuration.CreateMap&lt;CreateOrEditInvCkdContainerListDto, InvCkdContainerList&gt;();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s="70" t="s">
        <v>363</v>
      </c>
      <c r="B9" t="s">
        <v>364</v>
      </c>
      <c r="C9" t="s">
        <v>1</v>
      </c>
      <c r="D9" t="str">
        <f t="shared" ref="D9" si="0">SUBSTITUTE(PROPER(A9),"_","")</f>
        <v>ContainerNo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15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MaxContainerNoLength = 15;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[StringLength(MaxContainerNoLength)]
		public virtual string ContainerNo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ContainerNo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[StringLength(InvCkdContainerListConsts.MaxContainerNoLength)]
		public virtual string ContainerNo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ContainerNo { get; set; }
</v>
      </c>
      <c r="P9" t="str">
        <f t="shared" ref="P9" si="9">REPT(CHAR(9),7)&amp;D9&amp;" = o." &amp;D9 &amp;","</f>
        <v xml:space="preserve">							ContainerNo = o.ContainerNo,</v>
      </c>
      <c r="T9" s="63" t="str">
        <f t="shared" ref="T9" si="10">REPT(CHAR(9),8)&amp;"("""&amp;D9&amp;"""),"</f>
        <v xml:space="preserve">								("ContainerNo"),</v>
      </c>
      <c r="V9" s="64" t="str">
        <f t="shared" ref="V9" si="11">REPT(CHAR(9),8)&amp;"_ =&gt; _."&amp;D9&amp;","</f>
        <v xml:space="preserve">								_ =&gt; _.ContainerNo,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.WhereIf(!string.IsNullOrWhiteSpace(input.ContainerNo), e =&gt; e.ContainerNo.Contains(input.ContainerNo))</v>
      </c>
    </row>
    <row r="10" spans="1:23" customFormat="1" ht="18.75" customHeight="1" x14ac:dyDescent="0.25">
      <c r="A10" s="70" t="s">
        <v>369</v>
      </c>
      <c r="B10" t="s">
        <v>370</v>
      </c>
      <c r="C10" t="s">
        <v>1</v>
      </c>
      <c r="D10" t="str">
        <f t="shared" ref="D10:D12" si="13">SUBSTITUTE(PROPER(A10),"_","")</f>
        <v>Renban</v>
      </c>
      <c r="E10" t="str">
        <f t="shared" ref="E10:E12" si="14">IFERROR(LEFT(B10, FIND("(",B10)-1),B10)</f>
        <v>VARCHAR</v>
      </c>
      <c r="F10" s="6"/>
      <c r="G10" t="str">
        <f t="shared" ref="G10:G12" si="15">IFERROR(MID(B10,FIND("(",B10) +1, FIND(")",B10) - FIND("(",B10) - 1),"")</f>
        <v>6</v>
      </c>
      <c r="H10" t="str">
        <f>+VLOOKUP(E10,'Data Type Mapping'!A:B,2,)</f>
        <v>string</v>
      </c>
      <c r="I10" t="str">
        <f t="shared" ref="I10:I12" si="16">IF(H10="string",REPT(CHAR(9),2)&amp;"public const int Max"&amp;D10&amp;"Length = "&amp;G10&amp;";"&amp;$E$3,"" )</f>
        <v xml:space="preserve">		public const int MaxRenbanLength = 6;
</v>
      </c>
      <c r="J10" t="str">
        <f t="shared" ref="J10:J12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[StringLength(MaxRenbanLength)]
		public virtual string Renban { get; set; }
</v>
      </c>
      <c r="K10" s="6"/>
      <c r="L10" t="str">
        <f t="shared" ref="L10:L12" si="18">IF(K10="","",REPT(CHAR(9),1)&amp;"[Index(nameof("&amp;IF(D10="","",""&amp;D10)&amp;")"&amp;", Name="&amp;"""IX_"&amp;$B$7&amp;"_"&amp;D10&amp;""")]")</f>
        <v/>
      </c>
      <c r="M10" t="str">
        <f t="shared" ref="M10:M12" si="19">REPT(CHAR(9),2)&amp;"public virtual "&amp;IF(OR(H10="DateTime",H10="TimeSpan"),H10&amp;"?",H10)&amp;IF(C10="?","? "," ")&amp;D10&amp;" { get; set; }" &amp; "
"</f>
        <v xml:space="preserve">		public virtual string Renban { get; set; }
</v>
      </c>
      <c r="N10" t="str">
        <f t="shared" ref="N10:N12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[StringLength(InvCkdContainerListConsts.MaxRenbanLength)]
		public virtual string Renban { get; set; }
</v>
      </c>
      <c r="O10" t="str">
        <f t="shared" ref="O10:O12" si="21">IF(OR(H10="string",H10="DateTime",H10="int"),REPT(CHAR(9),2)&amp;"public virtual "&amp;IF(OR(H10="DateTime",H10="TimeSpan"),H10&amp;"?",H10)&amp;IF(C10="?","? "," ")&amp;D10&amp;" { get; set; }"&amp;$E$3,"")</f>
        <v xml:space="preserve">		public virtual string Renban { get; set; }
</v>
      </c>
      <c r="P10" t="str">
        <f t="shared" ref="P10:P12" si="22">REPT(CHAR(9),7)&amp;D10&amp;" = o." &amp;D10 &amp;","</f>
        <v xml:space="preserve">							Renban = o.Renban,</v>
      </c>
      <c r="T10" s="63" t="str">
        <f t="shared" ref="T10:T12" si="23">REPT(CHAR(9),8)&amp;"("""&amp;D10&amp;"""),"</f>
        <v xml:space="preserve">								("Renban"),</v>
      </c>
      <c r="V10" s="64" t="str">
        <f t="shared" ref="V10:V12" si="24">REPT(CHAR(9),8)&amp;"_ =&gt; _."&amp;D10&amp;","</f>
        <v xml:space="preserve">								_ =&gt; _.Renban,</v>
      </c>
      <c r="W10" s="63" t="str">
        <f t="shared" ref="W10:W12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.WhereIf(!string.IsNullOrWhiteSpace(input.Renban), e =&gt; e.Renban.Contains(input.Renban))</v>
      </c>
    </row>
    <row r="11" spans="1:23" customFormat="1" ht="18.75" customHeight="1" x14ac:dyDescent="0.25">
      <c r="A11" s="70" t="s">
        <v>355</v>
      </c>
      <c r="B11" t="s">
        <v>362</v>
      </c>
      <c r="C11" t="s">
        <v>1</v>
      </c>
      <c r="D11" t="str">
        <f t="shared" si="13"/>
        <v>SupplierNo</v>
      </c>
      <c r="E11" t="str">
        <f t="shared" si="14"/>
        <v>VARCHAR</v>
      </c>
      <c r="F11" s="6"/>
      <c r="G11" t="str">
        <f t="shared" si="15"/>
        <v>10</v>
      </c>
      <c r="H11" t="str">
        <f>+VLOOKUP(E11,'Data Type Mapping'!A:B,2,)</f>
        <v>string</v>
      </c>
      <c r="I11" t="str">
        <f t="shared" si="16"/>
        <v xml:space="preserve">		public const int MaxSupplierNoLength = 10;
</v>
      </c>
      <c r="J11" t="str">
        <f t="shared" si="17"/>
        <v xml:space="preserve">		[StringLength(MaxSupplierNoLength)]
		public virtual string SupplierNo { get; set; }
</v>
      </c>
      <c r="K11" s="6"/>
      <c r="L11" t="str">
        <f t="shared" si="18"/>
        <v/>
      </c>
      <c r="M11" t="str">
        <f t="shared" si="19"/>
        <v xml:space="preserve">		public virtual string SupplierNo { get; set; }
</v>
      </c>
      <c r="N11" t="str">
        <f t="shared" si="20"/>
        <v xml:space="preserve">		[StringLength(InvCkdContainerListConsts.MaxSupplierNoLength)]
		public virtual string SupplierNo { get; set; }
</v>
      </c>
      <c r="O11" t="str">
        <f t="shared" si="21"/>
        <v xml:space="preserve">		public virtual string SupplierNo { get; set; }
</v>
      </c>
      <c r="P11" t="str">
        <f t="shared" si="22"/>
        <v xml:space="preserve">							SupplierNo = o.SupplierNo,</v>
      </c>
      <c r="T11" s="63" t="str">
        <f t="shared" si="23"/>
        <v xml:space="preserve">								("SupplierNo"),</v>
      </c>
      <c r="V11" s="64" t="str">
        <f t="shared" si="24"/>
        <v xml:space="preserve">								_ =&gt; _.SupplierNo,</v>
      </c>
      <c r="W11" s="63" t="str">
        <f t="shared" si="25"/>
        <v xml:space="preserve">				.WhereIf(!string.IsNullOrWhiteSpace(input.SupplierNo), e =&gt; e.SupplierNo.Contains(input.SupplierNo))</v>
      </c>
    </row>
    <row r="12" spans="1:23" customFormat="1" ht="18.75" customHeight="1" x14ac:dyDescent="0.25">
      <c r="A12" s="70" t="s">
        <v>413</v>
      </c>
      <c r="B12" t="s">
        <v>362</v>
      </c>
      <c r="C12" t="s">
        <v>1</v>
      </c>
      <c r="D12" t="str">
        <f t="shared" si="13"/>
        <v>HaisenNo</v>
      </c>
      <c r="E12" t="str">
        <f t="shared" si="14"/>
        <v>VARCHAR</v>
      </c>
      <c r="F12" s="6"/>
      <c r="G12" t="str">
        <f t="shared" si="15"/>
        <v>10</v>
      </c>
      <c r="H12" t="str">
        <f>+VLOOKUP(E12,'Data Type Mapping'!A:B,2,)</f>
        <v>string</v>
      </c>
      <c r="I12" t="str">
        <f t="shared" si="16"/>
        <v xml:space="preserve">		public const int MaxHaisenNoLength = 10;
</v>
      </c>
      <c r="J12" t="str">
        <f t="shared" si="17"/>
        <v xml:space="preserve">		[StringLength(MaxHaisenNoLength)]
		public virtual string HaisenNo { get; set; }
</v>
      </c>
      <c r="K12" s="6"/>
      <c r="L12" t="str">
        <f t="shared" si="18"/>
        <v/>
      </c>
      <c r="M12" t="str">
        <f t="shared" si="19"/>
        <v xml:space="preserve">		public virtual string HaisenNo { get; set; }
</v>
      </c>
      <c r="N12" t="str">
        <f t="shared" si="20"/>
        <v xml:space="preserve">		[StringLength(InvCkdContainerListConsts.MaxHaisenNoLength)]
		public virtual string HaisenNo { get; set; }
</v>
      </c>
      <c r="O12" t="str">
        <f t="shared" si="21"/>
        <v xml:space="preserve">		public virtual string HaisenNo { get; set; }
</v>
      </c>
      <c r="P12" t="str">
        <f t="shared" si="22"/>
        <v xml:space="preserve">							HaisenNo = o.HaisenNo,</v>
      </c>
      <c r="T12" s="63" t="str">
        <f t="shared" si="23"/>
        <v xml:space="preserve">								("HaisenNo"),</v>
      </c>
      <c r="V12" s="64" t="str">
        <f t="shared" si="24"/>
        <v xml:space="preserve">								_ =&gt; _.HaisenNo,</v>
      </c>
      <c r="W12" s="63" t="str">
        <f t="shared" si="25"/>
        <v xml:space="preserve">				.WhereIf(!string.IsNullOrWhiteSpace(input.HaisenNo), e =&gt; e.HaisenNo.Contains(input.HaisenNo))</v>
      </c>
    </row>
    <row r="13" spans="1:23" customFormat="1" ht="18.75" customHeight="1" x14ac:dyDescent="0.25">
      <c r="A13" s="70" t="s">
        <v>377</v>
      </c>
      <c r="B13" t="s">
        <v>378</v>
      </c>
      <c r="C13" t="s">
        <v>1</v>
      </c>
      <c r="D13" t="str">
        <f t="shared" ref="D13" si="26">SUBSTITUTE(PROPER(A13),"_","")</f>
        <v>BillOfLadingNo</v>
      </c>
      <c r="E13" t="str">
        <f t="shared" ref="E13" si="27">IFERROR(LEFT(B13, FIND("(",B13)-1),B13)</f>
        <v>VARCHAR</v>
      </c>
      <c r="F13" s="6"/>
      <c r="G13" t="str">
        <f t="shared" ref="G13" si="28">IFERROR(MID(B13,FIND("(",B13) +1, FIND(")",B13) - FIND("(",B13) - 1),"")</f>
        <v>20</v>
      </c>
      <c r="H13" t="str">
        <f>+VLOOKUP(E13,'Data Type Mapping'!A:B,2,)</f>
        <v>string</v>
      </c>
      <c r="I13" t="str">
        <f t="shared" ref="I13" si="29">IF(H13="string",REPT(CHAR(9),2)&amp;"public const int Max"&amp;D13&amp;"Length = "&amp;G13&amp;";"&amp;$E$3,"" )</f>
        <v xml:space="preserve">		public const int MaxBillOfLadingNoLength = 20;
</v>
      </c>
      <c r="J13" t="str">
        <f t="shared" ref="J13" si="30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[StringLength(MaxBillOfLadingNoLength)]
		public virtual string BillOfLadingNo { get; set; }
</v>
      </c>
      <c r="K13" s="6"/>
      <c r="L13" t="str">
        <f t="shared" ref="L13" si="31">IF(K13="","",REPT(CHAR(9),1)&amp;"[Index(nameof("&amp;IF(D13="","",""&amp;D13)&amp;")"&amp;", Name="&amp;"""IX_"&amp;$B$7&amp;"_"&amp;D13&amp;""")]")</f>
        <v/>
      </c>
      <c r="M13" t="str">
        <f t="shared" ref="M13" si="32">REPT(CHAR(9),2)&amp;"public virtual "&amp;IF(OR(H13="DateTime",H13="TimeSpan"),H13&amp;"?",H13)&amp;IF(C13="?","? "," ")&amp;D13&amp;" { get; set; }" &amp; "
"</f>
        <v xml:space="preserve">		public virtual string BillOfLadingNo { get; set; }
</v>
      </c>
      <c r="N13" t="str">
        <f t="shared" ref="N13" si="33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[StringLength(InvCkdContainerListConsts.MaxBillOfLadingNoLength)]
		public virtual string BillOfLadingNo { get; set; }
</v>
      </c>
      <c r="O13" t="str">
        <f t="shared" ref="O13" si="34">IF(OR(H13="string",H13="DateTime",H13="int"),REPT(CHAR(9),2)&amp;"public virtual "&amp;IF(OR(H13="DateTime",H13="TimeSpan"),H13&amp;"?",H13)&amp;IF(C13="?","? "," ")&amp;D13&amp;" { get; set; }"&amp;$E$3,"")</f>
        <v xml:space="preserve">		public virtual string BillOfLadingNo { get; set; }
</v>
      </c>
      <c r="P13" t="str">
        <f t="shared" ref="P13" si="35">REPT(CHAR(9),7)&amp;D13&amp;" = o." &amp;D13 &amp;","</f>
        <v xml:space="preserve">							BillOfLadingNo = o.BillOfLadingNo,</v>
      </c>
      <c r="T13" s="63" t="str">
        <f t="shared" ref="T13" si="36">REPT(CHAR(9),8)&amp;"("""&amp;D13&amp;"""),"</f>
        <v xml:space="preserve">								("BillOfLadingNo"),</v>
      </c>
      <c r="V13" s="64" t="str">
        <f t="shared" ref="V13" si="37">REPT(CHAR(9),8)&amp;"_ =&gt; _."&amp;D13&amp;","</f>
        <v xml:space="preserve">								_ =&gt; _.BillOfLadingNo,</v>
      </c>
      <c r="W13" s="63" t="str">
        <f t="shared" ref="W13" si="38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.WhereIf(!string.IsNullOrWhiteSpace(input.BillOfLadingNo), e =&gt; e.BillOfLadingNo.Contains(input.BillOfLadingNo))</v>
      </c>
    </row>
    <row r="14" spans="1:23" customFormat="1" ht="18.75" customHeight="1" x14ac:dyDescent="0.25">
      <c r="A14" s="70" t="s">
        <v>379</v>
      </c>
      <c r="B14" t="s">
        <v>378</v>
      </c>
      <c r="C14" t="s">
        <v>1</v>
      </c>
      <c r="D14" t="str">
        <f>SUBSTITUTE(PROPER(A14),"_","")</f>
        <v>SealNo</v>
      </c>
      <c r="E14" t="str">
        <f>IFERROR(LEFT(B14, FIND("(",B14)-1),B14)</f>
        <v>VARCHAR</v>
      </c>
      <c r="F14" s="6"/>
      <c r="G14" t="str">
        <f>IFERROR(MID(B14,FIND("(",B14) +1, FIND(")",B14) - FIND("(",B14) - 1),"")</f>
        <v>20</v>
      </c>
      <c r="H14" t="str">
        <f>+VLOOKUP(E14,'Data Type Mapping'!A:B,2,)</f>
        <v>string</v>
      </c>
      <c r="I14" t="str">
        <f>IF(H14="string",REPT(CHAR(9),2)&amp;"public const int Max"&amp;D14&amp;"Length = "&amp;G14&amp;";"&amp;$E$3,"" )</f>
        <v xml:space="preserve">		public const int MaxSealNoLength = 20;
</v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[StringLength(MaxSealNoLength)]
		public virtual string SealNo { get; set; }
</v>
      </c>
      <c r="K14" s="6"/>
      <c r="L14" t="str">
        <f>IF(K14="","",REPT(CHAR(9),1)&amp;"[Index(nameof("&amp;IF(D14="","",""&amp;D14)&amp;")"&amp;", Name="&amp;"""IX_"&amp;$B$7&amp;"_"&amp;D14&amp;""")]")</f>
        <v/>
      </c>
      <c r="M14" t="str">
        <f>REPT(CHAR(9),2)&amp;"public virtual "&amp;IF(OR(H14="DateTime",H14="TimeSpan"),H14&amp;"?",H14)&amp;IF(C14="?","? "," ")&amp;D14&amp;" { get; set; }" &amp; "
"</f>
        <v xml:space="preserve">		public virtual string SealNo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[StringLength(InvCkdContainerListConsts.MaxSealNoLength)]
		public virtual string SealNo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 xml:space="preserve">		public virtual string SealNo { get; set; }
</v>
      </c>
      <c r="P14" t="str">
        <f>REPT(CHAR(9),7)&amp;D14&amp;" = o." &amp;D14 &amp;","</f>
        <v xml:space="preserve">							SealNo = o.SealNo,</v>
      </c>
      <c r="T14" s="63" t="str">
        <f>REPT(CHAR(9),8)&amp;"("""&amp;D14&amp;"""),"</f>
        <v xml:space="preserve">								("SealNo"),</v>
      </c>
      <c r="V14" s="64" t="str">
        <f>REPT(CHAR(9),8)&amp;"_ =&gt; _."&amp;D14&amp;","</f>
        <v xml:space="preserve">								_ =&gt; _.SealNo,</v>
      </c>
      <c r="W14" s="63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.WhereIf(!string.IsNullOrWhiteSpace(input.SealNo), e =&gt; e.SealNo.Contains(input.SealNo))</v>
      </c>
    </row>
    <row r="15" spans="1:23" customFormat="1" ht="18.75" customHeight="1" x14ac:dyDescent="0.25">
      <c r="A15" s="70" t="s">
        <v>396</v>
      </c>
      <c r="B15" t="s">
        <v>367</v>
      </c>
      <c r="C15" t="s">
        <v>1</v>
      </c>
      <c r="D15" t="str">
        <f>SUBSTITUTE(PROPER(A15),"_","")</f>
        <v>CdDate</v>
      </c>
      <c r="E15" t="str">
        <f>IFERROR(LEFT(B15, FIND("(",B15)-1),B15)</f>
        <v>DATE</v>
      </c>
      <c r="F15" s="6"/>
      <c r="G15" t="str">
        <f>IFERROR(MID(B15,FIND("(",B15) +1, FIND(")",B15) - FIND("(",B15) - 1),"")</f>
        <v/>
      </c>
      <c r="H15" t="str">
        <f>+VLOOKUP(E15,'Data Type Mapping'!A:B,2,)</f>
        <v>DateTime?</v>
      </c>
      <c r="I15" t="str">
        <f>IF(H15="string",REPT(CHAR(9),2)&amp;"public const int Max"&amp;D15&amp;"Length = "&amp;G15&amp;";"&amp;$E$3,"" )</f>
        <v/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DateTime? CdDate { get; set; }
</v>
      </c>
      <c r="K15" s="6"/>
      <c r="L15" t="str">
        <f>IF(K15="","",REPT(CHAR(9),1)&amp;"[Index(nameof("&amp;IF(D15="","",""&amp;D15)&amp;")"&amp;", Name="&amp;"""IX_"&amp;$B$7&amp;"_"&amp;D15&amp;""")]")</f>
        <v/>
      </c>
      <c r="M15" t="str">
        <f>REPT(CHAR(9),2)&amp;"public virtual "&amp;IF(OR(H15="DateTime",H15="TimeSpan"),H15&amp;"?",H15)&amp;IF(C15="?","? "," ")&amp;D15&amp;" { get; set; }" &amp; "
"</f>
        <v xml:space="preserve">		public virtual DateTime? CdDate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DateTime? CdDate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/>
      </c>
      <c r="P15" t="str">
        <f>REPT(CHAR(9),7)&amp;D15&amp;" = o." &amp;D15 &amp;","</f>
        <v xml:space="preserve">							CdDate = o.CdDate,</v>
      </c>
      <c r="T15" s="63" t="str">
        <f>REPT(CHAR(9),8)&amp;"("""&amp;D15&amp;"""),"</f>
        <v xml:space="preserve">								("CdDate"),</v>
      </c>
      <c r="V15" s="64" t="str">
        <f>REPT(CHAR(9),8)&amp;"_ =&gt; _."&amp;D15&amp;","</f>
        <v xml:space="preserve">								_ =&gt; _.CdDate,</v>
      </c>
      <c r="W15" s="63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s="70" t="s">
        <v>412</v>
      </c>
      <c r="B16" t="s">
        <v>378</v>
      </c>
      <c r="C16" t="s">
        <v>1</v>
      </c>
      <c r="D16" t="str">
        <f t="shared" ref="D16" si="39">SUBSTITUTE(PROPER(A16),"_","")</f>
        <v>CdStatus</v>
      </c>
      <c r="E16" t="str">
        <f t="shared" ref="E16" si="40">IFERROR(LEFT(B16, FIND("(",B16)-1),B16)</f>
        <v>VARCHAR</v>
      </c>
      <c r="F16" s="6"/>
      <c r="G16" t="str">
        <f t="shared" ref="G16" si="41">IFERROR(MID(B16,FIND("(",B16) +1, FIND(")",B16) - FIND("(",B16) - 1),"")</f>
        <v>20</v>
      </c>
      <c r="H16" t="str">
        <f>+VLOOKUP(E16,'Data Type Mapping'!A:B,2,)</f>
        <v>string</v>
      </c>
      <c r="I16" t="str">
        <f t="shared" ref="I16" si="42">IF(H16="string",REPT(CHAR(9),2)&amp;"public const int Max"&amp;D16&amp;"Length = "&amp;G16&amp;";"&amp;$E$3,"" )</f>
        <v xml:space="preserve">		public const int MaxCdStatusLength = 20;
</v>
      </c>
      <c r="J16" t="str">
        <f t="shared" ref="J16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[StringLength(MaxCdStatusLength)]
		public virtual string CdStatus { get; set; }
</v>
      </c>
      <c r="K16" s="6"/>
      <c r="L16" t="str">
        <f t="shared" ref="L16" si="44">IF(K16="","",REPT(CHAR(9),1)&amp;"[Index(nameof("&amp;IF(D16="","",""&amp;D16)&amp;")"&amp;", Name="&amp;"""IX_"&amp;$B$7&amp;"_"&amp;D16&amp;""")]")</f>
        <v/>
      </c>
      <c r="M16" t="str">
        <f t="shared" ref="M16" si="45">REPT(CHAR(9),2)&amp;"public virtual "&amp;IF(OR(H16="DateTime",H16="TimeSpan"),H16&amp;"?",H16)&amp;IF(C16="?","? "," ")&amp;D16&amp;" { get; set; }" &amp; "
"</f>
        <v xml:space="preserve">		public virtual string CdStatus { get; set; }
</v>
      </c>
      <c r="N16" t="str">
        <f t="shared" ref="N16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[StringLength(InvCkdContainerListConsts.MaxCdStatusLength)]
		public virtual string CdStatus { get; set; }
</v>
      </c>
      <c r="O16" t="str">
        <f t="shared" ref="O16" si="47">IF(OR(H16="string",H16="DateTime",H16="int"),REPT(CHAR(9),2)&amp;"public virtual "&amp;IF(OR(H16="DateTime",H16="TimeSpan"),H16&amp;"?",H16)&amp;IF(C16="?","? "," ")&amp;D16&amp;" { get; set; }"&amp;$E$3,"")</f>
        <v xml:space="preserve">		public virtual string CdStatus { get; set; }
</v>
      </c>
      <c r="P16" t="str">
        <f t="shared" ref="P16" si="48">REPT(CHAR(9),7)&amp;D16&amp;" = o." &amp;D16 &amp;","</f>
        <v xml:space="preserve">							CdStatus = o.CdStatus,</v>
      </c>
      <c r="T16" s="63" t="str">
        <f t="shared" ref="T16" si="49">REPT(CHAR(9),8)&amp;"("""&amp;D16&amp;"""),"</f>
        <v xml:space="preserve">								("CdStatus"),</v>
      </c>
      <c r="V16" s="64" t="str">
        <f t="shared" ref="V16" si="50">REPT(CHAR(9),8)&amp;"_ =&gt; _."&amp;D16&amp;","</f>
        <v xml:space="preserve">								_ =&gt; _.CdStatus,</v>
      </c>
      <c r="W16" s="63" t="str">
        <f t="shared" ref="W16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.WhereIf(!string.IsNullOrWhiteSpace(input.CdStatus), e =&gt; e.CdStatus.Contains(input.CdStatus))</v>
      </c>
    </row>
    <row r="17" spans="1:23" customFormat="1" ht="18.75" customHeight="1" x14ac:dyDescent="0.25">
      <c r="A17" s="70" t="s">
        <v>397</v>
      </c>
      <c r="B17" t="s">
        <v>402</v>
      </c>
      <c r="C17" t="s">
        <v>1</v>
      </c>
      <c r="D17" t="str">
        <f t="shared" ref="D17" si="52">SUBSTITUTE(PROPER(A17),"_","")</f>
        <v>ContainerSize</v>
      </c>
      <c r="E17" t="str">
        <f t="shared" ref="E17" si="53">IFERROR(LEFT(B17, FIND("(",B17)-1),B17)</f>
        <v>INT</v>
      </c>
      <c r="F17" s="6"/>
      <c r="G17" t="str">
        <f t="shared" ref="G17" si="54">IFERROR(MID(B17,FIND("(",B17) +1, FIND(")",B17) - FIND("(",B17) - 1),"")</f>
        <v/>
      </c>
      <c r="H17" t="str">
        <f>+VLOOKUP(E17,'[1]Data Type Mapping'!A:B,2,)</f>
        <v>int?</v>
      </c>
      <c r="I17" t="str">
        <f t="shared" ref="I17" si="55">IF(H17="string",REPT(CHAR(9),2)&amp;"public const int Max"&amp;D17&amp;"Length = "&amp;G17&amp;";"&amp;$E$3,"" )</f>
        <v/>
      </c>
      <c r="J17" t="str">
        <f t="shared" ref="J17" si="56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int? ContainerSize { get; set; }
</v>
      </c>
      <c r="K17" s="6"/>
      <c r="L17" t="str">
        <f t="shared" ref="L17" si="57">IF(K17="","",REPT(CHAR(9),1)&amp;"[Index(nameof("&amp;IF(D17="","",""&amp;D17)&amp;")"&amp;", Name="&amp;"""IX_"&amp;$B$7&amp;"_"&amp;D17&amp;""")]")</f>
        <v/>
      </c>
      <c r="M17" t="str">
        <f t="shared" ref="M17" si="58">REPT(CHAR(9),2)&amp;"public virtual "&amp;IF(OR(H17="DateTime",H17="TimeSpan"),H17&amp;"?",H17)&amp;IF(C17="?","? "," ")&amp;D17&amp;" { get; set; }" &amp; "
"</f>
        <v xml:space="preserve">		public virtual int? ContainerSize { get; set; }
</v>
      </c>
      <c r="N17" t="str">
        <f t="shared" ref="N17" si="59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int? ContainerSize { get; set; }
</v>
      </c>
      <c r="O17" t="str">
        <f t="shared" ref="O17" si="60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" si="61">REPT(CHAR(9),7)&amp;D17&amp;" = o." &amp;D17 &amp;","</f>
        <v xml:space="preserve">							ContainerSize = o.ContainerSize,</v>
      </c>
      <c r="T17" s="63" t="str">
        <f t="shared" ref="T17" si="62">REPT(CHAR(9),8)&amp;"("""&amp;D17&amp;"""),"</f>
        <v xml:space="preserve">								("ContainerSize"),</v>
      </c>
      <c r="V17" s="64" t="str">
        <f t="shared" ref="V17" si="63">REPT(CHAR(9),8)&amp;"_ =&gt; _."&amp;D17&amp;","</f>
        <v xml:space="preserve">								_ =&gt; _.ContainerSize,</v>
      </c>
      <c r="W17" s="63" t="str">
        <f t="shared" ref="W17" si="64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25">
      <c r="A18" s="70" t="s">
        <v>384</v>
      </c>
      <c r="B18" t="s">
        <v>387</v>
      </c>
      <c r="C18" t="s">
        <v>1</v>
      </c>
      <c r="D18" t="str">
        <f t="shared" ref="D18" si="65">SUBSTITUTE(PROPER(A18),"_","")</f>
        <v>ShipmentId</v>
      </c>
      <c r="E18" t="str">
        <f t="shared" ref="E18" si="66">IFERROR(LEFT(B18, FIND("(",B18)-1),B18)</f>
        <v>BIGINT</v>
      </c>
      <c r="F18" s="6"/>
      <c r="G18" t="str">
        <f t="shared" ref="G18" si="67">IFERROR(MID(B18,FIND("(",B18) +1, FIND(")",B18) - FIND("(",B18) - 1),"")</f>
        <v/>
      </c>
      <c r="H18" t="str">
        <f>+VLOOKUP(E18,'Data Type Mapping'!A:B,2,)</f>
        <v>long?</v>
      </c>
      <c r="I18" t="str">
        <f t="shared" ref="I18" si="68">IF(H18="string",REPT(CHAR(9),2)&amp;"public const int Max"&amp;D18&amp;"Length = "&amp;G18&amp;";"&amp;$E$3,"" )</f>
        <v/>
      </c>
      <c r="J18" t="str">
        <f t="shared" ref="J18" si="69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long? ShipmentId { get; set; }
</v>
      </c>
      <c r="K18" s="6"/>
      <c r="L18" t="str">
        <f t="shared" ref="L18" si="70">IF(K18="","",REPT(CHAR(9),1)&amp;"[Index(nameof("&amp;IF(D18="","",""&amp;D18)&amp;")"&amp;", Name="&amp;"""IX_"&amp;$B$7&amp;"_"&amp;D18&amp;""")]")</f>
        <v/>
      </c>
      <c r="M18" t="str">
        <f t="shared" ref="M18" si="71">REPT(CHAR(9),2)&amp;"public virtual "&amp;IF(OR(H18="DateTime",H18="TimeSpan"),H18&amp;"?",H18)&amp;IF(C18="?","? "," ")&amp;D18&amp;" { get; set; }" &amp; "
"</f>
        <v xml:space="preserve">		public virtual long? ShipmentId { get; set; }
</v>
      </c>
      <c r="N18" t="str">
        <f t="shared" ref="N18" si="72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long? ShipmentId { get; set; }
</v>
      </c>
      <c r="O18" t="str">
        <f t="shared" ref="O18" si="73">IF(OR(H18="string",H18="DateTime",H18="int"),REPT(CHAR(9),2)&amp;"public virtual "&amp;IF(OR(H18="DateTime",H18="TimeSpan"),H18&amp;"?",H18)&amp;IF(C18="?","? "," ")&amp;D18&amp;" { get; set; }"&amp;$E$3,"")</f>
        <v/>
      </c>
      <c r="P18" t="str">
        <f t="shared" ref="P18" si="74">REPT(CHAR(9),7)&amp;D18&amp;" = o." &amp;D18 &amp;","</f>
        <v xml:space="preserve">							ShipmentId = o.ShipmentId,</v>
      </c>
      <c r="T18" s="63" t="str">
        <f t="shared" ref="T18" si="75">REPT(CHAR(9),8)&amp;"("""&amp;D18&amp;"""),"</f>
        <v xml:space="preserve">								("ShipmentId"),</v>
      </c>
      <c r="V18" s="64" t="str">
        <f t="shared" ref="V18" si="76">REPT(CHAR(9),8)&amp;"_ =&gt; _."&amp;D18&amp;","</f>
        <v xml:space="preserve">								_ =&gt; _.ShipmentId,</v>
      </c>
      <c r="W18" s="63" t="str">
        <f t="shared" ref="W18" si="77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18.75" customHeight="1" x14ac:dyDescent="0.25">
      <c r="A19" s="70" t="s">
        <v>371</v>
      </c>
      <c r="B19" t="s">
        <v>367</v>
      </c>
      <c r="C19" t="s">
        <v>1</v>
      </c>
      <c r="D19" t="str">
        <f t="shared" ref="D19:D22" si="78">SUBSTITUTE(PROPER(A19),"_","")</f>
        <v>ShippingDate</v>
      </c>
      <c r="E19" t="str">
        <f t="shared" ref="E19:E22" si="79">IFERROR(LEFT(B19, FIND("(",B19)-1),B19)</f>
        <v>DATE</v>
      </c>
      <c r="F19" s="6"/>
      <c r="G19" t="str">
        <f t="shared" ref="G19:G22" si="80">IFERROR(MID(B19,FIND("(",B19) +1, FIND(")",B19) - FIND("(",B19) - 1),"")</f>
        <v/>
      </c>
      <c r="H19" t="str">
        <f>+VLOOKUP(E19,'Data Type Mapping'!A:B,2,)</f>
        <v>DateTime?</v>
      </c>
      <c r="I19" t="str">
        <f t="shared" ref="I19:I22" si="81">IF(H19="string",REPT(CHAR(9),2)&amp;"public const int Max"&amp;D19&amp;"Length = "&amp;G19&amp;";"&amp;$E$3,"" )</f>
        <v/>
      </c>
      <c r="J19" t="str">
        <f t="shared" ref="J19:J22" si="82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DateTime? ShippingDate { get; set; }
</v>
      </c>
      <c r="K19" s="6"/>
      <c r="L19" t="str">
        <f t="shared" ref="L19:L22" si="83">IF(K19="","",REPT(CHAR(9),1)&amp;"[Index(nameof("&amp;IF(D19="","",""&amp;D19)&amp;")"&amp;", Name="&amp;"""IX_"&amp;$B$7&amp;"_"&amp;D19&amp;""")]")</f>
        <v/>
      </c>
      <c r="M19" t="str">
        <f t="shared" ref="M19:M22" si="84">REPT(CHAR(9),2)&amp;"public virtual "&amp;IF(OR(H19="DateTime",H19="TimeSpan"),H19&amp;"?",H19)&amp;IF(C19="?","? "," ")&amp;D19&amp;" { get; set; }" &amp; "
"</f>
        <v xml:space="preserve">		public virtual DateTime? ShippingDate { get; set; }
</v>
      </c>
      <c r="N19" t="str">
        <f t="shared" ref="N19:N22" si="85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DateTime? ShippingDate { get; set; }
</v>
      </c>
      <c r="O19" t="str">
        <f t="shared" ref="O19:O22" si="86">IF(OR(H19="string",H19="DateTime",H19="int"),REPT(CHAR(9),2)&amp;"public virtual "&amp;IF(OR(H19="DateTime",H19="TimeSpan"),H19&amp;"?",H19)&amp;IF(C19="?","? "," ")&amp;D19&amp;" { get; set; }"&amp;$E$3,"")</f>
        <v/>
      </c>
      <c r="P19" t="str">
        <f t="shared" ref="P19:P22" si="87">REPT(CHAR(9),7)&amp;D19&amp;" = o." &amp;D19 &amp;","</f>
        <v xml:space="preserve">							ShippingDate = o.ShippingDate,</v>
      </c>
      <c r="T19" s="63" t="str">
        <f t="shared" ref="T19:T22" si="88">REPT(CHAR(9),8)&amp;"("""&amp;D19&amp;"""),"</f>
        <v xml:space="preserve">								("ShippingDate"),</v>
      </c>
      <c r="V19" s="64" t="str">
        <f t="shared" ref="V19:V22" si="89">REPT(CHAR(9),8)&amp;"_ =&gt; _."&amp;D19&amp;","</f>
        <v xml:space="preserve">								_ =&gt; _.ShippingDate,</v>
      </c>
      <c r="W19" s="63" t="str">
        <f t="shared" ref="W19:W22" si="90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0" spans="1:23" customFormat="1" ht="18.75" customHeight="1" x14ac:dyDescent="0.25">
      <c r="A20" s="70" t="s">
        <v>372</v>
      </c>
      <c r="B20" t="s">
        <v>367</v>
      </c>
      <c r="C20" t="s">
        <v>1</v>
      </c>
      <c r="D20" t="str">
        <f t="shared" ref="D20" si="91">SUBSTITUTE(PROPER(A20),"_","")</f>
        <v>PortDate</v>
      </c>
      <c r="E20" t="str">
        <f t="shared" ref="E20" si="92">IFERROR(LEFT(B20, FIND("(",B20)-1),B20)</f>
        <v>DATE</v>
      </c>
      <c r="F20" s="6"/>
      <c r="G20" t="str">
        <f t="shared" ref="G20" si="93">IFERROR(MID(B20,FIND("(",B20) +1, FIND(")",B20) - FIND("(",B20) - 1),"")</f>
        <v/>
      </c>
      <c r="H20" t="str">
        <f>+VLOOKUP(E20,'Data Type Mapping'!A:B,2,)</f>
        <v>DateTime?</v>
      </c>
      <c r="I20" t="str">
        <f t="shared" ref="I20" si="94">IF(H20="string",REPT(CHAR(9),2)&amp;"public const int Max"&amp;D20&amp;"Length = "&amp;G20&amp;";"&amp;$E$3,"" )</f>
        <v/>
      </c>
      <c r="J20" t="str">
        <f t="shared" ref="J20" si="95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public virtual DateTime? PortDate { get; set; }
</v>
      </c>
      <c r="K20" s="6"/>
      <c r="L20" t="str">
        <f t="shared" ref="L20" si="96">IF(K20="","",REPT(CHAR(9),1)&amp;"[Index(nameof("&amp;IF(D20="","",""&amp;D20)&amp;")"&amp;", Name="&amp;"""IX_"&amp;$B$7&amp;"_"&amp;D20&amp;""")]")</f>
        <v/>
      </c>
      <c r="M20" t="str">
        <f t="shared" ref="M20" si="97">REPT(CHAR(9),2)&amp;"public virtual "&amp;IF(OR(H20="DateTime",H20="TimeSpan"),H20&amp;"?",H20)&amp;IF(C20="?","? "," ")&amp;D20&amp;" { get; set; }" &amp; "
"</f>
        <v xml:space="preserve">		public virtual DateTime? PortDate { get; set; }
</v>
      </c>
      <c r="N20" t="str">
        <f t="shared" ref="N20" si="98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DateTime? PortDate { get; set; }
</v>
      </c>
      <c r="O20" t="str">
        <f t="shared" ref="O20" si="99">IF(OR(H20="string",H20="DateTime",H20="int"),REPT(CHAR(9),2)&amp;"public virtual "&amp;IF(OR(H20="DateTime",H20="TimeSpan"),H20&amp;"?",H20)&amp;IF(C20="?","? "," ")&amp;D20&amp;" { get; set; }"&amp;$E$3,"")</f>
        <v/>
      </c>
      <c r="P20" t="str">
        <f t="shared" ref="P20" si="100">REPT(CHAR(9),7)&amp;D20&amp;" = o." &amp;D20 &amp;","</f>
        <v xml:space="preserve">							PortDate = o.PortDate,</v>
      </c>
      <c r="T20" s="63" t="str">
        <f t="shared" ref="T20" si="101">REPT(CHAR(9),8)&amp;"("""&amp;D20&amp;"""),"</f>
        <v xml:space="preserve">								("PortDate"),</v>
      </c>
      <c r="V20" s="64" t="str">
        <f t="shared" ref="V20" si="102">REPT(CHAR(9),8)&amp;"_ =&gt; _."&amp;D20&amp;","</f>
        <v xml:space="preserve">								_ =&gt; _.PortDate,</v>
      </c>
      <c r="W20" s="63" t="str">
        <f t="shared" ref="W20" si="103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</row>
    <row r="21" spans="1:23" customFormat="1" ht="18.75" customHeight="1" x14ac:dyDescent="0.25">
      <c r="A21" s="70" t="s">
        <v>383</v>
      </c>
      <c r="B21" t="s">
        <v>367</v>
      </c>
      <c r="C21" t="s">
        <v>1</v>
      </c>
      <c r="D21" t="str">
        <f t="shared" si="78"/>
        <v>PortDateActual</v>
      </c>
      <c r="E21" t="str">
        <f t="shared" si="79"/>
        <v>DATE</v>
      </c>
      <c r="F21" s="6"/>
      <c r="G21" t="str">
        <f t="shared" si="80"/>
        <v/>
      </c>
      <c r="H21" t="str">
        <f>+VLOOKUP(E21,'Data Type Mapping'!A:B,2,)</f>
        <v>DateTime?</v>
      </c>
      <c r="I21" t="str">
        <f t="shared" si="81"/>
        <v/>
      </c>
      <c r="J21" t="str">
        <f t="shared" si="82"/>
        <v xml:space="preserve">		public virtual DateTime? PortDateActual { get; set; }
</v>
      </c>
      <c r="K21" s="6"/>
      <c r="L21" t="str">
        <f t="shared" si="83"/>
        <v/>
      </c>
      <c r="M21" t="str">
        <f t="shared" si="84"/>
        <v xml:space="preserve">		public virtual DateTime? PortDateActual { get; set; }
</v>
      </c>
      <c r="N21" t="str">
        <f t="shared" si="85"/>
        <v xml:space="preserve">		public virtual DateTime? PortDateActual { get; set; }
</v>
      </c>
      <c r="O21" t="str">
        <f t="shared" si="86"/>
        <v/>
      </c>
      <c r="P21" t="str">
        <f t="shared" si="87"/>
        <v xml:space="preserve">							PortDateActual = o.PortDateActual,</v>
      </c>
      <c r="T21" s="63" t="str">
        <f t="shared" si="88"/>
        <v xml:space="preserve">								("PortDateActual"),</v>
      </c>
      <c r="V21" s="64" t="str">
        <f t="shared" si="89"/>
        <v xml:space="preserve">								_ =&gt; _.PortDateActual,</v>
      </c>
      <c r="W21" s="63" t="str">
        <f t="shared" si="90"/>
        <v/>
      </c>
    </row>
    <row r="22" spans="1:23" customFormat="1" ht="18.75" customHeight="1" x14ac:dyDescent="0.25">
      <c r="A22" s="70" t="s">
        <v>382</v>
      </c>
      <c r="B22" t="s">
        <v>367</v>
      </c>
      <c r="C22" t="s">
        <v>1</v>
      </c>
      <c r="D22" t="str">
        <f t="shared" si="78"/>
        <v>PortTransitDate</v>
      </c>
      <c r="E22" t="str">
        <f t="shared" si="79"/>
        <v>DATE</v>
      </c>
      <c r="F22" s="6"/>
      <c r="G22" t="str">
        <f t="shared" si="80"/>
        <v/>
      </c>
      <c r="H22" t="str">
        <f>+VLOOKUP(E22,'Data Type Mapping'!A:B,2,)</f>
        <v>DateTime?</v>
      </c>
      <c r="I22" t="str">
        <f t="shared" si="81"/>
        <v/>
      </c>
      <c r="J22" t="str">
        <f t="shared" si="82"/>
        <v xml:space="preserve">		public virtual DateTime? PortTransitDate { get; set; }
</v>
      </c>
      <c r="K22" s="6"/>
      <c r="L22" t="str">
        <f t="shared" si="83"/>
        <v/>
      </c>
      <c r="M22" t="str">
        <f t="shared" si="84"/>
        <v xml:space="preserve">		public virtual DateTime? PortTransitDate { get; set; }
</v>
      </c>
      <c r="N22" t="str">
        <f t="shared" si="85"/>
        <v xml:space="preserve">		public virtual DateTime? PortTransitDate { get; set; }
</v>
      </c>
      <c r="O22" t="str">
        <f t="shared" si="86"/>
        <v/>
      </c>
      <c r="P22" t="str">
        <f t="shared" si="87"/>
        <v xml:space="preserve">							PortTransitDate = o.PortTransitDate,</v>
      </c>
      <c r="T22" s="63" t="str">
        <f t="shared" si="88"/>
        <v xml:space="preserve">								("PortTransitDate"),</v>
      </c>
      <c r="V22" s="64" t="str">
        <f t="shared" si="89"/>
        <v xml:space="preserve">								_ =&gt; _.PortTransitDate,</v>
      </c>
      <c r="W22" s="63" t="str">
        <f t="shared" si="90"/>
        <v/>
      </c>
    </row>
    <row r="23" spans="1:23" customFormat="1" ht="18.75" customHeight="1" x14ac:dyDescent="0.25">
      <c r="A23" s="70" t="s">
        <v>386</v>
      </c>
      <c r="B23" t="s">
        <v>367</v>
      </c>
      <c r="C23" t="s">
        <v>1</v>
      </c>
      <c r="D23" t="str">
        <f>SUBSTITUTE(PROPER(A23),"_","")</f>
        <v>ReceiveDate</v>
      </c>
      <c r="E23" t="str">
        <f>IFERROR(LEFT(B23, FIND("(",B23)-1),B23)</f>
        <v>DATE</v>
      </c>
      <c r="F23" s="6"/>
      <c r="G23" t="str">
        <f>IFERROR(MID(B23,FIND("(",B23) +1, FIND(")",B23) - FIND("(",B23) - 1),"")</f>
        <v/>
      </c>
      <c r="H23" t="str">
        <f>+VLOOKUP(E23,'Data Type Mapping'!A:B,2,)</f>
        <v>DateTime?</v>
      </c>
      <c r="I23" t="str">
        <f>IF(H23="string",REPT(CHAR(9),2)&amp;"public const int Max"&amp;D23&amp;"Length = "&amp;G23&amp;";"&amp;$E$3,"" )</f>
        <v/>
      </c>
      <c r="J23" t="str">
        <f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public virtual DateTime? ReceiveDate { get; set; }
</v>
      </c>
      <c r="K23" s="6"/>
      <c r="L23" t="str">
        <f>IF(K23="","",REPT(CHAR(9),1)&amp;"[Index(nameof("&amp;IF(D23="","",""&amp;D23)&amp;")"&amp;", Name="&amp;"""IX_"&amp;$B$7&amp;"_"&amp;D23&amp;""")]")</f>
        <v/>
      </c>
      <c r="M23" t="str">
        <f>REPT(CHAR(9),2)&amp;"public virtual "&amp;IF(OR(H23="DateTime",H23="TimeSpan"),H23&amp;"?",H23)&amp;IF(C23="?","? "," ")&amp;D23&amp;" { get; set; }" &amp; "
"</f>
        <v xml:space="preserve">		public virtual DateTime? ReceiveDate { get; set; }
</v>
      </c>
      <c r="N23" t="str">
        <f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public virtual DateTime? ReceiveDate { get; set; }
</v>
      </c>
      <c r="O23" t="str">
        <f>IF(OR(H23="string",H23="DateTime",H23="int"),REPT(CHAR(9),2)&amp;"public virtual "&amp;IF(OR(H23="DateTime",H23="TimeSpan"),H23&amp;"?",H23)&amp;IF(C23="?","? "," ")&amp;D23&amp;" { get; set; }"&amp;$E$3,"")</f>
        <v/>
      </c>
      <c r="P23" t="str">
        <f>REPT(CHAR(9),7)&amp;D23&amp;" = o." &amp;D23 &amp;","</f>
        <v xml:space="preserve">							ReceiveDate = o.ReceiveDate,</v>
      </c>
      <c r="T23" s="63" t="str">
        <f>REPT(CHAR(9),8)&amp;"("""&amp;D23&amp;"""),"</f>
        <v xml:space="preserve">								("ReceiveDate"),</v>
      </c>
      <c r="V23" s="64" t="str">
        <f>REPT(CHAR(9),8)&amp;"_ =&gt; _."&amp;D23&amp;","</f>
        <v xml:space="preserve">								_ =&gt; _.ReceiveDate,</v>
      </c>
      <c r="W23" s="63" t="str">
        <f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/>
      </c>
    </row>
    <row r="24" spans="1:23" customFormat="1" ht="18.75" customHeight="1" x14ac:dyDescent="0.25">
      <c r="A24" s="69" t="s">
        <v>388</v>
      </c>
      <c r="B24" t="s">
        <v>387</v>
      </c>
      <c r="C24" t="s">
        <v>1</v>
      </c>
      <c r="D24" t="str">
        <f t="shared" ref="D24:D29" si="104">SUBSTITUTE(PROPER(A24),"_","")</f>
        <v>RequestId</v>
      </c>
      <c r="E24" t="str">
        <f t="shared" ref="E24:E29" si="105">IFERROR(LEFT(B24, FIND("(",B24)-1),B24)</f>
        <v>BIGINT</v>
      </c>
      <c r="F24" s="6"/>
      <c r="G24" t="str">
        <f t="shared" ref="G24:G29" si="106">IFERROR(MID(B24,FIND("(",B24) +1, FIND(")",B24) - FIND("(",B24) - 1),"")</f>
        <v/>
      </c>
      <c r="H24" t="str">
        <f>+VLOOKUP(E24,'Data Type Mapping'!A:B,2,)</f>
        <v>long?</v>
      </c>
      <c r="I24" t="str">
        <f t="shared" ref="I24:I29" si="107">IF(H24="string",REPT(CHAR(9),2)&amp;"public const int Max"&amp;D24&amp;"Length = "&amp;G24&amp;";"&amp;$E$3,"" )</f>
        <v/>
      </c>
      <c r="J24" t="str">
        <f t="shared" ref="J24:J29" si="108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long? RequestId { get; set; }
</v>
      </c>
      <c r="K24" s="6"/>
      <c r="L24" t="str">
        <f t="shared" ref="L24:L29" si="109">IF(K24="","",REPT(CHAR(9),1)&amp;"[Index(nameof("&amp;IF(D24="","",""&amp;D24)&amp;")"&amp;", Name="&amp;"""IX_"&amp;$B$7&amp;"_"&amp;D24&amp;""")]")</f>
        <v/>
      </c>
      <c r="M24" t="str">
        <f t="shared" ref="M24:M29" si="110">REPT(CHAR(9),2)&amp;"public virtual "&amp;IF(OR(H24="DateTime",H24="TimeSpan"),H24&amp;"?",H24)&amp;IF(C24="?","? "," ")&amp;D24&amp;" { get; set; }" &amp; "
"</f>
        <v xml:space="preserve">		public virtual long? RequestId { get; set; }
</v>
      </c>
      <c r="N24" t="str">
        <f t="shared" ref="N24:N29" si="111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long? RequestId { get; set; }
</v>
      </c>
      <c r="O24" t="str">
        <f t="shared" ref="O24:O29" si="112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:P29" si="113">REPT(CHAR(9),7)&amp;D24&amp;" = o." &amp;D24 &amp;","</f>
        <v xml:space="preserve">							RequestId = o.RequestId,</v>
      </c>
      <c r="T24" s="63" t="str">
        <f t="shared" ref="T24:T29" si="114">REPT(CHAR(9),8)&amp;"("""&amp;D24&amp;"""),"</f>
        <v xml:space="preserve">								("RequestId"),</v>
      </c>
      <c r="V24" s="64" t="str">
        <f t="shared" ref="V24:V29" si="115">REPT(CHAR(9),8)&amp;"_ =&gt; _."&amp;D24&amp;","</f>
        <v xml:space="preserve">								_ =&gt; _.RequestId,</v>
      </c>
      <c r="W24" s="63" t="str">
        <f t="shared" ref="W24:W29" si="116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18.75" customHeight="1" x14ac:dyDescent="0.25">
      <c r="A25" s="69" t="s">
        <v>390</v>
      </c>
      <c r="B25" t="s">
        <v>362</v>
      </c>
      <c r="C25" t="s">
        <v>1</v>
      </c>
      <c r="D25" t="str">
        <f t="shared" si="104"/>
        <v>RequestLotNo</v>
      </c>
      <c r="E25" t="str">
        <f t="shared" si="105"/>
        <v>VARCHAR</v>
      </c>
      <c r="F25" s="6"/>
      <c r="G25" t="str">
        <f t="shared" si="106"/>
        <v>10</v>
      </c>
      <c r="H25" t="str">
        <f>+VLOOKUP(E25,'Data Type Mapping'!A:B,2,)</f>
        <v>string</v>
      </c>
      <c r="I25" t="str">
        <f t="shared" si="107"/>
        <v xml:space="preserve">		public const int MaxRequestLotNoLength = 10;
</v>
      </c>
      <c r="J25" t="str">
        <f t="shared" si="108"/>
        <v xml:space="preserve">		[StringLength(MaxRequestLotNoLength)]
		public virtual string RequestLotNo { get; set; }
</v>
      </c>
      <c r="K25" s="6"/>
      <c r="L25" t="str">
        <f t="shared" si="109"/>
        <v/>
      </c>
      <c r="M25" t="str">
        <f t="shared" si="110"/>
        <v xml:space="preserve">		public virtual string RequestLotNo { get; set; }
</v>
      </c>
      <c r="N25" t="str">
        <f t="shared" si="111"/>
        <v xml:space="preserve">		[StringLength(InvCkdContainerListConsts.MaxRequestLotNoLength)]
		public virtual string RequestLotNo { get; set; }
</v>
      </c>
      <c r="O25" t="str">
        <f t="shared" si="112"/>
        <v xml:space="preserve">		public virtual string RequestLotNo { get; set; }
</v>
      </c>
      <c r="P25" t="str">
        <f t="shared" si="113"/>
        <v xml:space="preserve">							RequestLotNo = o.RequestLotNo,</v>
      </c>
      <c r="T25" s="63" t="str">
        <f t="shared" si="114"/>
        <v xml:space="preserve">								("RequestLotNo"),</v>
      </c>
      <c r="V25" s="64" t="str">
        <f t="shared" si="115"/>
        <v xml:space="preserve">								_ =&gt; _.RequestLotNo,</v>
      </c>
      <c r="W25" s="63" t="str">
        <f t="shared" si="116"/>
        <v xml:space="preserve">				.WhereIf(!string.IsNullOrWhiteSpace(input.RequestLotNo), e =&gt; e.RequestLotNo.Contains(input.RequestLotNo))</v>
      </c>
    </row>
    <row r="26" spans="1:23" customFormat="1" ht="18.75" customHeight="1" x14ac:dyDescent="0.25">
      <c r="A26" s="69" t="s">
        <v>391</v>
      </c>
      <c r="B26" t="s">
        <v>380</v>
      </c>
      <c r="C26" t="s">
        <v>1</v>
      </c>
      <c r="D26" t="str">
        <f t="shared" ref="D26" si="117">SUBSTITUTE(PROPER(A26),"_","")</f>
        <v>InvoiceNo</v>
      </c>
      <c r="E26" t="str">
        <f t="shared" ref="E26" si="118">IFERROR(LEFT(B26, FIND("(",B26)-1),B26)</f>
        <v>VARCHAR</v>
      </c>
      <c r="F26" s="6"/>
      <c r="G26" t="str">
        <f t="shared" ref="G26" si="119">IFERROR(MID(B26,FIND("(",B26) +1, FIND(")",B26) - FIND("(",B26) - 1),"")</f>
        <v>500</v>
      </c>
      <c r="H26" t="str">
        <f>+VLOOKUP(E26,'Data Type Mapping'!A:B,2,)</f>
        <v>string</v>
      </c>
      <c r="I26" t="str">
        <f t="shared" ref="I26" si="120">IF(H26="string",REPT(CHAR(9),2)&amp;"public const int Max"&amp;D26&amp;"Length = "&amp;G26&amp;";"&amp;$E$3,"" )</f>
        <v xml:space="preserve">		public const int MaxInvoiceNoLength = 500;
</v>
      </c>
      <c r="J26" t="str">
        <f t="shared" ref="J26" si="121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[StringLength(MaxInvoiceNoLength)]
		public virtual string InvoiceNo { get; set; }
</v>
      </c>
      <c r="K26" s="6"/>
      <c r="L26" t="str">
        <f t="shared" ref="L26" si="122">IF(K26="","",REPT(CHAR(9),1)&amp;"[Index(nameof("&amp;IF(D26="","",""&amp;D26)&amp;")"&amp;", Name="&amp;"""IX_"&amp;$B$7&amp;"_"&amp;D26&amp;""")]")</f>
        <v/>
      </c>
      <c r="M26" t="str">
        <f t="shared" ref="M26" si="123">REPT(CHAR(9),2)&amp;"public virtual "&amp;IF(OR(H26="DateTime",H26="TimeSpan"),H26&amp;"?",H26)&amp;IF(C26="?","? "," ")&amp;D26&amp;" { get; set; }" &amp; "
"</f>
        <v xml:space="preserve">		public virtual string InvoiceNo { get; set; }
</v>
      </c>
      <c r="N26" t="str">
        <f t="shared" ref="N26" si="124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[StringLength(InvCkdContainerListConsts.MaxInvoiceNoLength)]
		public virtual string InvoiceNo { get; set; }
</v>
      </c>
      <c r="O26" t="str">
        <f t="shared" ref="O26" si="125">IF(OR(H26="string",H26="DateTime",H26="int"),REPT(CHAR(9),2)&amp;"public virtual "&amp;IF(OR(H26="DateTime",H26="TimeSpan"),H26&amp;"?",H26)&amp;IF(C26="?","? "," ")&amp;D26&amp;" { get; set; }"&amp;$E$3,"")</f>
        <v xml:space="preserve">		public virtual string InvoiceNo { get; set; }
</v>
      </c>
      <c r="P26" t="str">
        <f t="shared" ref="P26" si="126">REPT(CHAR(9),7)&amp;D26&amp;" = o." &amp;D26 &amp;","</f>
        <v xml:space="preserve">							InvoiceNo = o.InvoiceNo,</v>
      </c>
      <c r="T26" s="63" t="str">
        <f t="shared" ref="T26" si="127">REPT(CHAR(9),8)&amp;"("""&amp;D26&amp;"""),"</f>
        <v xml:space="preserve">								("InvoiceNo"),</v>
      </c>
      <c r="V26" s="64" t="str">
        <f t="shared" ref="V26" si="128">REPT(CHAR(9),8)&amp;"_ =&gt; _."&amp;D26&amp;","</f>
        <v xml:space="preserve">								_ =&gt; _.InvoiceNo,</v>
      </c>
      <c r="W26" s="63" t="str">
        <f t="shared" ref="W26" si="129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.WhereIf(!string.IsNullOrWhiteSpace(input.InvoiceNo), e =&gt; e.InvoiceNo.Contains(input.InvoiceNo))</v>
      </c>
    </row>
    <row r="27" spans="1:23" customFormat="1" ht="18.75" customHeight="1" x14ac:dyDescent="0.25">
      <c r="A27" s="69" t="s">
        <v>395</v>
      </c>
      <c r="B27" t="s">
        <v>381</v>
      </c>
      <c r="C27" t="s">
        <v>1</v>
      </c>
      <c r="D27" t="str">
        <f t="shared" ref="D27" si="130">SUBSTITUTE(PROPER(A27),"_","")</f>
        <v>ListLotNo</v>
      </c>
      <c r="E27" t="str">
        <f t="shared" ref="E27" si="131">IFERROR(LEFT(B27, FIND("(",B27)-1),B27)</f>
        <v>VARCHAR</v>
      </c>
      <c r="F27" s="6"/>
      <c r="G27" t="str">
        <f t="shared" ref="G27" si="132">IFERROR(MID(B27,FIND("(",B27) +1, FIND(")",B27) - FIND("(",B27) - 1),"")</f>
        <v>1000</v>
      </c>
      <c r="H27" t="str">
        <f>+VLOOKUP(E27,'Data Type Mapping'!A:B,2,)</f>
        <v>string</v>
      </c>
      <c r="I27" t="str">
        <f t="shared" ref="I27" si="133">IF(H27="string",REPT(CHAR(9),2)&amp;"public const int Max"&amp;D27&amp;"Length = "&amp;G27&amp;";"&amp;$E$3,"" )</f>
        <v xml:space="preserve">		public const int MaxListLotNoLength = 1000;
</v>
      </c>
      <c r="J27" t="str">
        <f t="shared" ref="J27" si="134"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[StringLength(MaxListLotNoLength)]
		public virtual string ListLotNo { get; set; }
</v>
      </c>
      <c r="K27" s="6"/>
      <c r="L27" t="str">
        <f t="shared" ref="L27" si="135">IF(K27="","",REPT(CHAR(9),1)&amp;"[Index(nameof("&amp;IF(D27="","",""&amp;D27)&amp;")"&amp;", Name="&amp;"""IX_"&amp;$B$7&amp;"_"&amp;D27&amp;""")]")</f>
        <v/>
      </c>
      <c r="M27" t="str">
        <f t="shared" ref="M27" si="136">REPT(CHAR(9),2)&amp;"public virtual "&amp;IF(OR(H27="DateTime",H27="TimeSpan"),H27&amp;"?",H27)&amp;IF(C27="?","? "," ")&amp;D27&amp;" { get; set; }" &amp; "
"</f>
        <v xml:space="preserve">		public virtual string ListLotNo { get; set; }
</v>
      </c>
      <c r="N27" t="str">
        <f t="shared" ref="N27" si="137"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[StringLength(InvCkdContainerListConsts.MaxListLotNoLength)]
		public virtual string ListLotNo { get; set; }
</v>
      </c>
      <c r="O27" t="str">
        <f t="shared" ref="O27" si="138">IF(OR(H27="string",H27="DateTime",H27="int"),REPT(CHAR(9),2)&amp;"public virtual "&amp;IF(OR(H27="DateTime",H27="TimeSpan"),H27&amp;"?",H27)&amp;IF(C27="?","? "," ")&amp;D27&amp;" { get; set; }"&amp;$E$3,"")</f>
        <v xml:space="preserve">		public virtual string ListLotNo { get; set; }
</v>
      </c>
      <c r="P27" t="str">
        <f t="shared" ref="P27" si="139">REPT(CHAR(9),7)&amp;D27&amp;" = o." &amp;D27 &amp;","</f>
        <v xml:space="preserve">							ListLotNo = o.ListLotNo,</v>
      </c>
      <c r="T27" s="63" t="str">
        <f t="shared" ref="T27" si="140">REPT(CHAR(9),8)&amp;"("""&amp;D27&amp;"""),"</f>
        <v xml:space="preserve">								("ListLotNo"),</v>
      </c>
      <c r="V27" s="64" t="str">
        <f t="shared" ref="V27" si="141">REPT(CHAR(9),8)&amp;"_ =&gt; _."&amp;D27&amp;","</f>
        <v xml:space="preserve">								_ =&gt; _.ListLotNo,</v>
      </c>
      <c r="W27" s="63" t="str">
        <f t="shared" ref="W27" si="142"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 xml:space="preserve">				.WhereIf(!string.IsNullOrWhiteSpace(input.ListLotNo), e =&gt; e.ListLotNo.Contains(input.ListLotNo))</v>
      </c>
    </row>
    <row r="28" spans="1:23" customFormat="1" ht="18.75" customHeight="1" x14ac:dyDescent="0.25">
      <c r="A28" s="69" t="s">
        <v>392</v>
      </c>
      <c r="B28" t="s">
        <v>381</v>
      </c>
      <c r="C28" t="s">
        <v>1</v>
      </c>
      <c r="D28" t="str">
        <f t="shared" ref="D28" si="143">SUBSTITUTE(PROPER(A28),"_","")</f>
        <v>ListCaseNo</v>
      </c>
      <c r="E28" t="str">
        <f t="shared" ref="E28" si="144">IFERROR(LEFT(B28, FIND("(",B28)-1),B28)</f>
        <v>VARCHAR</v>
      </c>
      <c r="F28" s="6"/>
      <c r="G28" t="str">
        <f t="shared" ref="G28" si="145">IFERROR(MID(B28,FIND("(",B28) +1, FIND(")",B28) - FIND("(",B28) - 1),"")</f>
        <v>1000</v>
      </c>
      <c r="H28" t="str">
        <f>+VLOOKUP(E28,'Data Type Mapping'!A:B,2,)</f>
        <v>string</v>
      </c>
      <c r="I28" t="str">
        <f t="shared" ref="I28" si="146">IF(H28="string",REPT(CHAR(9),2)&amp;"public const int Max"&amp;D28&amp;"Length = "&amp;G28&amp;";"&amp;$E$3,"" )</f>
        <v xml:space="preserve">		public const int MaxListCaseNoLength = 1000;
</v>
      </c>
      <c r="J28" t="str">
        <f t="shared" ref="J28" si="147">IF(F28="","",REPT(CHAR(9),2)&amp;"[Column(TypeName="""&amp;F28&amp;""")]"&amp;$E$3)&amp;IF(C28="Checked","",$I$3)&amp;IF(H28="string",REPT(CHAR(9),2)&amp;"[StringLength(Max"&amp;D28&amp;"Length"&amp;")]"&amp;$E$3,"")&amp;REPT(CHAR(9),2)&amp;"public virtual "&amp;H28&amp;IF(C28="?","? "," ")&amp;D28&amp;" { get; set; }" &amp; "
"</f>
        <v xml:space="preserve">		[StringLength(MaxListCaseNoLength)]
		public virtual string ListCaseNo { get; set; }
</v>
      </c>
      <c r="K28" s="6"/>
      <c r="L28" t="str">
        <f t="shared" ref="L28" si="148">IF(K28="","",REPT(CHAR(9),1)&amp;"[Index(nameof("&amp;IF(D28="","",""&amp;D28)&amp;")"&amp;", Name="&amp;"""IX_"&amp;$B$7&amp;"_"&amp;D28&amp;""")]")</f>
        <v/>
      </c>
      <c r="M28" t="str">
        <f t="shared" ref="M28" si="149">REPT(CHAR(9),2)&amp;"public virtual "&amp;IF(OR(H28="DateTime",H28="TimeSpan"),H28&amp;"?",H28)&amp;IF(C28="?","? "," ")&amp;D28&amp;" { get; set; }" &amp; "
"</f>
        <v xml:space="preserve">		public virtual string ListCaseNo { get; set; }
</v>
      </c>
      <c r="N28" t="str">
        <f t="shared" ref="N28" si="150">IF(C28="Checked","",$I$3)&amp;IF(H28="string",REPT(CHAR(9),2)&amp;"[StringLength("&amp;$B$3&amp;"Consts.Max"&amp;D28&amp;"Length"&amp;")]"&amp;$E$3,"")&amp;REPT(CHAR(9),2)&amp;"public virtual "&amp;IF(OR(H28="DateTime",H28="TimeSpan"),H28&amp;"?",H28)&amp;IF(C28="?","? "," ")&amp;D28&amp;" { get; set; }" &amp; "
"</f>
        <v xml:space="preserve">		[StringLength(InvCkdContainerListConsts.MaxListCaseNoLength)]
		public virtual string ListCaseNo { get; set; }
</v>
      </c>
      <c r="O28" t="str">
        <f t="shared" ref="O28" si="151">IF(OR(H28="string",H28="DateTime",H28="int"),REPT(CHAR(9),2)&amp;"public virtual "&amp;IF(OR(H28="DateTime",H28="TimeSpan"),H28&amp;"?",H28)&amp;IF(C28="?","? "," ")&amp;D28&amp;" { get; set; }"&amp;$E$3,"")</f>
        <v xml:space="preserve">		public virtual string ListCaseNo { get; set; }
</v>
      </c>
      <c r="P28" t="str">
        <f t="shared" ref="P28" si="152">REPT(CHAR(9),7)&amp;D28&amp;" = o." &amp;D28 &amp;","</f>
        <v xml:space="preserve">							ListCaseNo = o.ListCaseNo,</v>
      </c>
      <c r="T28" s="63" t="str">
        <f t="shared" ref="T28" si="153">REPT(CHAR(9),8)&amp;"("""&amp;D28&amp;"""),"</f>
        <v xml:space="preserve">								("ListCaseNo"),</v>
      </c>
      <c r="V28" s="64" t="str">
        <f t="shared" ref="V28" si="154">REPT(CHAR(9),8)&amp;"_ =&gt; _."&amp;D28&amp;","</f>
        <v xml:space="preserve">								_ =&gt; _.ListCaseNo,</v>
      </c>
      <c r="W28" s="63" t="str">
        <f t="shared" ref="W28" si="155">IF(H28="string",REPT(CHAR(9),4)&amp;".WhereIf(!string.IsNullOrWhiteSpace(input."&amp;D28&amp;"), e =&gt; e."&amp;D28&amp;".Contains(input."&amp;D28&amp;"))",IF(H28="DateTime",REPT(CHAR(9),4)&amp;".WhereIf(input."&amp;D28&amp;".HasValue, t =&gt; t."&amp;D28&amp;" == input."&amp;D28&amp;".Value)",""))</f>
        <v xml:space="preserve">				.WhereIf(!string.IsNullOrWhiteSpace(input.ListCaseNo), e =&gt; e.ListCaseNo.Contains(input.ListCaseNo))</v>
      </c>
    </row>
    <row r="29" spans="1:23" customFormat="1" ht="18.75" customHeight="1" x14ac:dyDescent="0.25">
      <c r="A29" s="69" t="s">
        <v>389</v>
      </c>
      <c r="B29" t="s">
        <v>362</v>
      </c>
      <c r="C29" t="s">
        <v>1</v>
      </c>
      <c r="D29" t="str">
        <f t="shared" si="104"/>
        <v>Transport</v>
      </c>
      <c r="E29" t="str">
        <f t="shared" si="105"/>
        <v>VARCHAR</v>
      </c>
      <c r="F29" s="6"/>
      <c r="G29" t="str">
        <f t="shared" si="106"/>
        <v>10</v>
      </c>
      <c r="H29" t="str">
        <f>+VLOOKUP(E29,'Data Type Mapping'!A:B,2,)</f>
        <v>string</v>
      </c>
      <c r="I29" t="str">
        <f t="shared" si="107"/>
        <v xml:space="preserve">		public const int MaxTransportLength = 10;
</v>
      </c>
      <c r="J29" t="str">
        <f t="shared" si="108"/>
        <v xml:space="preserve">		[StringLength(MaxTransportLength)]
		public virtual string Transport { get; set; }
</v>
      </c>
      <c r="K29" s="6"/>
      <c r="L29" t="str">
        <f t="shared" si="109"/>
        <v/>
      </c>
      <c r="M29" t="str">
        <f t="shared" si="110"/>
        <v xml:space="preserve">		public virtual string Transport { get; set; }
</v>
      </c>
      <c r="N29" t="str">
        <f t="shared" si="111"/>
        <v xml:space="preserve">		[StringLength(InvCkdContainerListConsts.MaxTransportLength)]
		public virtual string Transport { get; set; }
</v>
      </c>
      <c r="O29" t="str">
        <f t="shared" si="112"/>
        <v xml:space="preserve">		public virtual string Transport { get; set; }
</v>
      </c>
      <c r="P29" t="str">
        <f t="shared" si="113"/>
        <v xml:space="preserve">							Transport = o.Transport,</v>
      </c>
      <c r="T29" s="63" t="str">
        <f t="shared" si="114"/>
        <v xml:space="preserve">								("Transport"),</v>
      </c>
      <c r="V29" s="64" t="str">
        <f t="shared" si="115"/>
        <v xml:space="preserve">								_ =&gt; _.Transport,</v>
      </c>
      <c r="W29" s="63" t="str">
        <f t="shared" si="116"/>
        <v xml:space="preserve">				.WhereIf(!string.IsNullOrWhiteSpace(input.Transport), e =&gt; e.Transport.Contains(input.Transport))</v>
      </c>
    </row>
    <row r="30" spans="1:23" customFormat="1" ht="18.75" customHeight="1" x14ac:dyDescent="0.25">
      <c r="A30" s="69" t="s">
        <v>374</v>
      </c>
      <c r="B30" t="s">
        <v>362</v>
      </c>
      <c r="C30" t="s">
        <v>1</v>
      </c>
      <c r="D30" t="str">
        <f>SUBSTITUTE(PROPER(A30),"_","")</f>
        <v>Shop</v>
      </c>
      <c r="E30" t="str">
        <f>IFERROR(LEFT(B30, FIND("(",B30)-1),B30)</f>
        <v>VARCHAR</v>
      </c>
      <c r="F30" s="6"/>
      <c r="G30" t="str">
        <f>IFERROR(MID(B30,FIND("(",B30) +1, FIND(")",B30) - FIND("(",B30) - 1),"")</f>
        <v>10</v>
      </c>
      <c r="H30" t="str">
        <f>+VLOOKUP(E30,'Data Type Mapping'!A:B,2,)</f>
        <v>string</v>
      </c>
      <c r="I30" t="str">
        <f>IF(H30="string",REPT(CHAR(9),2)&amp;"public const int Max"&amp;D30&amp;"Length = "&amp;G30&amp;";"&amp;$E$3,"" )</f>
        <v xml:space="preserve">		public const int MaxShopLength = 10;
</v>
      </c>
      <c r="J30" t="str">
        <f>IF(F30="","",REPT(CHAR(9),2)&amp;"[Column(TypeName="""&amp;F30&amp;""")]"&amp;$E$3)&amp;IF(C30="Checked","",$I$3)&amp;IF(H30="string",REPT(CHAR(9),2)&amp;"[StringLength(Max"&amp;D30&amp;"Length"&amp;")]"&amp;$E$3,"")&amp;REPT(CHAR(9),2)&amp;"public virtual "&amp;H30&amp;IF(C30="?","? "," ")&amp;D30&amp;" { get; set; }" &amp; "
"</f>
        <v xml:space="preserve">		[StringLength(MaxShopLength)]
		public virtual string Shop { get; set; }
</v>
      </c>
      <c r="K30" s="6"/>
      <c r="L30" t="str">
        <f>IF(K30="","",REPT(CHAR(9),1)&amp;"[Index(nameof("&amp;IF(D30="","",""&amp;D30)&amp;")"&amp;", Name="&amp;"""IX_"&amp;$B$7&amp;"_"&amp;D30&amp;""")]")</f>
        <v/>
      </c>
      <c r="M30" t="str">
        <f>REPT(CHAR(9),2)&amp;"public virtual "&amp;IF(OR(H30="DateTime",H30="TimeSpan"),H30&amp;"?",H30)&amp;IF(C30="?","? "," ")&amp;D30&amp;" { get; set; }" &amp; "
"</f>
        <v xml:space="preserve">		public virtual string Shop { get; set; }
</v>
      </c>
      <c r="N30" t="str">
        <f>IF(C30="Checked","",$I$3)&amp;IF(H30="string",REPT(CHAR(9),2)&amp;"[StringLength("&amp;$B$3&amp;"Consts.Max"&amp;D30&amp;"Length"&amp;")]"&amp;$E$3,"")&amp;REPT(CHAR(9),2)&amp;"public virtual "&amp;IF(OR(H30="DateTime",H30="TimeSpan"),H30&amp;"?",H30)&amp;IF(C30="?","? "," ")&amp;D30&amp;" { get; set; }" &amp; "
"</f>
        <v xml:space="preserve">		[StringLength(InvCkdContainerListConsts.MaxShopLength)]
		public virtual string Shop { get; set; }
</v>
      </c>
      <c r="O30" t="str">
        <f>IF(OR(H30="string",H30="DateTime",H30="int"),REPT(CHAR(9),2)&amp;"public virtual "&amp;IF(OR(H30="DateTime",H30="TimeSpan"),H30&amp;"?",H30)&amp;IF(C30="?","? "," ")&amp;D30&amp;" { get; set; }"&amp;$E$3,"")</f>
        <v xml:space="preserve">		public virtual string Shop { get; set; }
</v>
      </c>
      <c r="P30" t="str">
        <f>REPT(CHAR(9),7)&amp;D30&amp;" = o." &amp;D30 &amp;","</f>
        <v xml:space="preserve">							Shop = o.Shop,</v>
      </c>
      <c r="T30" s="63" t="str">
        <f>REPT(CHAR(9),8)&amp;"("""&amp;D30&amp;"""),"</f>
        <v xml:space="preserve">								("Shop"),</v>
      </c>
      <c r="V30" s="64" t="str">
        <f>REPT(CHAR(9),8)&amp;"_ =&gt; _."&amp;D30&amp;","</f>
        <v xml:space="preserve">								_ =&gt; _.Shop,</v>
      </c>
      <c r="W30" s="63" t="str">
        <f>IF(H30="string",REPT(CHAR(9),4)&amp;".WhereIf(!string.IsNullOrWhiteSpace(input."&amp;D30&amp;"), e =&gt; e."&amp;D30&amp;".Contains(input."&amp;D30&amp;"))",IF(H30="DateTime",REPT(CHAR(9),4)&amp;".WhereIf(input."&amp;D30&amp;".HasValue, t =&gt; t."&amp;D30&amp;" == input."&amp;D30&amp;".Value)",""))</f>
        <v xml:space="preserve">				.WhereIf(!string.IsNullOrWhiteSpace(input.Shop), e =&gt; e.Shop.Contains(input.Shop))</v>
      </c>
    </row>
    <row r="31" spans="1:23" customFormat="1" ht="18.75" customHeight="1" x14ac:dyDescent="0.25">
      <c r="A31" s="69" t="s">
        <v>393</v>
      </c>
      <c r="B31" t="s">
        <v>362</v>
      </c>
      <c r="C31" t="s">
        <v>1</v>
      </c>
      <c r="D31" t="str">
        <f>SUBSTITUTE(PROPER(A31),"_","")</f>
        <v>Dock</v>
      </c>
      <c r="E31" t="str">
        <f>IFERROR(LEFT(B31, FIND("(",B31)-1),B31)</f>
        <v>VARCHAR</v>
      </c>
      <c r="F31" s="6"/>
      <c r="G31" t="str">
        <f>IFERROR(MID(B31,FIND("(",B31) +1, FIND(")",B31) - FIND("(",B31) - 1),"")</f>
        <v>10</v>
      </c>
      <c r="H31" t="str">
        <f>+VLOOKUP(E31,'Data Type Mapping'!A:B,2,)</f>
        <v>string</v>
      </c>
      <c r="I31" t="str">
        <f>IF(H31="string",REPT(CHAR(9),2)&amp;"public const int Max"&amp;D31&amp;"Length = "&amp;G31&amp;";"&amp;$E$3,"" )</f>
        <v xml:space="preserve">		public const int MaxDockLength = 10;
</v>
      </c>
      <c r="J31" t="str">
        <f>IF(F31="","",REPT(CHAR(9),2)&amp;"[Column(TypeName="""&amp;F31&amp;""")]"&amp;$E$3)&amp;IF(C31="Checked","",$I$3)&amp;IF(H31="string",REPT(CHAR(9),2)&amp;"[StringLength(Max"&amp;D31&amp;"Length"&amp;")]"&amp;$E$3,"")&amp;REPT(CHAR(9),2)&amp;"public virtual "&amp;H31&amp;IF(C31="?","? "," ")&amp;D31&amp;" { get; set; }" &amp; "
"</f>
        <v xml:space="preserve">		[StringLength(MaxDockLength)]
		public virtual string Dock { get; set; }
</v>
      </c>
      <c r="K31" s="6"/>
      <c r="L31" t="str">
        <f>IF(K31="","",REPT(CHAR(9),1)&amp;"[Index(nameof("&amp;IF(D31="","",""&amp;D31)&amp;")"&amp;", Name="&amp;"""IX_"&amp;$B$7&amp;"_"&amp;D31&amp;""")]")</f>
        <v/>
      </c>
      <c r="M31" t="str">
        <f>REPT(CHAR(9),2)&amp;"public virtual "&amp;IF(OR(H31="DateTime",H31="TimeSpan"),H31&amp;"?",H31)&amp;IF(C31="?","? "," ")&amp;D31&amp;" { get; set; }" &amp; "
"</f>
        <v xml:space="preserve">		public virtual string Dock { get; set; }
</v>
      </c>
      <c r="N31" t="str">
        <f>IF(C31="Checked","",$I$3)&amp;IF(H31="string",REPT(CHAR(9),2)&amp;"[StringLength("&amp;$B$3&amp;"Consts.Max"&amp;D31&amp;"Length"&amp;")]"&amp;$E$3,"")&amp;REPT(CHAR(9),2)&amp;"public virtual "&amp;IF(OR(H31="DateTime",H31="TimeSpan"),H31&amp;"?",H31)&amp;IF(C31="?","? "," ")&amp;D31&amp;" { get; set; }" &amp; "
"</f>
        <v xml:space="preserve">		[StringLength(InvCkdContainerListConsts.MaxDockLength)]
		public virtual string Dock { get; set; }
</v>
      </c>
      <c r="O31" t="str">
        <f>IF(OR(H31="string",H31="DateTime",H31="int"),REPT(CHAR(9),2)&amp;"public virtual "&amp;IF(OR(H31="DateTime",H31="TimeSpan"),H31&amp;"?",H31)&amp;IF(C31="?","? "," ")&amp;D31&amp;" { get; set; }"&amp;$E$3,"")</f>
        <v xml:space="preserve">		public virtual string Dock { get; set; }
</v>
      </c>
      <c r="P31" t="str">
        <f>REPT(CHAR(9),7)&amp;D31&amp;" = o." &amp;D31 &amp;","</f>
        <v xml:space="preserve">							Dock = o.Dock,</v>
      </c>
      <c r="T31" s="63" t="str">
        <f>REPT(CHAR(9),8)&amp;"("""&amp;D31&amp;"""),"</f>
        <v xml:space="preserve">								("Dock"),</v>
      </c>
      <c r="V31" s="64" t="str">
        <f>REPT(CHAR(9),8)&amp;"_ =&gt; _."&amp;D31&amp;","</f>
        <v xml:space="preserve">								_ =&gt; _.Dock,</v>
      </c>
      <c r="W31" s="63" t="str">
        <f>IF(H31="string",REPT(CHAR(9),4)&amp;".WhereIf(!string.IsNullOrWhiteSpace(input."&amp;D31&amp;"), e =&gt; e."&amp;D31&amp;".Contains(input."&amp;D31&amp;"))",IF(H31="DateTime",REPT(CHAR(9),4)&amp;".WhereIf(input."&amp;D31&amp;".HasValue, t =&gt; t."&amp;D31&amp;" == input."&amp;D31&amp;".Value)",""))</f>
        <v xml:space="preserve">				.WhereIf(!string.IsNullOrWhiteSpace(input.Dock), e =&gt; e.Dock.Contains(input.Dock))</v>
      </c>
    </row>
    <row r="32" spans="1:23" customFormat="1" ht="18.75" customHeight="1" x14ac:dyDescent="0.25">
      <c r="A32" s="69" t="s">
        <v>400</v>
      </c>
      <c r="B32" t="s">
        <v>367</v>
      </c>
      <c r="C32" t="s">
        <v>1</v>
      </c>
      <c r="D32" t="str">
        <f t="shared" ref="D32:D33" si="156">SUBSTITUTE(PROPER(A32),"_","")</f>
        <v>DevanningDate</v>
      </c>
      <c r="E32" t="str">
        <f t="shared" ref="E32:E33" si="157">IFERROR(LEFT(B32, FIND("(",B32)-1),B32)</f>
        <v>DATE</v>
      </c>
      <c r="F32" s="6"/>
      <c r="G32" t="str">
        <f t="shared" ref="G32:G33" si="158">IFERROR(MID(B32,FIND("(",B32) +1, FIND(")",B32) - FIND("(",B32) - 1),"")</f>
        <v/>
      </c>
      <c r="H32" t="str">
        <f>+VLOOKUP(E32,'[2]Data Type Mapping'!A:B,2,)</f>
        <v>DateTime?</v>
      </c>
      <c r="I32" t="str">
        <f t="shared" ref="I32:I33" si="159">IF(H32="string",REPT(CHAR(9),2)&amp;"public const int Max"&amp;D32&amp;"Length = "&amp;G32&amp;";"&amp;$E$3,"" )</f>
        <v/>
      </c>
      <c r="J32" t="str">
        <f t="shared" ref="J32:J33" si="160"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public virtual DateTime? DevanningDate { get; set; }
</v>
      </c>
      <c r="K32" s="6"/>
      <c r="L32" t="str">
        <f t="shared" ref="L32:L33" si="161">IF(K32="","",REPT(CHAR(9),1)&amp;"[Index(nameof("&amp;IF(D32="","",""&amp;D32)&amp;")"&amp;", Name="&amp;"""IX_"&amp;$B$7&amp;"_"&amp;D32&amp;""")]")</f>
        <v/>
      </c>
      <c r="M32" t="str">
        <f t="shared" ref="M32:M33" si="162">REPT(CHAR(9),2)&amp;"public virtual "&amp;IF(OR(H32="DateTime",H32="TimeSpan"),H32&amp;"?",H32)&amp;IF(C32="?","? "," ")&amp;D32&amp;" { get; set; }" &amp; "
"</f>
        <v xml:space="preserve">		public virtual DateTime? DevanningDate { get; set; }
</v>
      </c>
      <c r="N32" t="str">
        <f t="shared" ref="N32:N33" si="163"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public virtual DateTime? DevanningDate { get; set; }
</v>
      </c>
      <c r="O32" t="str">
        <f t="shared" ref="O32:O33" si="164">IF(OR(H32="string",H32="DateTime",H32="int"),REPT(CHAR(9),2)&amp;"public virtual "&amp;IF(OR(H32="DateTime",H32="TimeSpan"),H32&amp;"?",H32)&amp;IF(C32="?","? "," ")&amp;D32&amp;" { get; set; }"&amp;$E$3,"")</f>
        <v/>
      </c>
      <c r="P32" t="str">
        <f t="shared" ref="P32:P33" si="165">REPT(CHAR(9),7)&amp;D32&amp;" = o." &amp;D32 &amp;","</f>
        <v xml:space="preserve">							DevanningDate = o.DevanningDate,</v>
      </c>
      <c r="T32" s="63" t="str">
        <f t="shared" ref="T32:T33" si="166">REPT(CHAR(9),8)&amp;"("""&amp;D32&amp;"""),"</f>
        <v xml:space="preserve">								("DevanningDate"),</v>
      </c>
      <c r="V32" s="64" t="str">
        <f t="shared" ref="V32:V33" si="167">REPT(CHAR(9),8)&amp;"_ =&gt; _."&amp;D32&amp;","</f>
        <v xml:space="preserve">								_ =&gt; _.DevanningDate,</v>
      </c>
      <c r="W32" s="63" t="str">
        <f t="shared" ref="W32:W33" si="168"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/>
      </c>
    </row>
    <row r="33" spans="1:23" customFormat="1" ht="18.75" customHeight="1" x14ac:dyDescent="0.25">
      <c r="A33" s="69" t="s">
        <v>401</v>
      </c>
      <c r="B33" t="s">
        <v>404</v>
      </c>
      <c r="C33" t="s">
        <v>1</v>
      </c>
      <c r="D33" t="str">
        <f t="shared" si="156"/>
        <v>DevanningTime</v>
      </c>
      <c r="E33" t="str">
        <f t="shared" si="157"/>
        <v>time</v>
      </c>
      <c r="F33" s="6"/>
      <c r="G33" t="str">
        <f t="shared" si="158"/>
        <v>7</v>
      </c>
      <c r="H33" t="str">
        <f>+VLOOKUP(E33,'[2]Data Type Mapping'!A:B,2,)</f>
        <v>TimeSpan?</v>
      </c>
      <c r="I33" t="str">
        <f t="shared" si="159"/>
        <v/>
      </c>
      <c r="J33" t="str">
        <f t="shared" si="160"/>
        <v xml:space="preserve">		public virtual TimeSpan? DevanningTime { get; set; }
</v>
      </c>
      <c r="K33" s="6"/>
      <c r="L33" t="str">
        <f t="shared" si="161"/>
        <v/>
      </c>
      <c r="M33" t="str">
        <f t="shared" si="162"/>
        <v xml:space="preserve">		public virtual TimeSpan? DevanningTime { get; set; }
</v>
      </c>
      <c r="N33" t="str">
        <f t="shared" si="163"/>
        <v xml:space="preserve">		public virtual TimeSpan? DevanningTime { get; set; }
</v>
      </c>
      <c r="O33" t="str">
        <f t="shared" si="164"/>
        <v/>
      </c>
      <c r="P33" t="str">
        <f t="shared" si="165"/>
        <v xml:space="preserve">							DevanningTime = o.DevanningTime,</v>
      </c>
      <c r="T33" s="63" t="str">
        <f t="shared" si="166"/>
        <v xml:space="preserve">								("DevanningTime"),</v>
      </c>
      <c r="V33" s="64" t="str">
        <f t="shared" si="167"/>
        <v xml:space="preserve">								_ =&gt; _.DevanningTime,</v>
      </c>
      <c r="W33" s="63" t="str">
        <f t="shared" si="168"/>
        <v/>
      </c>
    </row>
    <row r="34" spans="1:23" customFormat="1" ht="18.75" customHeight="1" x14ac:dyDescent="0.25">
      <c r="A34" s="69" t="s">
        <v>399</v>
      </c>
      <c r="B34" t="s">
        <v>381</v>
      </c>
      <c r="C34" t="s">
        <v>1</v>
      </c>
      <c r="D34" t="str">
        <f t="shared" ref="D34" si="169">SUBSTITUTE(PROPER(A34),"_","")</f>
        <v>Remark</v>
      </c>
      <c r="E34" t="str">
        <f t="shared" ref="E34" si="170">IFERROR(LEFT(B34, FIND("(",B34)-1),B34)</f>
        <v>VARCHAR</v>
      </c>
      <c r="F34" s="6"/>
      <c r="G34" t="str">
        <f t="shared" ref="G34" si="171">IFERROR(MID(B34,FIND("(",B34) +1, FIND(")",B34) - FIND("(",B34) - 1),"")</f>
        <v>1000</v>
      </c>
      <c r="H34" t="str">
        <f>+VLOOKUP(E34,'[2]Data Type Mapping'!A:B,2,)</f>
        <v>string</v>
      </c>
      <c r="I34" t="str">
        <f t="shared" ref="I34" si="172">IF(H34="string",REPT(CHAR(9),2)&amp;"public const int Max"&amp;D34&amp;"Length = "&amp;G34&amp;";"&amp;$E$3,"" )</f>
        <v xml:space="preserve">		public const int MaxRemarkLength = 1000;
</v>
      </c>
      <c r="J34" t="str">
        <f t="shared" ref="J34" si="173">IF(F34="","",REPT(CHAR(9),2)&amp;"[Column(TypeName="""&amp;F34&amp;""")]"&amp;$E$3)&amp;IF(C34="Checked","",$I$3)&amp;IF(H34="string",REPT(CHAR(9),2)&amp;"[StringLength(Max"&amp;D34&amp;"Length"&amp;")]"&amp;$E$3,"")&amp;REPT(CHAR(9),2)&amp;"public virtual "&amp;H34&amp;IF(C34="?","? "," ")&amp;D34&amp;" { get; set; }" &amp; "
"</f>
        <v xml:space="preserve">		[StringLength(MaxRemarkLength)]
		public virtual string Remark { get; set; }
</v>
      </c>
      <c r="K34" s="6"/>
      <c r="L34" t="str">
        <f t="shared" ref="L34" si="174">IF(K34="","",REPT(CHAR(9),1)&amp;"[Index(nameof("&amp;IF(D34="","",""&amp;D34)&amp;")"&amp;", Name="&amp;"""IX_"&amp;$B$7&amp;"_"&amp;D34&amp;""")]")</f>
        <v/>
      </c>
      <c r="M34" t="str">
        <f t="shared" ref="M34" si="175">REPT(CHAR(9),2)&amp;"public virtual "&amp;IF(OR(H34="DateTime",H34="TimeSpan"),H34&amp;"?",H34)&amp;IF(C34="?","? "," ")&amp;D34&amp;" { get; set; }" &amp; "
"</f>
        <v xml:space="preserve">		public virtual string Remark { get; set; }
</v>
      </c>
      <c r="N34" t="str">
        <f t="shared" ref="N34" si="176">IF(C34="Checked","",$I$3)&amp;IF(H34="string",REPT(CHAR(9),2)&amp;"[StringLength("&amp;$B$3&amp;"Consts.Max"&amp;D34&amp;"Length"&amp;")]"&amp;$E$3,"")&amp;REPT(CHAR(9),2)&amp;"public virtual "&amp;IF(OR(H34="DateTime",H34="TimeSpan"),H34&amp;"?",H34)&amp;IF(C34="?","? "," ")&amp;D34&amp;" { get; set; }" &amp; "
"</f>
        <v xml:space="preserve">		[StringLength(InvCkdContainerListConsts.MaxRemarkLength)]
		public virtual string Remark { get; set; }
</v>
      </c>
      <c r="O34" t="str">
        <f t="shared" ref="O34" si="177">IF(OR(H34="string",H34="DateTime",H34="int"),REPT(CHAR(9),2)&amp;"public virtual "&amp;IF(OR(H34="DateTime",H34="TimeSpan"),H34&amp;"?",H34)&amp;IF(C34="?","? "," ")&amp;D34&amp;" { get; set; }"&amp;$E$3,"")</f>
        <v xml:space="preserve">		public virtual string Remark { get; set; }
</v>
      </c>
      <c r="P34" t="str">
        <f t="shared" ref="P34" si="178">REPT(CHAR(9),7)&amp;D34&amp;" = o." &amp;D34 &amp;","</f>
        <v xml:space="preserve">							Remark = o.Remark,</v>
      </c>
      <c r="T34" s="63" t="str">
        <f t="shared" ref="T34" si="179">REPT(CHAR(9),8)&amp;"("""&amp;D34&amp;"""),"</f>
        <v xml:space="preserve">								("Remark"),</v>
      </c>
      <c r="V34" s="64" t="str">
        <f t="shared" ref="V34" si="180">REPT(CHAR(9),8)&amp;"_ =&gt; _."&amp;D34&amp;","</f>
        <v xml:space="preserve">								_ =&gt; _.Remark,</v>
      </c>
      <c r="W34" s="63" t="str">
        <f t="shared" ref="W34" si="181">IF(H34="string",REPT(CHAR(9),4)&amp;".WhereIf(!string.IsNullOrWhiteSpace(input."&amp;D34&amp;"), e =&gt; e."&amp;D34&amp;".Contains(input."&amp;D34&amp;"))",IF(H34="DateTime",REPT(CHAR(9),4)&amp;".WhereIf(input."&amp;D34&amp;".HasValue, t =&gt; t."&amp;D34&amp;" == input."&amp;D34&amp;".Value)",""))</f>
        <v xml:space="preserve">				.WhereIf(!string.IsNullOrWhiteSpace(input.Remark), e =&gt; e.Remark.Contains(input.Remark))</v>
      </c>
    </row>
    <row r="35" spans="1:23" customFormat="1" ht="18.75" customHeight="1" x14ac:dyDescent="0.25">
      <c r="A35" s="69" t="s">
        <v>394</v>
      </c>
      <c r="B35" t="s">
        <v>362</v>
      </c>
      <c r="C35" t="s">
        <v>1</v>
      </c>
      <c r="D35" t="str">
        <f>SUBSTITUTE(PROPER(A35),"_","")</f>
        <v>WhLocation</v>
      </c>
      <c r="E35" t="str">
        <f>IFERROR(LEFT(B35, FIND("(",B35)-1),B35)</f>
        <v>VARCHAR</v>
      </c>
      <c r="F35" s="6"/>
      <c r="G35" t="str">
        <f>IFERROR(MID(B35,FIND("(",B35) +1, FIND(")",B35) - FIND("(",B35) - 1),"")</f>
        <v>10</v>
      </c>
      <c r="H35" t="str">
        <f>+VLOOKUP(E35,'Data Type Mapping'!A:B,2,)</f>
        <v>string</v>
      </c>
      <c r="I35" t="str">
        <f>IF(H35="string",REPT(CHAR(9),2)&amp;"public const int Max"&amp;D35&amp;"Length = "&amp;G35&amp;";"&amp;$E$3,"" )</f>
        <v xml:space="preserve">		public const int MaxWhLocationLength = 10;
</v>
      </c>
      <c r="J35" t="str">
        <f>IF(F35="","",REPT(CHAR(9),2)&amp;"[Column(TypeName="""&amp;F35&amp;""")]"&amp;$E$3)&amp;IF(C35="Checked","",$I$3)&amp;IF(H35="string",REPT(CHAR(9),2)&amp;"[StringLength(Max"&amp;D35&amp;"Length"&amp;")]"&amp;$E$3,"")&amp;REPT(CHAR(9),2)&amp;"public virtual "&amp;H35&amp;IF(C35="?","? "," ")&amp;D35&amp;" { get; set; }" &amp; "
"</f>
        <v xml:space="preserve">		[StringLength(MaxWhLocationLength)]
		public virtual string WhLocation { get; set; }
</v>
      </c>
      <c r="K35" s="6"/>
      <c r="L35" t="str">
        <f>IF(K35="","",REPT(CHAR(9),1)&amp;"[Index(nameof("&amp;IF(D35="","",""&amp;D35)&amp;")"&amp;", Name="&amp;"""IX_"&amp;$B$7&amp;"_"&amp;D35&amp;""")]")</f>
        <v/>
      </c>
      <c r="M35" t="str">
        <f>REPT(CHAR(9),2)&amp;"public virtual "&amp;IF(OR(H35="DateTime",H35="TimeSpan"),H35&amp;"?",H35)&amp;IF(C35="?","? "," ")&amp;D35&amp;" { get; set; }" &amp; "
"</f>
        <v xml:space="preserve">		public virtual string WhLocation { get; set; }
</v>
      </c>
      <c r="N35" t="str">
        <f>IF(C35="Checked","",$I$3)&amp;IF(H35="string",REPT(CHAR(9),2)&amp;"[StringLength("&amp;$B$3&amp;"Consts.Max"&amp;D35&amp;"Length"&amp;")]"&amp;$E$3,"")&amp;REPT(CHAR(9),2)&amp;"public virtual "&amp;IF(OR(H35="DateTime",H35="TimeSpan"),H35&amp;"?",H35)&amp;IF(C35="?","? "," ")&amp;D35&amp;" { get; set; }" &amp; "
"</f>
        <v xml:space="preserve">		[StringLength(InvCkdContainerListConsts.MaxWhLocationLength)]
		public virtual string WhLocation { get; set; }
</v>
      </c>
      <c r="O35" t="str">
        <f>IF(OR(H35="string",H35="DateTime",H35="int"),REPT(CHAR(9),2)&amp;"public virtual "&amp;IF(OR(H35="DateTime",H35="TimeSpan"),H35&amp;"?",H35)&amp;IF(C35="?","? "," ")&amp;D35&amp;" { get; set; }"&amp;$E$3,"")</f>
        <v xml:space="preserve">		public virtual string WhLocation { get; set; }
</v>
      </c>
      <c r="P35" t="str">
        <f>REPT(CHAR(9),7)&amp;D35&amp;" = o." &amp;D35 &amp;","</f>
        <v xml:space="preserve">							WhLocation = o.WhLocation,</v>
      </c>
      <c r="T35" s="63" t="str">
        <f>REPT(CHAR(9),8)&amp;"("""&amp;D35&amp;"""),"</f>
        <v xml:space="preserve">								("WhLocation"),</v>
      </c>
      <c r="V35" s="64" t="str">
        <f>REPT(CHAR(9),8)&amp;"_ =&gt; _."&amp;D35&amp;","</f>
        <v xml:space="preserve">								_ =&gt; _.WhLocation,</v>
      </c>
      <c r="W35" s="63" t="str">
        <f>IF(H35="string",REPT(CHAR(9),4)&amp;".WhereIf(!string.IsNullOrWhiteSpace(input."&amp;D35&amp;"), e =&gt; e."&amp;D35&amp;".Contains(input."&amp;D35&amp;"))",IF(H35="DateTime",REPT(CHAR(9),4)&amp;".WhereIf(input."&amp;D35&amp;".HasValue, t =&gt; t."&amp;D35&amp;" == input."&amp;D35&amp;".Value)",""))</f>
        <v xml:space="preserve">				.WhereIf(!string.IsNullOrWhiteSpace(input.WhLocation), e =&gt; e.WhLocation.Contains(input.WhLocation))</v>
      </c>
    </row>
    <row r="36" spans="1:23" customFormat="1" ht="18.75" customHeight="1" x14ac:dyDescent="0.25">
      <c r="A36" s="71" t="s">
        <v>398</v>
      </c>
      <c r="B36" t="s">
        <v>367</v>
      </c>
      <c r="C36" t="s">
        <v>1</v>
      </c>
      <c r="D36" t="str">
        <f>SUBSTITUTE(PROPER(A36),"_","")</f>
        <v>GateinDate</v>
      </c>
      <c r="E36" t="str">
        <f>IFERROR(LEFT(B36, FIND("(",B36)-1),B36)</f>
        <v>DATE</v>
      </c>
      <c r="F36" s="6"/>
      <c r="G36" t="str">
        <f>IFERROR(MID(B36,FIND("(",B36) +1, FIND(")",B36) - FIND("(",B36) - 1),"")</f>
        <v/>
      </c>
      <c r="H36" t="str">
        <f>+VLOOKUP(E36,'Data Type Mapping'!A:B,2,)</f>
        <v>DateTime?</v>
      </c>
      <c r="I36" t="str">
        <f>IF(H36="string",REPT(CHAR(9),2)&amp;"public const int Max"&amp;D36&amp;"Length = "&amp;G36&amp;";"&amp;$E$3,"" )</f>
        <v/>
      </c>
      <c r="J36" t="str">
        <f>IF(F36="","",REPT(CHAR(9),2)&amp;"[Column(TypeName="""&amp;F36&amp;""")]"&amp;$E$3)&amp;IF(C36="Checked","",$I$3)&amp;IF(H36="string",REPT(CHAR(9),2)&amp;"[StringLength(Max"&amp;D36&amp;"Length"&amp;")]"&amp;$E$3,"")&amp;REPT(CHAR(9),2)&amp;"public virtual "&amp;H36&amp;IF(C36="?","? "," ")&amp;D36&amp;" { get; set; }" &amp; "
"</f>
        <v xml:space="preserve">		public virtual DateTime? GateinDate { get; set; }
</v>
      </c>
      <c r="K36" s="6"/>
      <c r="L36" t="str">
        <f>IF(K36="","",REPT(CHAR(9),1)&amp;"[Index(nameof("&amp;IF(D36="","",""&amp;D36)&amp;")"&amp;", Name="&amp;"""IX_"&amp;$B$7&amp;"_"&amp;D36&amp;""")]")</f>
        <v/>
      </c>
      <c r="M36" t="str">
        <f>REPT(CHAR(9),2)&amp;"public virtual "&amp;IF(OR(H36="DateTime",H36="TimeSpan"),H36&amp;"?",H36)&amp;IF(C36="?","? "," ")&amp;D36&amp;" { get; set; }" &amp; "
"</f>
        <v xml:space="preserve">		public virtual DateTime? GateinDate { get; set; }
</v>
      </c>
      <c r="N36" t="str">
        <f>IF(C36="Checked","",$I$3)&amp;IF(H36="string",REPT(CHAR(9),2)&amp;"[StringLength("&amp;$B$3&amp;"Consts.Max"&amp;D36&amp;"Length"&amp;")]"&amp;$E$3,"")&amp;REPT(CHAR(9),2)&amp;"public virtual "&amp;IF(OR(H36="DateTime",H36="TimeSpan"),H36&amp;"?",H36)&amp;IF(C36="?","? "," ")&amp;D36&amp;" { get; set; }" &amp; "
"</f>
        <v xml:space="preserve">		public virtual DateTime? GateinDate { get; set; }
</v>
      </c>
      <c r="O36" t="str">
        <f>IF(OR(H36="string",H36="DateTime",H36="int"),REPT(CHAR(9),2)&amp;"public virtual "&amp;IF(OR(H36="DateTime",H36="TimeSpan"),H36&amp;"?",H36)&amp;IF(C36="?","? "," ")&amp;D36&amp;" { get; set; }"&amp;$E$3,"")</f>
        <v/>
      </c>
      <c r="P36" t="str">
        <f>REPT(CHAR(9),7)&amp;D36&amp;" = o." &amp;D36 &amp;","</f>
        <v xml:space="preserve">							GateinDate = o.GateinDate,</v>
      </c>
      <c r="T36" s="63" t="str">
        <f>REPT(CHAR(9),8)&amp;"("""&amp;D36&amp;"""),"</f>
        <v xml:space="preserve">								("GateinDate"),</v>
      </c>
      <c r="V36" s="64" t="str">
        <f>REPT(CHAR(9),8)&amp;"_ =&gt; _."&amp;D36&amp;","</f>
        <v xml:space="preserve">								_ =&gt; _.GateinDate,</v>
      </c>
      <c r="W36" s="63" t="str">
        <f>IF(H36="string",REPT(CHAR(9),4)&amp;".WhereIf(!string.IsNullOrWhiteSpace(input."&amp;D36&amp;"), e =&gt; e."&amp;D36&amp;".Contains(input."&amp;D36&amp;"))",IF(H36="DateTime",REPT(CHAR(9),4)&amp;".WhereIf(input."&amp;D36&amp;".HasValue, t =&gt; t."&amp;D36&amp;" == input."&amp;D36&amp;".Value)",""))</f>
        <v/>
      </c>
    </row>
    <row r="37" spans="1:23" customFormat="1" ht="18.75" customHeight="1" x14ac:dyDescent="0.25">
      <c r="A37" s="71" t="s">
        <v>408</v>
      </c>
      <c r="B37" t="s">
        <v>404</v>
      </c>
      <c r="C37" t="s">
        <v>1</v>
      </c>
      <c r="D37" t="str">
        <f t="shared" ref="D37" si="182">SUBSTITUTE(PROPER(A37),"_","")</f>
        <v>GateinTime</v>
      </c>
      <c r="E37" t="str">
        <f t="shared" ref="E37" si="183">IFERROR(LEFT(B37, FIND("(",B37)-1),B37)</f>
        <v>time</v>
      </c>
      <c r="F37" s="6"/>
      <c r="G37" t="str">
        <f t="shared" ref="G37" si="184">IFERROR(MID(B37,FIND("(",B37) +1, FIND(")",B37) - FIND("(",B37) - 1),"")</f>
        <v>7</v>
      </c>
      <c r="H37" t="str">
        <f>+VLOOKUP(E37,'[2]Data Type Mapping'!A:B,2,)</f>
        <v>TimeSpan?</v>
      </c>
      <c r="I37" t="str">
        <f t="shared" ref="I37" si="185">IF(H37="string",REPT(CHAR(9),2)&amp;"public const int Max"&amp;D37&amp;"Length = "&amp;G37&amp;";"&amp;$E$3,"" )</f>
        <v/>
      </c>
      <c r="J37" t="str">
        <f t="shared" ref="J37" si="186">IF(F37="","",REPT(CHAR(9),2)&amp;"[Column(TypeName="""&amp;F37&amp;""")]"&amp;$E$3)&amp;IF(C37="Checked","",$I$3)&amp;IF(H37="string",REPT(CHAR(9),2)&amp;"[StringLength(Max"&amp;D37&amp;"Length"&amp;")]"&amp;$E$3,"")&amp;REPT(CHAR(9),2)&amp;"public virtual "&amp;H37&amp;IF(C37="?","? "," ")&amp;D37&amp;" { get; set; }" &amp; "
"</f>
        <v xml:space="preserve">		public virtual TimeSpan? GateinTime { get; set; }
</v>
      </c>
      <c r="K37" s="6"/>
      <c r="L37" t="str">
        <f t="shared" ref="L37" si="187">IF(K37="","",REPT(CHAR(9),1)&amp;"[Index(nameof("&amp;IF(D37="","",""&amp;D37)&amp;")"&amp;", Name="&amp;"""IX_"&amp;$B$7&amp;"_"&amp;D37&amp;""")]")</f>
        <v/>
      </c>
      <c r="M37" t="str">
        <f t="shared" ref="M37" si="188">REPT(CHAR(9),2)&amp;"public virtual "&amp;IF(OR(H37="DateTime",H37="TimeSpan"),H37&amp;"?",H37)&amp;IF(C37="?","? "," ")&amp;D37&amp;" { get; set; }" &amp; "
"</f>
        <v xml:space="preserve">		public virtual TimeSpan? GateinTime { get; set; }
</v>
      </c>
      <c r="N37" t="str">
        <f t="shared" ref="N37" si="189">IF(C37="Checked","",$I$3)&amp;IF(H37="string",REPT(CHAR(9),2)&amp;"[StringLength("&amp;$B$3&amp;"Consts.Max"&amp;D37&amp;"Length"&amp;")]"&amp;$E$3,"")&amp;REPT(CHAR(9),2)&amp;"public virtual "&amp;IF(OR(H37="DateTime",H37="TimeSpan"),H37&amp;"?",H37)&amp;IF(C37="?","? "," ")&amp;D37&amp;" { get; set; }" &amp; "
"</f>
        <v xml:space="preserve">		public virtual TimeSpan? GateinTime { get; set; }
</v>
      </c>
      <c r="O37" t="str">
        <f t="shared" ref="O37" si="190">IF(OR(H37="string",H37="DateTime",H37="int"),REPT(CHAR(9),2)&amp;"public virtual "&amp;IF(OR(H37="DateTime",H37="TimeSpan"),H37&amp;"?",H37)&amp;IF(C37="?","? "," ")&amp;D37&amp;" { get; set; }"&amp;$E$3,"")</f>
        <v/>
      </c>
      <c r="P37" t="str">
        <f t="shared" ref="P37" si="191">REPT(CHAR(9),7)&amp;D37&amp;" = o." &amp;D37 &amp;","</f>
        <v xml:space="preserve">							GateinTime = o.GateinTime,</v>
      </c>
      <c r="T37" s="63" t="str">
        <f t="shared" ref="T37" si="192">REPT(CHAR(9),8)&amp;"("""&amp;D37&amp;"""),"</f>
        <v xml:space="preserve">								("GateinTime"),</v>
      </c>
      <c r="V37" s="64" t="str">
        <f t="shared" ref="V37" si="193">REPT(CHAR(9),8)&amp;"_ =&gt; _."&amp;D37&amp;","</f>
        <v xml:space="preserve">								_ =&gt; _.GateinTime,</v>
      </c>
      <c r="W37" s="63" t="str">
        <f t="shared" ref="W37" si="194">IF(H37="string",REPT(CHAR(9),4)&amp;".WhereIf(!string.IsNullOrWhiteSpace(input."&amp;D37&amp;"), e =&gt; e."&amp;D37&amp;".Contains(input."&amp;D37&amp;"))",IF(H37="DateTime",REPT(CHAR(9),4)&amp;".WhereIf(input."&amp;D37&amp;".HasValue, t =&gt; t."&amp;D37&amp;" == input."&amp;D37&amp;".Value)",""))</f>
        <v/>
      </c>
    </row>
    <row r="38" spans="1:23" customFormat="1" ht="18.75" customHeight="1" x14ac:dyDescent="0.25">
      <c r="A38" s="72" t="s">
        <v>407</v>
      </c>
      <c r="B38" t="s">
        <v>387</v>
      </c>
      <c r="C38" t="s">
        <v>1</v>
      </c>
      <c r="D38" t="str">
        <f t="shared" ref="D38" si="195">SUBSTITUTE(PROPER(A38),"_","")</f>
        <v>TransitPortReqId</v>
      </c>
      <c r="E38" t="str">
        <f t="shared" ref="E38" si="196">IFERROR(LEFT(B38, FIND("(",B38)-1),B38)</f>
        <v>BIGINT</v>
      </c>
      <c r="F38" s="6"/>
      <c r="G38" t="str">
        <f t="shared" ref="G38" si="197">IFERROR(MID(B38,FIND("(",B38) +1, FIND(")",B38) - FIND("(",B38) - 1),"")</f>
        <v/>
      </c>
      <c r="H38" t="str">
        <f>+VLOOKUP(E38,'Data Type Mapping'!A:B,2,)</f>
        <v>long?</v>
      </c>
      <c r="I38" t="str">
        <f t="shared" ref="I38" si="198">IF(H38="string",REPT(CHAR(9),2)&amp;"public const int Max"&amp;D38&amp;"Length = "&amp;G38&amp;";"&amp;$E$3,"" )</f>
        <v/>
      </c>
      <c r="J38" t="str">
        <f t="shared" ref="J38" si="199">IF(F38="","",REPT(CHAR(9),2)&amp;"[Column(TypeName="""&amp;F38&amp;""")]"&amp;$E$3)&amp;IF(C38="Checked","",$I$3)&amp;IF(H38="string",REPT(CHAR(9),2)&amp;"[StringLength(Max"&amp;D38&amp;"Length"&amp;")]"&amp;$E$3,"")&amp;REPT(CHAR(9),2)&amp;"public virtual "&amp;H38&amp;IF(C38="?","? "," ")&amp;D38&amp;" { get; set; }" &amp; "
"</f>
        <v xml:space="preserve">		public virtual long? TransitPortReqId { get; set; }
</v>
      </c>
      <c r="K38" s="6"/>
      <c r="L38" t="str">
        <f t="shared" ref="L38" si="200">IF(K38="","",REPT(CHAR(9),1)&amp;"[Index(nameof("&amp;IF(D38="","",""&amp;D38)&amp;")"&amp;", Name="&amp;"""IX_"&amp;$B$7&amp;"_"&amp;D38&amp;""")]")</f>
        <v/>
      </c>
      <c r="M38" t="str">
        <f t="shared" ref="M38" si="201">REPT(CHAR(9),2)&amp;"public virtual "&amp;IF(OR(H38="DateTime",H38="TimeSpan"),H38&amp;"?",H38)&amp;IF(C38="?","? "," ")&amp;D38&amp;" { get; set; }" &amp; "
"</f>
        <v xml:space="preserve">		public virtual long? TransitPortReqId { get; set; }
</v>
      </c>
      <c r="N38" t="str">
        <f t="shared" ref="N38" si="202">IF(C38="Checked","",$I$3)&amp;IF(H38="string",REPT(CHAR(9),2)&amp;"[StringLength("&amp;$B$3&amp;"Consts.Max"&amp;D38&amp;"Length"&amp;")]"&amp;$E$3,"")&amp;REPT(CHAR(9),2)&amp;"public virtual "&amp;IF(OR(H38="DateTime",H38="TimeSpan"),H38&amp;"?",H38)&amp;IF(C38="?","? "," ")&amp;D38&amp;" { get; set; }" &amp; "
"</f>
        <v xml:space="preserve">		public virtual long? TransitPortReqId { get; set; }
</v>
      </c>
      <c r="O38" t="str">
        <f t="shared" ref="O38" si="203">IF(OR(H38="string",H38="DateTime",H38="int"),REPT(CHAR(9),2)&amp;"public virtual "&amp;IF(OR(H38="DateTime",H38="TimeSpan"),H38&amp;"?",H38)&amp;IF(C38="?","? "," ")&amp;D38&amp;" { get; set; }"&amp;$E$3,"")</f>
        <v/>
      </c>
      <c r="P38" t="str">
        <f t="shared" ref="P38" si="204">REPT(CHAR(9),7)&amp;D38&amp;" = o." &amp;D38 &amp;","</f>
        <v xml:space="preserve">							TransitPortReqId = o.TransitPortReqId,</v>
      </c>
      <c r="T38" s="63" t="str">
        <f t="shared" ref="T38" si="205">REPT(CHAR(9),8)&amp;"("""&amp;D38&amp;"""),"</f>
        <v xml:space="preserve">								("TransitPortReqId"),</v>
      </c>
      <c r="V38" s="64" t="str">
        <f t="shared" ref="V38" si="206">REPT(CHAR(9),8)&amp;"_ =&gt; _."&amp;D38&amp;","</f>
        <v xml:space="preserve">								_ =&gt; _.TransitPortReqId,</v>
      </c>
      <c r="W38" s="63" t="str">
        <f t="shared" ref="W38" si="207">IF(H38="string",REPT(CHAR(9),4)&amp;".WhereIf(!string.IsNullOrWhiteSpace(input."&amp;D38&amp;"), e =&gt; e."&amp;D38&amp;".Contains(input."&amp;D38&amp;"))",IF(H38="DateTime",REPT(CHAR(9),4)&amp;".WhereIf(input."&amp;D38&amp;".HasValue, t =&gt; t."&amp;D38&amp;" == input."&amp;D38&amp;".Value)",""))</f>
        <v/>
      </c>
    </row>
    <row r="39" spans="1:23" customFormat="1" ht="18.75" customHeight="1" x14ac:dyDescent="0.25">
      <c r="A39" s="72" t="s">
        <v>405</v>
      </c>
      <c r="B39" t="s">
        <v>367</v>
      </c>
      <c r="C39" t="s">
        <v>1</v>
      </c>
      <c r="D39" t="str">
        <f t="shared" ref="D39:D40" si="208">SUBSTITUTE(PROPER(A39),"_","")</f>
        <v>TransitPortReqDate</v>
      </c>
      <c r="E39" t="str">
        <f t="shared" ref="E39:E40" si="209">IFERROR(LEFT(B39, FIND("(",B39)-1),B39)</f>
        <v>DATE</v>
      </c>
      <c r="F39" s="6"/>
      <c r="G39" t="str">
        <f t="shared" ref="G39:G40" si="210">IFERROR(MID(B39,FIND("(",B39) +1, FIND(")",B39) - FIND("(",B39) - 1),"")</f>
        <v/>
      </c>
      <c r="H39" t="str">
        <f>+VLOOKUP(E39,'[3]Data Type Mapping'!A:B,2,)</f>
        <v>DateTime?</v>
      </c>
      <c r="I39" t="str">
        <f t="shared" ref="I39:I40" si="211">IF(H39="string",REPT(CHAR(9),2)&amp;"public const int Max"&amp;D39&amp;"Length = "&amp;G39&amp;";"&amp;$E$3,"" )</f>
        <v/>
      </c>
      <c r="J39" t="str">
        <f t="shared" ref="J39:J40" si="212">IF(F39="","",REPT(CHAR(9),2)&amp;"[Column(TypeName="""&amp;F39&amp;""")]"&amp;$E$3)&amp;IF(C39="Checked","",$I$3)&amp;IF(H39="string",REPT(CHAR(9),2)&amp;"[StringLength(Max"&amp;D39&amp;"Length"&amp;")]"&amp;$E$3,"")&amp;REPT(CHAR(9),2)&amp;"public virtual "&amp;H39&amp;IF(C39="?","? "," ")&amp;D39&amp;" { get; set; }" &amp; "
"</f>
        <v xml:space="preserve">		public virtual DateTime? TransitPortReqDate { get; set; }
</v>
      </c>
      <c r="K39" s="6" t="s">
        <v>403</v>
      </c>
      <c r="L39" t="str">
        <f t="shared" ref="L39:L40" si="213">IF(K39="","",REPT(CHAR(9),1)&amp;"[Index(nameof("&amp;IF(D39="","",""&amp;D39)&amp;")"&amp;", Name="&amp;"""IX_"&amp;$B$7&amp;"_"&amp;D39&amp;""")]")</f>
        <v xml:space="preserve">	[Index(nameof(TransitPortReqDate), Name="IX_InvCkdContainerList_TransitPortReqDate")]</v>
      </c>
      <c r="M39" t="str">
        <f t="shared" ref="M39:M40" si="214">REPT(CHAR(9),2)&amp;"public virtual "&amp;IF(OR(H39="DateTime",H39="TimeSpan"),H39&amp;"?",H39)&amp;IF(C39="?","? "," ")&amp;D39&amp;" { get; set; }" &amp; "
"</f>
        <v xml:space="preserve">		public virtual DateTime? TransitPortReqDate { get; set; }
</v>
      </c>
      <c r="N39" t="str">
        <f t="shared" ref="N39:N40" si="215">IF(C39="Checked","",$I$3)&amp;IF(H39="string",REPT(CHAR(9),2)&amp;"[StringLength("&amp;$B$3&amp;"Consts.Max"&amp;D39&amp;"Length"&amp;")]"&amp;$E$3,"")&amp;REPT(CHAR(9),2)&amp;"public virtual "&amp;IF(OR(H39="DateTime",H39="TimeSpan"),H39&amp;"?",H39)&amp;IF(C39="?","? "," ")&amp;D39&amp;" { get; set; }" &amp; "
"</f>
        <v xml:space="preserve">		public virtual DateTime? TransitPortReqDate { get; set; }
</v>
      </c>
      <c r="O39" t="str">
        <f t="shared" ref="O39:O40" si="216">IF(OR(H39="string",H39="DateTime",H39="int"),REPT(CHAR(9),2)&amp;"public virtual "&amp;IF(OR(H39="DateTime",H39="TimeSpan"),H39&amp;"?",H39)&amp;IF(C39="?","? "," ")&amp;D39&amp;" { get; set; }"&amp;$E$3,"")</f>
        <v/>
      </c>
      <c r="P39" t="str">
        <f t="shared" ref="P39:P40" si="217">REPT(CHAR(9),7)&amp;D39&amp;" = o." &amp;D39 &amp;","</f>
        <v xml:space="preserve">							TransitPortReqDate = o.TransitPortReqDate,</v>
      </c>
      <c r="T39" s="63" t="str">
        <f t="shared" ref="T39:T40" si="218">REPT(CHAR(9),8)&amp;"("""&amp;D39&amp;"""),"</f>
        <v xml:space="preserve">								("TransitPortReqDate"),</v>
      </c>
      <c r="V39" s="64" t="str">
        <f t="shared" ref="V39:V40" si="219">REPT(CHAR(9),8)&amp;"_ =&gt; _."&amp;D39&amp;","</f>
        <v xml:space="preserve">								_ =&gt; _.TransitPortReqDate,</v>
      </c>
      <c r="W39" s="63" t="str">
        <f t="shared" ref="W39:W40" si="220">IF(H39="string",REPT(CHAR(9),4)&amp;".WhereIf(!string.IsNullOrWhiteSpace(input."&amp;D39&amp;"), e =&gt; e."&amp;D39&amp;".Contains(input."&amp;D39&amp;"))",IF(H39="DateTime",REPT(CHAR(9),4)&amp;".WhereIf(input."&amp;D39&amp;".HasValue, t =&gt; t."&amp;D39&amp;" == input."&amp;D39&amp;".Value)",""))</f>
        <v/>
      </c>
    </row>
    <row r="40" spans="1:23" customFormat="1" ht="18.75" customHeight="1" x14ac:dyDescent="0.25">
      <c r="A40" s="72" t="s">
        <v>406</v>
      </c>
      <c r="B40" t="s">
        <v>404</v>
      </c>
      <c r="C40" t="s">
        <v>1</v>
      </c>
      <c r="D40" t="str">
        <f t="shared" si="208"/>
        <v>TransitPortReqTime</v>
      </c>
      <c r="E40" t="str">
        <f t="shared" si="209"/>
        <v>time</v>
      </c>
      <c r="F40" s="6"/>
      <c r="G40" t="str">
        <f t="shared" si="210"/>
        <v>7</v>
      </c>
      <c r="H40" t="str">
        <f>+VLOOKUP(E40,'[3]Data Type Mapping'!A:B,2,)</f>
        <v>TimeSpan?</v>
      </c>
      <c r="I40" t="str">
        <f t="shared" si="211"/>
        <v/>
      </c>
      <c r="J40" t="str">
        <f t="shared" si="212"/>
        <v xml:space="preserve">		public virtual TimeSpan? TransitPortReqTime { get; set; }
</v>
      </c>
      <c r="K40" s="6"/>
      <c r="L40" t="str">
        <f t="shared" si="213"/>
        <v/>
      </c>
      <c r="M40" t="str">
        <f t="shared" si="214"/>
        <v xml:space="preserve">		public virtual TimeSpan? TransitPortReqTime { get; set; }
</v>
      </c>
      <c r="N40" t="str">
        <f t="shared" si="215"/>
        <v xml:space="preserve">		public virtual TimeSpan? TransitPortReqTime { get; set; }
</v>
      </c>
      <c r="O40" t="str">
        <f t="shared" si="216"/>
        <v/>
      </c>
      <c r="P40" t="str">
        <f t="shared" si="217"/>
        <v xml:space="preserve">							TransitPortReqTime = o.TransitPortReqTime,</v>
      </c>
      <c r="T40" s="63" t="str">
        <f t="shared" si="218"/>
        <v xml:space="preserve">								("TransitPortReqTime"),</v>
      </c>
      <c r="V40" s="64" t="str">
        <f t="shared" si="219"/>
        <v xml:space="preserve">								_ =&gt; _.TransitPortReqTime,</v>
      </c>
      <c r="W40" s="63" t="str">
        <f t="shared" si="220"/>
        <v/>
      </c>
    </row>
    <row r="41" spans="1:23" customFormat="1" ht="18.75" customHeight="1" x14ac:dyDescent="0.25">
      <c r="A41" s="72" t="s">
        <v>409</v>
      </c>
      <c r="B41" t="s">
        <v>381</v>
      </c>
      <c r="C41" t="s">
        <v>1</v>
      </c>
      <c r="D41" t="str">
        <f t="shared" ref="D41" si="221">SUBSTITUTE(PROPER(A41),"_","")</f>
        <v>TransitPortRemark</v>
      </c>
      <c r="E41" t="str">
        <f t="shared" ref="E41" si="222">IFERROR(LEFT(B41, FIND("(",B41)-1),B41)</f>
        <v>VARCHAR</v>
      </c>
      <c r="F41" s="6"/>
      <c r="G41" t="str">
        <f t="shared" ref="G41" si="223">IFERROR(MID(B41,FIND("(",B41) +1, FIND(")",B41) - FIND("(",B41) - 1),"")</f>
        <v>1000</v>
      </c>
      <c r="H41" t="str">
        <f>+VLOOKUP(E41,'[3]Data Type Mapping'!A:B,2,)</f>
        <v>string</v>
      </c>
      <c r="I41" t="str">
        <f t="shared" ref="I41" si="224">IF(H41="string",REPT(CHAR(9),2)&amp;"public const int Max"&amp;D41&amp;"Length = "&amp;G41&amp;";"&amp;$E$3,"" )</f>
        <v xml:space="preserve">		public const int MaxTransitPortRemarkLength = 1000;
</v>
      </c>
      <c r="J41" t="str">
        <f t="shared" ref="J41" si="225">IF(F41="","",REPT(CHAR(9),2)&amp;"[Column(TypeName="""&amp;F41&amp;""")]"&amp;$E$3)&amp;IF(C41="Checked","",$I$3)&amp;IF(H41="string",REPT(CHAR(9),2)&amp;"[StringLength(Max"&amp;D41&amp;"Length"&amp;")]"&amp;$E$3,"")&amp;REPT(CHAR(9),2)&amp;"public virtual "&amp;H41&amp;IF(C41="?","? "," ")&amp;D41&amp;" { get; set; }" &amp; "
"</f>
        <v xml:space="preserve">		[StringLength(MaxTransitPortRemarkLength)]
		public virtual string TransitPortRemark { get; set; }
</v>
      </c>
      <c r="K41" s="6"/>
      <c r="L41" t="str">
        <f t="shared" ref="L41" si="226">IF(K41="","",REPT(CHAR(9),1)&amp;"[Index(nameof("&amp;IF(D41="","",""&amp;D41)&amp;")"&amp;", Name="&amp;"""IX_"&amp;$B$7&amp;"_"&amp;D41&amp;""")]")</f>
        <v/>
      </c>
      <c r="M41" t="str">
        <f t="shared" ref="M41" si="227">REPT(CHAR(9),2)&amp;"public virtual "&amp;IF(OR(H41="DateTime",H41="TimeSpan"),H41&amp;"?",H41)&amp;IF(C41="?","? "," ")&amp;D41&amp;" { get; set; }" &amp; "
"</f>
        <v xml:space="preserve">		public virtual string TransitPortRemark { get; set; }
</v>
      </c>
      <c r="N41" t="str">
        <f t="shared" ref="N41" si="228">IF(C41="Checked","",$I$3)&amp;IF(H41="string",REPT(CHAR(9),2)&amp;"[StringLength("&amp;$B$3&amp;"Consts.Max"&amp;D41&amp;"Length"&amp;")]"&amp;$E$3,"")&amp;REPT(CHAR(9),2)&amp;"public virtual "&amp;IF(OR(H41="DateTime",H41="TimeSpan"),H41&amp;"?",H41)&amp;IF(C41="?","? "," ")&amp;D41&amp;" { get; set; }" &amp; "
"</f>
        <v xml:space="preserve">		[StringLength(InvCkdContainerListConsts.MaxTransitPortRemarkLength)]
		public virtual string TransitPortRemark { get; set; }
</v>
      </c>
      <c r="O41" t="str">
        <f t="shared" ref="O41" si="229">IF(OR(H41="string",H41="DateTime",H41="int"),REPT(CHAR(9),2)&amp;"public virtual "&amp;IF(OR(H41="DateTime",H41="TimeSpan"),H41&amp;"?",H41)&amp;IF(C41="?","? "," ")&amp;D41&amp;" { get; set; }"&amp;$E$3,"")</f>
        <v xml:space="preserve">		public virtual string TransitPortRemark { get; set; }
</v>
      </c>
      <c r="P41" t="str">
        <f t="shared" ref="P41" si="230">REPT(CHAR(9),7)&amp;D41&amp;" = o." &amp;D41 &amp;","</f>
        <v xml:space="preserve">							TransitPortRemark = o.TransitPortRemark,</v>
      </c>
      <c r="T41" s="63" t="str">
        <f t="shared" ref="T41" si="231">REPT(CHAR(9),8)&amp;"("""&amp;D41&amp;"""),"</f>
        <v xml:space="preserve">								("TransitPortRemark"),</v>
      </c>
      <c r="V41" s="64" t="str">
        <f t="shared" ref="V41" si="232">REPT(CHAR(9),8)&amp;"_ =&gt; _."&amp;D41&amp;","</f>
        <v xml:space="preserve">								_ =&gt; _.TransitPortRemark,</v>
      </c>
      <c r="W41" s="63" t="str">
        <f t="shared" ref="W41" si="233">IF(H41="string",REPT(CHAR(9),4)&amp;".WhereIf(!string.IsNullOrWhiteSpace(input."&amp;D41&amp;"), e =&gt; e."&amp;D41&amp;".Contains(input."&amp;D41&amp;"))",IF(H41="DateTime",REPT(CHAR(9),4)&amp;".WhereIf(input."&amp;D41&amp;".HasValue, t =&gt; t."&amp;D41&amp;" == input."&amp;D41&amp;".Value)",""))</f>
        <v xml:space="preserve">				.WhereIf(!string.IsNullOrWhiteSpace(input.TransitPortRemark), e =&gt; e.TransitPortRemark.Contains(input.TransitPortRemark))</v>
      </c>
    </row>
    <row r="42" spans="1:23" customFormat="1" ht="18.75" customHeight="1" x14ac:dyDescent="0.25">
      <c r="A42" s="68" t="s">
        <v>351</v>
      </c>
      <c r="B42" t="s">
        <v>366</v>
      </c>
      <c r="C42" t="s">
        <v>1</v>
      </c>
      <c r="D42" t="str">
        <f>SUBSTITUTE(PROPER(A42),"_","")</f>
        <v>Fob</v>
      </c>
      <c r="E42" t="str">
        <f>IFERROR(LEFT(B42, FIND("(",B42)-1),B42)</f>
        <v>DECIMAL</v>
      </c>
      <c r="F42" s="6"/>
      <c r="G42" t="str">
        <f>IFERROR(MID(B42,FIND("(",B42) +1, FIND(")",B42) - FIND("(",B42) - 1),"")</f>
        <v>18,4</v>
      </c>
      <c r="H42" t="str">
        <f>+VLOOKUP(E42,'Data Type Mapping'!A:B,2,)</f>
        <v>decimal?</v>
      </c>
      <c r="I42" t="str">
        <f>IF(H42="string",REPT(CHAR(9),2)&amp;"public const int Max"&amp;D42&amp;"Length = "&amp;G42&amp;";"&amp;$E$3,"" )</f>
        <v/>
      </c>
      <c r="J42" t="str">
        <f>IF(F42="","",REPT(CHAR(9),2)&amp;"[Column(TypeName="""&amp;F42&amp;""")]"&amp;$E$3)&amp;IF(C42="Checked","",$I$3)&amp;IF(H42="string",REPT(CHAR(9),2)&amp;"[StringLength(Max"&amp;D42&amp;"Length"&amp;")]"&amp;$E$3,"")&amp;REPT(CHAR(9),2)&amp;"public virtual "&amp;H42&amp;IF(C42="?","? "," ")&amp;D42&amp;" { get; set; }" &amp; "
"</f>
        <v xml:space="preserve">		public virtual decimal? Fob { get; set; }
</v>
      </c>
      <c r="K42" s="6"/>
      <c r="L42" t="str">
        <f>IF(K42="","",REPT(CHAR(9),1)&amp;"[Index(nameof("&amp;IF(D42="","",""&amp;D42)&amp;")"&amp;", Name="&amp;"""IX_"&amp;$B$7&amp;"_"&amp;D42&amp;""")]")</f>
        <v/>
      </c>
      <c r="M42" t="str">
        <f>REPT(CHAR(9),2)&amp;"public virtual "&amp;IF(OR(H42="DateTime",H42="TimeSpan"),H42&amp;"?",H42)&amp;IF(C42="?","? "," ")&amp;D42&amp;" { get; set; }" &amp; "
"</f>
        <v xml:space="preserve">		public virtual decimal? Fob { get; set; }
</v>
      </c>
      <c r="N42" t="str">
        <f>IF(C42="Checked","",$I$3)&amp;IF(H42="string",REPT(CHAR(9),2)&amp;"[StringLength("&amp;$B$3&amp;"Consts.Max"&amp;D42&amp;"Length"&amp;")]"&amp;$E$3,"")&amp;REPT(CHAR(9),2)&amp;"public virtual "&amp;IF(OR(H42="DateTime",H42="TimeSpan"),H42&amp;"?",H42)&amp;IF(C42="?","? "," ")&amp;D42&amp;" { get; set; }" &amp; "
"</f>
        <v xml:space="preserve">		public virtual decimal? Fob { get; set; }
</v>
      </c>
      <c r="O42" t="str">
        <f>IF(OR(H42="string",H42="DateTime",H42="int"),REPT(CHAR(9),2)&amp;"public virtual "&amp;IF(OR(H42="DateTime",H42="TimeSpan"),H42&amp;"?",H42)&amp;IF(C42="?","? "," ")&amp;D42&amp;" { get; set; }"&amp;$E$3,"")</f>
        <v/>
      </c>
      <c r="P42" t="str">
        <f>REPT(CHAR(9),7)&amp;D42&amp;" = o." &amp;D42 &amp;","</f>
        <v xml:space="preserve">							Fob = o.Fob,</v>
      </c>
      <c r="T42" s="63" t="str">
        <f>REPT(CHAR(9),8)&amp;"("""&amp;D42&amp;"""),"</f>
        <v xml:space="preserve">								("Fob"),</v>
      </c>
      <c r="V42" s="64" t="str">
        <f>REPT(CHAR(9),8)&amp;"_ =&gt; _."&amp;D42&amp;","</f>
        <v xml:space="preserve">								_ =&gt; _.Fob,</v>
      </c>
      <c r="W42" s="63" t="str">
        <f>IF(H42="string",REPT(CHAR(9),4)&amp;".WhereIf(!string.IsNullOrWhiteSpace(input."&amp;D42&amp;"), e =&gt; e."&amp;D42&amp;".Contains(input."&amp;D42&amp;"))",IF(H42="DateTime",REPT(CHAR(9),4)&amp;".WhereIf(input."&amp;D42&amp;".HasValue, t =&gt; t."&amp;D42&amp;" == input."&amp;D42&amp;".Value)",""))</f>
        <v/>
      </c>
    </row>
    <row r="43" spans="1:23" customFormat="1" ht="18.75" customHeight="1" x14ac:dyDescent="0.25">
      <c r="A43" s="68" t="s">
        <v>352</v>
      </c>
      <c r="B43" t="s">
        <v>366</v>
      </c>
      <c r="C43" t="s">
        <v>1</v>
      </c>
      <c r="D43" t="str">
        <f>SUBSTITUTE(PROPER(A43),"_","")</f>
        <v>Freight</v>
      </c>
      <c r="E43" t="str">
        <f>IFERROR(LEFT(B43, FIND("(",B43)-1),B43)</f>
        <v>DECIMAL</v>
      </c>
      <c r="F43" s="6"/>
      <c r="G43" t="str">
        <f>IFERROR(MID(B43,FIND("(",B43) +1, FIND(")",B43) - FIND("(",B43) - 1),"")</f>
        <v>18,4</v>
      </c>
      <c r="H43" t="str">
        <f>+VLOOKUP(E43,'Data Type Mapping'!A:B,2,)</f>
        <v>decimal?</v>
      </c>
      <c r="I43" t="str">
        <f>IF(H43="string",REPT(CHAR(9),2)&amp;"public const int Max"&amp;D43&amp;"Length = "&amp;G43&amp;";"&amp;$E$3,"" )</f>
        <v/>
      </c>
      <c r="J43" t="str">
        <f>IF(F43="","",REPT(CHAR(9),2)&amp;"[Column(TypeName="""&amp;F43&amp;""")]"&amp;$E$3)&amp;IF(C43="Checked","",$I$3)&amp;IF(H43="string",REPT(CHAR(9),2)&amp;"[StringLength(Max"&amp;D43&amp;"Length"&amp;")]"&amp;$E$3,"")&amp;REPT(CHAR(9),2)&amp;"public virtual "&amp;H43&amp;IF(C43="?","? "," ")&amp;D43&amp;" { get; set; }" &amp; "
"</f>
        <v xml:space="preserve">		public virtual decimal? Freight { get; set; }
</v>
      </c>
      <c r="K43" s="6"/>
      <c r="L43" t="str">
        <f>IF(K43="","",REPT(CHAR(9),1)&amp;"[Index(nameof("&amp;IF(D43="","",""&amp;D43)&amp;")"&amp;", Name="&amp;"""IX_"&amp;$B$7&amp;"_"&amp;D43&amp;""")]")</f>
        <v/>
      </c>
      <c r="M43" t="str">
        <f>REPT(CHAR(9),2)&amp;"public virtual "&amp;IF(OR(H43="DateTime",H43="TimeSpan"),H43&amp;"?",H43)&amp;IF(C43="?","? "," ")&amp;D43&amp;" { get; set; }" &amp; "
"</f>
        <v xml:space="preserve">		public virtual decimal? Freight { get; set; }
</v>
      </c>
      <c r="N43" t="str">
        <f>IF(C43="Checked","",$I$3)&amp;IF(H43="string",REPT(CHAR(9),2)&amp;"[StringLength("&amp;$B$3&amp;"Consts.Max"&amp;D43&amp;"Length"&amp;")]"&amp;$E$3,"")&amp;REPT(CHAR(9),2)&amp;"public virtual "&amp;IF(OR(H43="DateTime",H43="TimeSpan"),H43&amp;"?",H43)&amp;IF(C43="?","? "," ")&amp;D43&amp;" { get; set; }" &amp; "
"</f>
        <v xml:space="preserve">		public virtual decimal? Freight { get; set; }
</v>
      </c>
      <c r="O43" t="str">
        <f>IF(OR(H43="string",H43="DateTime",H43="int"),REPT(CHAR(9),2)&amp;"public virtual "&amp;IF(OR(H43="DateTime",H43="TimeSpan"),H43&amp;"?",H43)&amp;IF(C43="?","? "," ")&amp;D43&amp;" { get; set; }"&amp;$E$3,"")</f>
        <v/>
      </c>
      <c r="P43" t="str">
        <f>REPT(CHAR(9),7)&amp;D43&amp;" = o." &amp;D43 &amp;","</f>
        <v xml:space="preserve">							Freight = o.Freight,</v>
      </c>
      <c r="T43" s="63" t="str">
        <f>REPT(CHAR(9),8)&amp;"("""&amp;D43&amp;"""),"</f>
        <v xml:space="preserve">								("Freight"),</v>
      </c>
      <c r="V43" s="64" t="str">
        <f>REPT(CHAR(9),8)&amp;"_ =&gt; _."&amp;D43&amp;","</f>
        <v xml:space="preserve">								_ =&gt; _.Freight,</v>
      </c>
      <c r="W43" s="63" t="str">
        <f>IF(H43="string",REPT(CHAR(9),4)&amp;".WhereIf(!string.IsNullOrWhiteSpace(input."&amp;D43&amp;"), e =&gt; e."&amp;D43&amp;".Contains(input."&amp;D43&amp;"))",IF(H43="DateTime",REPT(CHAR(9),4)&amp;".WhereIf(input."&amp;D43&amp;".HasValue, t =&gt; t."&amp;D43&amp;" == input."&amp;D43&amp;".Value)",""))</f>
        <v/>
      </c>
    </row>
    <row r="44" spans="1:23" customFormat="1" ht="18.75" customHeight="1" x14ac:dyDescent="0.25">
      <c r="A44" s="68" t="s">
        <v>353</v>
      </c>
      <c r="B44" t="s">
        <v>366</v>
      </c>
      <c r="C44" t="s">
        <v>1</v>
      </c>
      <c r="D44" t="str">
        <f>SUBSTITUTE(PROPER(A44),"_","")</f>
        <v>Insurance</v>
      </c>
      <c r="E44" t="str">
        <f>IFERROR(LEFT(B44, FIND("(",B44)-1),B44)</f>
        <v>DECIMAL</v>
      </c>
      <c r="F44" s="6"/>
      <c r="G44" t="str">
        <f>IFERROR(MID(B44,FIND("(",B44) +1, FIND(")",B44) - FIND("(",B44) - 1),"")</f>
        <v>18,4</v>
      </c>
      <c r="H44" t="str">
        <f>+VLOOKUP(E44,'Data Type Mapping'!A:B,2,)</f>
        <v>decimal?</v>
      </c>
      <c r="I44" t="str">
        <f>IF(H44="string",REPT(CHAR(9),2)&amp;"public const int Max"&amp;D44&amp;"Length = "&amp;G44&amp;";"&amp;$E$3,"" )</f>
        <v/>
      </c>
      <c r="J44" t="str">
        <f>IF(F44="","",REPT(CHAR(9),2)&amp;"[Column(TypeName="""&amp;F44&amp;""")]"&amp;$E$3)&amp;IF(C44="Checked","",$I$3)&amp;IF(H44="string",REPT(CHAR(9),2)&amp;"[StringLength(Max"&amp;D44&amp;"Length"&amp;")]"&amp;$E$3,"")&amp;REPT(CHAR(9),2)&amp;"public virtual "&amp;H44&amp;IF(C44="?","? "," ")&amp;D44&amp;" { get; set; }" &amp; "
"</f>
        <v xml:space="preserve">		public virtual decimal? Insurance { get; set; }
</v>
      </c>
      <c r="K44" s="6"/>
      <c r="L44" t="str">
        <f>IF(K44="","",REPT(CHAR(9),1)&amp;"[Index(nameof("&amp;IF(D44="","",""&amp;D44)&amp;")"&amp;", Name="&amp;"""IX_"&amp;$B$7&amp;"_"&amp;D44&amp;""")]")</f>
        <v/>
      </c>
      <c r="M44" t="str">
        <f>REPT(CHAR(9),2)&amp;"public virtual "&amp;IF(OR(H44="DateTime",H44="TimeSpan"),H44&amp;"?",H44)&amp;IF(C44="?","? "," ")&amp;D44&amp;" { get; set; }" &amp; "
"</f>
        <v xml:space="preserve">		public virtual decimal? Insurance { get; set; }
</v>
      </c>
      <c r="N44" t="str">
        <f>IF(C44="Checked","",$I$3)&amp;IF(H44="string",REPT(CHAR(9),2)&amp;"[StringLength("&amp;$B$3&amp;"Consts.Max"&amp;D44&amp;"Length"&amp;")]"&amp;$E$3,"")&amp;REPT(CHAR(9),2)&amp;"public virtual "&amp;IF(OR(H44="DateTime",H44="TimeSpan"),H44&amp;"?",H44)&amp;IF(C44="?","? "," ")&amp;D44&amp;" { get; set; }" &amp; "
"</f>
        <v xml:space="preserve">		public virtual decimal? Insurance { get; set; }
</v>
      </c>
      <c r="O44" t="str">
        <f>IF(OR(H44="string",H44="DateTime",H44="int"),REPT(CHAR(9),2)&amp;"public virtual "&amp;IF(OR(H44="DateTime",H44="TimeSpan"),H44&amp;"?",H44)&amp;IF(C44="?","? "," ")&amp;D44&amp;" { get; set; }"&amp;$E$3,"")</f>
        <v/>
      </c>
      <c r="P44" t="str">
        <f>REPT(CHAR(9),7)&amp;D44&amp;" = o." &amp;D44 &amp;","</f>
        <v xml:space="preserve">							Insurance = o.Insurance,</v>
      </c>
      <c r="T44" s="63" t="str">
        <f>REPT(CHAR(9),8)&amp;"("""&amp;D44&amp;"""),"</f>
        <v xml:space="preserve">								("Insurance"),</v>
      </c>
      <c r="V44" s="64" t="str">
        <f>REPT(CHAR(9),8)&amp;"_ =&gt; _."&amp;D44&amp;","</f>
        <v xml:space="preserve">								_ =&gt; _.Insurance,</v>
      </c>
      <c r="W44" s="63" t="str">
        <f>IF(H44="string",REPT(CHAR(9),4)&amp;".WhereIf(!string.IsNullOrWhiteSpace(input."&amp;D44&amp;"), e =&gt; e."&amp;D44&amp;".Contains(input."&amp;D44&amp;"))",IF(H44="DateTime",REPT(CHAR(9),4)&amp;".WhereIf(input."&amp;D44&amp;".HasValue, t =&gt; t."&amp;D44&amp;" == input."&amp;D44&amp;".Value)",""))</f>
        <v/>
      </c>
    </row>
    <row r="45" spans="1:23" customFormat="1" ht="18.75" customHeight="1" x14ac:dyDescent="0.25">
      <c r="A45" s="68" t="s">
        <v>354</v>
      </c>
      <c r="B45" t="s">
        <v>366</v>
      </c>
      <c r="C45" t="s">
        <v>1</v>
      </c>
      <c r="D45" t="str">
        <f t="shared" ref="D45:D47" si="234">SUBSTITUTE(PROPER(A45),"_","")</f>
        <v>Cif</v>
      </c>
      <c r="E45" t="str">
        <f t="shared" ref="E45:E47" si="235">IFERROR(LEFT(B45, FIND("(",B45)-1),B45)</f>
        <v>DECIMAL</v>
      </c>
      <c r="F45" s="6"/>
      <c r="G45" t="str">
        <f t="shared" ref="G45:G47" si="236">IFERROR(MID(B45,FIND("(",B45) +1, FIND(")",B45) - FIND("(",B45) - 1),"")</f>
        <v>18,4</v>
      </c>
      <c r="H45" t="str">
        <f>+VLOOKUP(E45,'Data Type Mapping'!A:B,2,)</f>
        <v>decimal?</v>
      </c>
      <c r="I45" t="str">
        <f t="shared" ref="I45:I47" si="237">IF(H45="string",REPT(CHAR(9),2)&amp;"public const int Max"&amp;D45&amp;"Length = "&amp;G45&amp;";"&amp;$E$3,"" )</f>
        <v/>
      </c>
      <c r="J45" t="str">
        <f t="shared" ref="J45:J47" si="238">IF(F45="","",REPT(CHAR(9),2)&amp;"[Column(TypeName="""&amp;F45&amp;""")]"&amp;$E$3)&amp;IF(C45="Checked","",$I$3)&amp;IF(H45="string",REPT(CHAR(9),2)&amp;"[StringLength(Max"&amp;D45&amp;"Length"&amp;")]"&amp;$E$3,"")&amp;REPT(CHAR(9),2)&amp;"public virtual "&amp;H45&amp;IF(C45="?","? "," ")&amp;D45&amp;" { get; set; }" &amp; "
"</f>
        <v xml:space="preserve">		public virtual decimal? Cif { get; set; }
</v>
      </c>
      <c r="K45" s="6"/>
      <c r="L45" t="str">
        <f t="shared" ref="L45:L47" si="239">IF(K45="","",REPT(CHAR(9),1)&amp;"[Index(nameof("&amp;IF(D45="","",""&amp;D45)&amp;")"&amp;", Name="&amp;"""IX_"&amp;$B$7&amp;"_"&amp;D45&amp;""")]")</f>
        <v/>
      </c>
      <c r="M45" t="str">
        <f t="shared" ref="M45:M47" si="240">REPT(CHAR(9),2)&amp;"public virtual "&amp;IF(OR(H45="DateTime",H45="TimeSpan"),H45&amp;"?",H45)&amp;IF(C45="?","? "," ")&amp;D45&amp;" { get; set; }" &amp; "
"</f>
        <v xml:space="preserve">		public virtual decimal? Cif { get; set; }
</v>
      </c>
      <c r="N45" t="str">
        <f t="shared" ref="N45:N47" si="241">IF(C45="Checked","",$I$3)&amp;IF(H45="string",REPT(CHAR(9),2)&amp;"[StringLength("&amp;$B$3&amp;"Consts.Max"&amp;D45&amp;"Length"&amp;")]"&amp;$E$3,"")&amp;REPT(CHAR(9),2)&amp;"public virtual "&amp;IF(OR(H45="DateTime",H45="TimeSpan"),H45&amp;"?",H45)&amp;IF(C45="?","? "," ")&amp;D45&amp;" { get; set; }" &amp; "
"</f>
        <v xml:space="preserve">		public virtual decimal? Cif { get; set; }
</v>
      </c>
      <c r="O45" t="str">
        <f t="shared" ref="O45:O47" si="242">IF(OR(H45="string",H45="DateTime",H45="int"),REPT(CHAR(9),2)&amp;"public virtual "&amp;IF(OR(H45="DateTime",H45="TimeSpan"),H45&amp;"?",H45)&amp;IF(C45="?","? "," ")&amp;D45&amp;" { get; set; }"&amp;$E$3,"")</f>
        <v/>
      </c>
      <c r="P45" t="str">
        <f t="shared" ref="P45:P47" si="243">REPT(CHAR(9),7)&amp;D45&amp;" = o." &amp;D45 &amp;","</f>
        <v xml:space="preserve">							Cif = o.Cif,</v>
      </c>
      <c r="T45" s="63" t="str">
        <f t="shared" ref="T45:T47" si="244">REPT(CHAR(9),8)&amp;"("""&amp;D45&amp;"""),"</f>
        <v xml:space="preserve">								("Cif"),</v>
      </c>
      <c r="V45" s="64" t="str">
        <f t="shared" ref="V45:V47" si="245">REPT(CHAR(9),8)&amp;"_ =&gt; _."&amp;D45&amp;","</f>
        <v xml:space="preserve">								_ =&gt; _.Cif,</v>
      </c>
      <c r="W45" s="63" t="str">
        <f t="shared" ref="W45:W47" si="246">IF(H45="string",REPT(CHAR(9),4)&amp;".WhereIf(!string.IsNullOrWhiteSpace(input."&amp;D45&amp;"), e =&gt; e."&amp;D45&amp;".Contains(input."&amp;D45&amp;"))",IF(H45="DateTime",REPT(CHAR(9),4)&amp;".WhereIf(input."&amp;D45&amp;".HasValue, t =&gt; t."&amp;D45&amp;" == input."&amp;D45&amp;".Value)",""))</f>
        <v/>
      </c>
    </row>
    <row r="46" spans="1:23" customFormat="1" ht="18.75" customHeight="1" x14ac:dyDescent="0.25">
      <c r="A46" s="68" t="s">
        <v>365</v>
      </c>
      <c r="B46" t="s">
        <v>366</v>
      </c>
      <c r="C46" t="s">
        <v>1</v>
      </c>
      <c r="D46" t="str">
        <f t="shared" si="234"/>
        <v>Tax</v>
      </c>
      <c r="E46" t="str">
        <f t="shared" si="235"/>
        <v>DECIMAL</v>
      </c>
      <c r="F46" s="6"/>
      <c r="G46" t="str">
        <f t="shared" si="236"/>
        <v>18,4</v>
      </c>
      <c r="H46" t="str">
        <f>+VLOOKUP(E46,'Data Type Mapping'!A:B,2,)</f>
        <v>decimal?</v>
      </c>
      <c r="I46" t="str">
        <f t="shared" si="237"/>
        <v/>
      </c>
      <c r="J46" t="str">
        <f t="shared" si="238"/>
        <v xml:space="preserve">		public virtual decimal? Tax { get; set; }
</v>
      </c>
      <c r="K46" s="6"/>
      <c r="L46" t="str">
        <f t="shared" si="239"/>
        <v/>
      </c>
      <c r="M46" t="str">
        <f t="shared" si="240"/>
        <v xml:space="preserve">		public virtual decimal? Tax { get; set; }
</v>
      </c>
      <c r="N46" t="str">
        <f t="shared" si="241"/>
        <v xml:space="preserve">		public virtual decimal? Tax { get; set; }
</v>
      </c>
      <c r="O46" t="str">
        <f t="shared" si="242"/>
        <v/>
      </c>
      <c r="P46" t="str">
        <f t="shared" si="243"/>
        <v xml:space="preserve">							Tax = o.Tax,</v>
      </c>
      <c r="T46" s="63" t="str">
        <f t="shared" si="244"/>
        <v xml:space="preserve">								("Tax"),</v>
      </c>
      <c r="V46" s="64" t="str">
        <f t="shared" si="245"/>
        <v xml:space="preserve">								_ =&gt; _.Tax,</v>
      </c>
      <c r="W46" s="63" t="str">
        <f t="shared" si="246"/>
        <v/>
      </c>
    </row>
    <row r="47" spans="1:23" customFormat="1" ht="18.75" customHeight="1" x14ac:dyDescent="0.25">
      <c r="A47" s="68" t="s">
        <v>373</v>
      </c>
      <c r="B47" t="s">
        <v>366</v>
      </c>
      <c r="C47" t="s">
        <v>1</v>
      </c>
      <c r="D47" t="str">
        <f t="shared" si="234"/>
        <v>Amount</v>
      </c>
      <c r="E47" t="str">
        <f t="shared" si="235"/>
        <v>DECIMAL</v>
      </c>
      <c r="F47" s="6"/>
      <c r="G47" t="str">
        <f t="shared" si="236"/>
        <v>18,4</v>
      </c>
      <c r="H47" t="str">
        <f>+VLOOKUP(E47,'Data Type Mapping'!A:B,2,)</f>
        <v>decimal?</v>
      </c>
      <c r="I47" t="str">
        <f t="shared" si="237"/>
        <v/>
      </c>
      <c r="J47" t="str">
        <f t="shared" si="238"/>
        <v xml:space="preserve">		public virtual decimal? Amount { get; set; }
</v>
      </c>
      <c r="K47" s="6"/>
      <c r="L47" t="str">
        <f t="shared" si="239"/>
        <v/>
      </c>
      <c r="M47" t="str">
        <f t="shared" si="240"/>
        <v xml:space="preserve">		public virtual decimal? Amount { get; set; }
</v>
      </c>
      <c r="N47" t="str">
        <f t="shared" si="241"/>
        <v xml:space="preserve">		public virtual decimal? Amount { get; set; }
</v>
      </c>
      <c r="O47" t="str">
        <f t="shared" si="242"/>
        <v/>
      </c>
      <c r="P47" t="str">
        <f t="shared" si="243"/>
        <v xml:space="preserve">							Amount = o.Amount,</v>
      </c>
      <c r="T47" s="63" t="str">
        <f t="shared" si="244"/>
        <v xml:space="preserve">								("Amount"),</v>
      </c>
      <c r="V47" s="64" t="str">
        <f t="shared" si="245"/>
        <v xml:space="preserve">								_ =&gt; _.Amount,</v>
      </c>
      <c r="W47" s="63" t="str">
        <f t="shared" si="246"/>
        <v/>
      </c>
    </row>
    <row r="48" spans="1:23" customFormat="1" ht="18.75" customHeight="1" x14ac:dyDescent="0.25">
      <c r="A48" t="s">
        <v>350</v>
      </c>
      <c r="B48" t="s">
        <v>378</v>
      </c>
      <c r="C48" t="s">
        <v>1</v>
      </c>
      <c r="D48" t="str">
        <f t="shared" ref="D48:D52" si="247">SUBSTITUTE(PROPER(A48),"_","")</f>
        <v>Status</v>
      </c>
      <c r="E48" t="str">
        <f t="shared" ref="E48:E52" si="248">IFERROR(LEFT(B48, FIND("(",B48)-1),B48)</f>
        <v>VARCHAR</v>
      </c>
      <c r="F48" s="6"/>
      <c r="G48" t="str">
        <f t="shared" ref="G48:G52" si="249">IFERROR(MID(B48,FIND("(",B48) +1, FIND(")",B48) - FIND("(",B48) - 1),"")</f>
        <v>20</v>
      </c>
      <c r="H48" t="str">
        <f>+VLOOKUP(E48,'Data Type Mapping'!A:B,2,)</f>
        <v>string</v>
      </c>
      <c r="I48" t="str">
        <f t="shared" ref="I48:I52" si="250">IF(H48="string",REPT(CHAR(9),2)&amp;"public const int Max"&amp;D48&amp;"Length = "&amp;G48&amp;";"&amp;$E$3,"" )</f>
        <v xml:space="preserve">		public const int MaxStatusLength = 20;
</v>
      </c>
      <c r="J48" t="str">
        <f t="shared" ref="J48:J52" si="251">IF(F48="","",REPT(CHAR(9),2)&amp;"[Column(TypeName="""&amp;F48&amp;""")]"&amp;$E$3)&amp;IF(C48="Checked","",$I$3)&amp;IF(H48="string",REPT(CHAR(9),2)&amp;"[StringLength(Max"&amp;D48&amp;"Length"&amp;")]"&amp;$E$3,"")&amp;REPT(CHAR(9),2)&amp;"public virtual "&amp;H48&amp;IF(C48="?","? "," ")&amp;D48&amp;" { get; set; }" &amp; "
"</f>
        <v xml:space="preserve">		[StringLength(MaxStatusLength)]
		public virtual string Status { get; set; }
</v>
      </c>
      <c r="K48" s="6"/>
      <c r="L48" t="str">
        <f t="shared" ref="L48:L52" si="252">IF(K48="","",REPT(CHAR(9),1)&amp;"[Index(nameof("&amp;IF(D48="","",""&amp;D48)&amp;")"&amp;", Name="&amp;"""IX_"&amp;$B$7&amp;"_"&amp;D48&amp;""")]")</f>
        <v/>
      </c>
      <c r="M48" t="str">
        <f t="shared" ref="M48:M52" si="253">REPT(CHAR(9),2)&amp;"public virtual "&amp;IF(OR(H48="DateTime",H48="TimeSpan"),H48&amp;"?",H48)&amp;IF(C48="?","? "," ")&amp;D48&amp;" { get; set; }" &amp; "
"</f>
        <v xml:space="preserve">		public virtual string Status { get; set; }
</v>
      </c>
      <c r="N48" t="str">
        <f t="shared" ref="N48:N52" si="254">IF(C48="Checked","",$I$3)&amp;IF(H48="string",REPT(CHAR(9),2)&amp;"[StringLength("&amp;$B$3&amp;"Consts.Max"&amp;D48&amp;"Length"&amp;")]"&amp;$E$3,"")&amp;REPT(CHAR(9),2)&amp;"public virtual "&amp;IF(OR(H48="DateTime",H48="TimeSpan"),H48&amp;"?",H48)&amp;IF(C48="?","? "," ")&amp;D48&amp;" { get; set; }" &amp; "
"</f>
        <v xml:space="preserve">		[StringLength(InvCkdContainerListConsts.MaxStatusLength)]
		public virtual string Status { get; set; }
</v>
      </c>
      <c r="O48" t="str">
        <f t="shared" ref="O48:O52" si="255">IF(OR(H48="string",H48="DateTime",H48="int"),REPT(CHAR(9),2)&amp;"public virtual "&amp;IF(OR(H48="DateTime",H48="TimeSpan"),H48&amp;"?",H48)&amp;IF(C48="?","? "," ")&amp;D48&amp;" { get; set; }"&amp;$E$3,"")</f>
        <v xml:space="preserve">		public virtual string Status { get; set; }
</v>
      </c>
      <c r="P48" t="str">
        <f t="shared" ref="P48:P52" si="256">REPT(CHAR(9),7)&amp;D48&amp;" = o." &amp;D48 &amp;","</f>
        <v xml:space="preserve">							Status = o.Status,</v>
      </c>
      <c r="T48" s="63" t="str">
        <f t="shared" ref="T48:T52" si="257">REPT(CHAR(9),8)&amp;"("""&amp;D48&amp;"""),"</f>
        <v xml:space="preserve">								("Status"),</v>
      </c>
      <c r="V48" s="64" t="str">
        <f t="shared" ref="V48:V52" si="258">REPT(CHAR(9),8)&amp;"_ =&gt; _."&amp;D48&amp;","</f>
        <v xml:space="preserve">								_ =&gt; _.Status,</v>
      </c>
      <c r="W48" s="63" t="str">
        <f t="shared" ref="W48:W52" si="259">IF(H48="string",REPT(CHAR(9),4)&amp;".WhereIf(!string.IsNullOrWhiteSpace(input."&amp;D48&amp;"), e =&gt; e."&amp;D48&amp;".Contains(input."&amp;D48&amp;"))",IF(H48="DateTime",REPT(CHAR(9),4)&amp;".WhereIf(input."&amp;D48&amp;".HasValue, t =&gt; t."&amp;D48&amp;" == input."&amp;D48&amp;".Value)",""))</f>
        <v xml:space="preserve">				.WhereIf(!string.IsNullOrWhiteSpace(input.Status), e =&gt; e.Status.Contains(input.Status))</v>
      </c>
    </row>
    <row r="49" spans="1:23" customFormat="1" ht="18.75" customHeight="1" x14ac:dyDescent="0.25">
      <c r="A49" t="s">
        <v>410</v>
      </c>
      <c r="B49" t="s">
        <v>378</v>
      </c>
      <c r="C49" t="s">
        <v>1</v>
      </c>
      <c r="D49" t="str">
        <f t="shared" si="247"/>
        <v>LocationCode</v>
      </c>
      <c r="E49" t="str">
        <f t="shared" si="248"/>
        <v>VARCHAR</v>
      </c>
      <c r="F49" s="6"/>
      <c r="G49" t="str">
        <f t="shared" si="249"/>
        <v>20</v>
      </c>
      <c r="H49" t="str">
        <f>+VLOOKUP(E49,'Data Type Mapping'!A:B,2,)</f>
        <v>string</v>
      </c>
      <c r="I49" t="str">
        <f t="shared" si="250"/>
        <v xml:space="preserve">		public const int MaxLocationCodeLength = 20;
</v>
      </c>
      <c r="J49" t="str">
        <f t="shared" si="251"/>
        <v xml:space="preserve">		[StringLength(MaxLocationCodeLength)]
		public virtual string LocationCode { get; set; }
</v>
      </c>
      <c r="K49" s="6"/>
      <c r="L49" t="str">
        <f t="shared" si="252"/>
        <v/>
      </c>
      <c r="M49" t="str">
        <f t="shared" si="253"/>
        <v xml:space="preserve">		public virtual string LocationCode { get; set; }
</v>
      </c>
      <c r="N49" t="str">
        <f t="shared" si="254"/>
        <v xml:space="preserve">		[StringLength(InvCkdContainerListConsts.MaxLocationCodeLength)]
		public virtual string LocationCode { get; set; }
</v>
      </c>
      <c r="O49" t="str">
        <f t="shared" si="255"/>
        <v xml:space="preserve">		public virtual string LocationCode { get; set; }
</v>
      </c>
      <c r="P49" t="str">
        <f t="shared" si="256"/>
        <v xml:space="preserve">							LocationCode = o.LocationCode,</v>
      </c>
      <c r="T49" s="63" t="str">
        <f t="shared" si="257"/>
        <v xml:space="preserve">								("LocationCode"),</v>
      </c>
      <c r="V49" s="64" t="str">
        <f t="shared" si="258"/>
        <v xml:space="preserve">								_ =&gt; _.LocationCode,</v>
      </c>
      <c r="W49" s="63" t="str">
        <f t="shared" si="259"/>
        <v xml:space="preserve">				.WhereIf(!string.IsNullOrWhiteSpace(input.LocationCode), e =&gt; e.LocationCode.Contains(input.LocationCode))</v>
      </c>
    </row>
    <row r="50" spans="1:23" customFormat="1" ht="18.75" customHeight="1" x14ac:dyDescent="0.25">
      <c r="A50" t="s">
        <v>411</v>
      </c>
      <c r="B50" t="s">
        <v>367</v>
      </c>
      <c r="C50" t="s">
        <v>1</v>
      </c>
      <c r="D50" t="str">
        <f t="shared" ref="D50" si="260">SUBSTITUTE(PROPER(A50),"_","")</f>
        <v>LocationDate</v>
      </c>
      <c r="E50" t="str">
        <f t="shared" ref="E50" si="261">IFERROR(LEFT(B50, FIND("(",B50)-1),B50)</f>
        <v>DATE</v>
      </c>
      <c r="F50" s="6"/>
      <c r="G50" t="str">
        <f t="shared" ref="G50" si="262">IFERROR(MID(B50,FIND("(",B50) +1, FIND(")",B50) - FIND("(",B50) - 1),"")</f>
        <v/>
      </c>
      <c r="H50" t="str">
        <f>+VLOOKUP(E50,'Data Type Mapping'!A:B,2,)</f>
        <v>DateTime?</v>
      </c>
      <c r="I50" t="str">
        <f t="shared" ref="I50" si="263">IF(H50="string",REPT(CHAR(9),2)&amp;"public const int Max"&amp;D50&amp;"Length = "&amp;G50&amp;";"&amp;$E$3,"" )</f>
        <v/>
      </c>
      <c r="J50" t="str">
        <f t="shared" ref="J50" si="264">IF(F50="","",REPT(CHAR(9),2)&amp;"[Column(TypeName="""&amp;F50&amp;""")]"&amp;$E$3)&amp;IF(C50="Checked","",$I$3)&amp;IF(H50="string",REPT(CHAR(9),2)&amp;"[StringLength(Max"&amp;D50&amp;"Length"&amp;")]"&amp;$E$3,"")&amp;REPT(CHAR(9),2)&amp;"public virtual "&amp;H50&amp;IF(C50="?","? "," ")&amp;D50&amp;" { get; set; }" &amp; "
"</f>
        <v xml:space="preserve">		public virtual DateTime? LocationDate { get; set; }
</v>
      </c>
      <c r="K50" s="6"/>
      <c r="L50" t="str">
        <f t="shared" ref="L50" si="265">IF(K50="","",REPT(CHAR(9),1)&amp;"[Index(nameof("&amp;IF(D50="","",""&amp;D50)&amp;")"&amp;", Name="&amp;"""IX_"&amp;$B$7&amp;"_"&amp;D50&amp;""")]")</f>
        <v/>
      </c>
      <c r="M50" t="str">
        <f t="shared" ref="M50" si="266">REPT(CHAR(9),2)&amp;"public virtual "&amp;IF(OR(H50="DateTime",H50="TimeSpan"),H50&amp;"?",H50)&amp;IF(C50="?","? "," ")&amp;D50&amp;" { get; set; }" &amp; "
"</f>
        <v xml:space="preserve">		public virtual DateTime? LocationDate { get; set; }
</v>
      </c>
      <c r="N50" t="str">
        <f t="shared" ref="N50" si="267">IF(C50="Checked","",$I$3)&amp;IF(H50="string",REPT(CHAR(9),2)&amp;"[StringLength("&amp;$B$3&amp;"Consts.Max"&amp;D50&amp;"Length"&amp;")]"&amp;$E$3,"")&amp;REPT(CHAR(9),2)&amp;"public virtual "&amp;IF(OR(H50="DateTime",H50="TimeSpan"),H50&amp;"?",H50)&amp;IF(C50="?","? "," ")&amp;D50&amp;" { get; set; }" &amp; "
"</f>
        <v xml:space="preserve">		public virtual DateTime? LocationDate { get; set; }
</v>
      </c>
      <c r="O50" t="str">
        <f t="shared" ref="O50" si="268">IF(OR(H50="string",H50="DateTime",H50="int"),REPT(CHAR(9),2)&amp;"public virtual "&amp;IF(OR(H50="DateTime",H50="TimeSpan"),H50&amp;"?",H50)&amp;IF(C50="?","? "," ")&amp;D50&amp;" { get; set; }"&amp;$E$3,"")</f>
        <v/>
      </c>
      <c r="P50" t="str">
        <f t="shared" ref="P50" si="269">REPT(CHAR(9),7)&amp;D50&amp;" = o." &amp;D50 &amp;","</f>
        <v xml:space="preserve">							LocationDate = o.LocationDate,</v>
      </c>
      <c r="T50" s="63" t="str">
        <f t="shared" ref="T50" si="270">REPT(CHAR(9),8)&amp;"("""&amp;D50&amp;"""),"</f>
        <v xml:space="preserve">								("LocationDate"),</v>
      </c>
      <c r="V50" s="64" t="str">
        <f t="shared" ref="V50" si="271">REPT(CHAR(9),8)&amp;"_ =&gt; _."&amp;D50&amp;","</f>
        <v xml:space="preserve">								_ =&gt; _.LocationDate,</v>
      </c>
      <c r="W50" s="63" t="str">
        <f t="shared" ref="W50" si="272">IF(H50="string",REPT(CHAR(9),4)&amp;".WhereIf(!string.IsNullOrWhiteSpace(input."&amp;D50&amp;"), e =&gt; e."&amp;D50&amp;".Contains(input."&amp;D50&amp;"))",IF(H50="DateTime",REPT(CHAR(9),4)&amp;".WhereIf(input."&amp;D50&amp;".HasValue, t =&gt; t."&amp;D50&amp;" == input."&amp;D50&amp;".Value)",""))</f>
        <v/>
      </c>
    </row>
    <row r="51" spans="1:23" customFormat="1" ht="18.75" customHeight="1" x14ac:dyDescent="0.25">
      <c r="A51" t="s">
        <v>385</v>
      </c>
      <c r="B51" t="s">
        <v>387</v>
      </c>
      <c r="C51" t="s">
        <v>1</v>
      </c>
      <c r="D51" t="str">
        <f t="shared" si="247"/>
        <v>ReceivingPeriodId</v>
      </c>
      <c r="E51" t="str">
        <f t="shared" si="248"/>
        <v>BIGINT</v>
      </c>
      <c r="F51" s="6"/>
      <c r="G51" t="str">
        <f t="shared" si="249"/>
        <v/>
      </c>
      <c r="H51" t="str">
        <f>+VLOOKUP(E51,'Data Type Mapping'!A:B,2,)</f>
        <v>long?</v>
      </c>
      <c r="I51" t="str">
        <f t="shared" si="250"/>
        <v/>
      </c>
      <c r="J51" t="str">
        <f t="shared" si="251"/>
        <v xml:space="preserve">		public virtual long? ReceivingPeriodId { get; set; }
</v>
      </c>
      <c r="K51" s="6"/>
      <c r="L51" t="str">
        <f t="shared" si="252"/>
        <v/>
      </c>
      <c r="M51" t="str">
        <f t="shared" si="253"/>
        <v xml:space="preserve">		public virtual long? ReceivingPeriodId { get; set; }
</v>
      </c>
      <c r="N51" t="str">
        <f t="shared" si="254"/>
        <v xml:space="preserve">		public virtual long? ReceivingPeriodId { get; set; }
</v>
      </c>
      <c r="O51" t="str">
        <f t="shared" si="255"/>
        <v/>
      </c>
      <c r="P51" t="str">
        <f t="shared" si="256"/>
        <v xml:space="preserve">							ReceivingPeriodId = o.ReceivingPeriodId,</v>
      </c>
      <c r="T51" s="63" t="str">
        <f t="shared" si="257"/>
        <v xml:space="preserve">								("ReceivingPeriodId"),</v>
      </c>
      <c r="V51" s="64" t="str">
        <f t="shared" si="258"/>
        <v xml:space="preserve">								_ =&gt; _.ReceivingPeriodId,</v>
      </c>
      <c r="W51" s="63" t="str">
        <f t="shared" si="259"/>
        <v/>
      </c>
    </row>
    <row r="52" spans="1:23" customFormat="1" ht="18.75" customHeight="1" x14ac:dyDescent="0.25">
      <c r="A52" t="s">
        <v>319</v>
      </c>
      <c r="B52" t="s">
        <v>368</v>
      </c>
      <c r="C52" t="s">
        <v>1</v>
      </c>
      <c r="D52" t="str">
        <f t="shared" si="247"/>
        <v>IsActive</v>
      </c>
      <c r="E52" t="str">
        <f t="shared" si="248"/>
        <v>VARCHAR</v>
      </c>
      <c r="F52" s="6"/>
      <c r="G52" t="str">
        <f t="shared" si="249"/>
        <v>1</v>
      </c>
      <c r="H52" t="str">
        <f>+VLOOKUP(E52,'Data Type Mapping'!A:B,2,)</f>
        <v>string</v>
      </c>
      <c r="I52" t="str">
        <f t="shared" si="250"/>
        <v xml:space="preserve">		public const int MaxIsActiveLength = 1;
</v>
      </c>
      <c r="J52" t="str">
        <f t="shared" si="251"/>
        <v xml:space="preserve">		[StringLength(MaxIsActiveLength)]
		public virtual string IsActive { get; set; }
</v>
      </c>
      <c r="K52" s="6"/>
      <c r="L52" t="str">
        <f t="shared" si="252"/>
        <v/>
      </c>
      <c r="M52" t="str">
        <f t="shared" si="253"/>
        <v xml:space="preserve">		public virtual string IsActive { get; set; }
</v>
      </c>
      <c r="N52" t="str">
        <f t="shared" si="254"/>
        <v xml:space="preserve">		[StringLength(InvCkdContainerListConsts.MaxIsActiveLength)]
		public virtual string IsActive { get; set; }
</v>
      </c>
      <c r="O52" t="str">
        <f t="shared" si="255"/>
        <v xml:space="preserve">		public virtual string IsActive { get; set; }
</v>
      </c>
      <c r="P52" t="str">
        <f t="shared" si="256"/>
        <v xml:space="preserve">							IsActive = o.IsActive,</v>
      </c>
      <c r="T52" s="63" t="str">
        <f t="shared" si="257"/>
        <v xml:space="preserve">								("IsActive"),</v>
      </c>
      <c r="V52" s="64" t="str">
        <f t="shared" si="258"/>
        <v xml:space="preserve">								_ =&gt; _.IsActive,</v>
      </c>
      <c r="W52" s="63" t="str">
        <f t="shared" si="259"/>
        <v xml:space="preserve">				.WhereIf(!string.IsNullOrWhiteSpace(input.IsActive), e =&gt; e.IsActive.Contains(input.IsActive))</v>
      </c>
    </row>
    <row r="54" spans="1:23" ht="45.75" customHeight="1" x14ac:dyDescent="0.25">
      <c r="H54" s="11"/>
      <c r="I54" s="31" t="str">
        <f ca="1">TEXTJOIN2("
", TRUE,INDIRECT( $H$1):INDIRECT( $H$3))</f>
        <v xml:space="preserve">		public const int MaxContainerNoLength = 15;
		public const int MaxRenbanLength = 6;
		public const int MaxSupplierNoLength = 10;
		public const int MaxHaisenNoLength = 10;
		public const int MaxBillOfLadingNoLength = 20;
		public const int MaxSealNoLength = 20;
		public const int MaxCdStatusLength = 20;
		public const int MaxRequestLotNoLength = 10;
		public const int MaxInvoiceNoLength = 500;
		public const int MaxListLotNoLength = 1000;
		public const int MaxListCaseNoLength = 1000;
		public const int MaxTransportLength = 10;
		public const int MaxShopLength = 10;
		public const int MaxDockLength = 10;
		public const int MaxRemarkLength = 1000;
		public const int MaxWhLocationLength = 10;
		public const int MaxTransitPortRemarkLength = 1000;
		public const int MaxStatusLength = 20;
		public const int MaxLocationCodeLength = 20;
		public const int MaxIsActiveLength = 1;
</v>
      </c>
      <c r="J54" s="30" t="str">
        <f ca="1">TEXTJOIN2("
", TRUE,INDIRECT( $F$1):INDIRECT( $F$3))</f>
        <v xml:space="preserve">		[StringLength(MaxContainerNoLength)]
		public virtual string ContainerNo { get; set; }
		[StringLength(MaxRenbanLength)]
		public virtual string Renban { get; set; }
		[StringLength(MaxSupplierNoLength)]
		public virtual string SupplierNo { get; set; }
		[StringLength(MaxHaisenNoLength)]
		public virtual string HaisenNo { get; set; }
		[StringLength(MaxBillOfLadingNoLength)]
		public virtual string BillOfLadingNo { get; set; }
		[StringLength(MaxSealNoLength)]
		public virtual string SealNo { get; set; }
		public virtual DateTime? CdDate { get; set; }
		[StringLength(MaxCdStatusLength)]
		public virtual string CdStatus { get; set; }
		public virtual int? ContainerSize { get; set; }
		public virtual long? ShipmentId { get; set; }
		public virtual DateTime? ShippingDate { get; set; }
		public virtual DateTime? PortDate { get; set; }
		public virtual DateTime? PortDateActual { get; set; }
		public virtual DateTime? PortTransitDate { get; set; }
		public virtual DateTime? ReceiveDate { get; set; }
		public virtual long? RequestId { get; set; }
		[StringLength(MaxRequestLotNoLength)]
		public virtual string RequestLotNo { get; set; }
		[StringLength(MaxInvoiceNoLength)]
		public virtual string InvoiceNo { get; set; }
		[StringLength(MaxListLotNoLength)]
		public virtual string ListLotNo { get; set; }
		[StringLength(MaxListCaseNoLength)]
		public virtual string ListCaseNo { get; set; }
		[StringLength(MaxTransportLength)]
		public virtual string Transport { get; set; }
		[StringLength(MaxShopLength)]
		public virtual string Shop { get; set; }
		[StringLength(MaxDockLength)]
		public virtual string Dock { get; set; }
		public virtual DateTime? DevanningDate { get; set; }
		public virtual TimeSpan? DevanningTime { get; set; }
		[StringLength(MaxRemarkLength)]
		public virtual string Remark { get; set; }
		[StringLength(MaxWhLocationLength)]
		public virtual string WhLocation { get; set; }
		public virtual DateTime? GateinDate { get; set; }
		public virtual TimeSpan? GateinTime { get; set; }
		public virtual long? TransitPortReqId { get; set; }
		public virtual DateTime? TransitPortReqDate { get; set; }
		public virtual TimeSpan? TransitPortReqTime { get; set; }
		[StringLength(MaxTransitPortRemarkLength)]
		public virtual string TransitPortRemark { get; set; }
		public virtual decimal? Fob { get; set; }
		public virtual decimal? Freight { get; set; }
		public virtual decimal? Insurance { get; set; }
		public virtual decimal? Cif { get; set; }
		public virtual decimal? Tax { get; set; }
		public virtual decimal? Amount { get; set; }
		[StringLength(MaxStatusLength)]
		public virtual string Status { get; set; }
		[StringLength(MaxLocationCodeLength)]
		public virtual string LocationCode { get; set; }
		public virtual DateTime? LocationDate { get; set; }
		public virtual long? ReceivingPeriodId { get; set; }
		[StringLength(MaxIsActiveLength)]
		public virtual string IsActive { get; set; }
</v>
      </c>
      <c r="K54" s="32" t="str">
        <f ca="1">TEXTJOIN2("
", TRUE,INDIRECT( $J$1):INDIRECT( $J$3))</f>
        <v xml:space="preserve">	[Index(nameof(TransitPortReqDate), Name="IX_InvCkdContainerList_TransitPortReqDate")]
</v>
      </c>
      <c r="L54" s="12" t="s">
        <v>57</v>
      </c>
      <c r="M54" s="33" t="str">
        <f ca="1">TEXTJOIN2("
",TRUE,INDIRECT( $L$1):INDIRECT($L$3))</f>
        <v xml:space="preserve">		public virtual string ContainerNo { get; set; }
		public virtual string Renban { get; set; }
		public virtual string SupplierNo { get; set; }
		public virtual string HaisenNo { get; set; }
		public virtual string BillOfLadingNo { get; set; }
		public virtual string SealNo { get; set; }
		public virtual DateTime? CdDate { get; set; }
		public virtual string CdStatus { get; set; }
		public virtual int? ContainerSize { get; set; }
		public virtual long? ShipmentId { get; set; }
		public virtual DateTime? ShippingDate { get; set; }
		public virtual DateTime? PortDate { get; set; }
		public virtual DateTime? PortDateActual { get; set; }
		public virtual DateTime? PortTransitDate { get; set; }
		public virtual DateTime? ReceiveDate { get; set; }
		public virtual long? RequestId { get; set; }
		public virtual string RequestLotNo { get; set; }
		public virtual string InvoiceNo { get; set; }
		public virtual string ListLotNo { get; set; }
		public virtual string ListCaseNo { get; set; }
		public virtual string Transport { get; set; }
		public virtual string Shop { get; set; }
		public virtual string Dock { get; set; }
		public virtual DateTime? DevanningDate { get; set; }
		public virtual TimeSpan? DevanningTime { get; set; }
		public virtual string Remark { get; set; }
		public virtual string WhLocation { get; set; }
		public virtual DateTime? GateinDate { get; set; }
		public virtual TimeSpan? GateinTime { get; set; }
		public virtual long? TransitPortReqId { get; set; }
		public virtual DateTime? TransitPortReqDate { get; set; }
		public virtual TimeSpan? TransitPortReqTime { get; set; }
		public virtual string TransitPortRemark { get; set; }
		public virtual decimal? Fob { get; set; }
		public virtual decimal? Freight { get; set; }
		public virtual decimal? Insurance { get; set; }
		public virtual decimal? Cif { get; set; }
		public virtual decimal? Tax { get; set; }
		public virtual decimal? Amount { get; set; }
		public virtual string Status { get; set; }
		public virtual string LocationCode { get; set; }
		public virtual DateTime? LocationDate { get; set; }
		public virtual long? ReceivingPeriodId { get; set; }
		public virtual string IsActive { get; set; }
</v>
      </c>
      <c r="N54" s="30" t="str">
        <f ca="1">TEXTJOIN2("
",TRUE,INDIRECT( $M$1):INDIRECT($M$3))</f>
        <v xml:space="preserve">		[StringLength(InvCkdContainerListConsts.MaxContainerNoLength)]
		public virtual string ContainerNo { get; set; }
		[StringLength(InvCkdContainerListConsts.MaxRenbanLength)]
		public virtual string Renban { get; set; }
		[StringLength(InvCkdContainerListConsts.MaxSupplierNoLength)]
		public virtual string SupplierNo { get; set; }
		[StringLength(InvCkdContainerListConsts.MaxHaisenNoLength)]
		public virtual string HaisenNo { get; set; }
		[StringLength(InvCkdContainerListConsts.MaxBillOfLadingNoLength)]
		public virtual string BillOfLadingNo { get; set; }
		[StringLength(InvCkdContainerListConsts.MaxSealNoLength)]
		public virtual string SealNo { get; set; }
		public virtual DateTime? CdDate { get; set; }
		[StringLength(InvCkdContainerListConsts.MaxCdStatusLength)]
		public virtual string CdStatus { get; set; }
		public virtual int? ContainerSize { get; set; }
		public virtual long? ShipmentId { get; set; }
		public virtual DateTime? ShippingDate { get; set; }
		public virtual DateTime? PortDate { get; set; }
		public virtual DateTime? PortDateActual { get; set; }
		public virtual DateTime? PortTransitDate { get; set; }
		public virtual DateTime? ReceiveDate { get; set; }
		public virtual long? RequestId { get; set; }
		[StringLength(InvCkdContainerListConsts.MaxRequestLotNoLength)]
		public virtual string RequestLotNo { get; set; }
		[StringLength(InvCkdContainerListConsts.MaxInvoiceNoLength)]
		public virtual string InvoiceNo { get; set; }
		[StringLength(InvCkdContainerListConsts.MaxListLotNoLength)]
		public virtual string ListLotNo { get; set; }
		[StringLength(InvCkdContainerListConsts.MaxListCaseNoLength)]
		public virtual string ListCaseNo { get; set; }
		[StringLength(InvCkdContainerListConsts.MaxTransportLength)]
		public virtual string Transport { get; set; }
		[StringLength(InvCkdContainerListConsts.MaxShopLength)]
		public virtual string Shop { get; set; }
		[StringLength(InvCkdContainerListConsts.MaxDockLength)]
		public virtual string Dock { get; set; }
		public virtual DateTime? DevanningDate { get; set; }
		public virtual TimeSpan? DevanningTime { get; set; }
		[StringLength(InvCkdContainerListConsts.MaxRemarkLength)]
		public virtual string Remark { get; set; }
		[StringLength(InvCkdContainerListConsts.MaxWhLocationLength)]
		public virtual string WhLocation { get; set; }
		public virtual DateTime? GateinDate { get; set; }
		public virtual TimeSpan? GateinTime { get; set; }
		public virtual long? TransitPortReqId { get; set; }
		public virtual DateTime? TransitPortReqDate { get; set; }
		public virtual TimeSpan? TransitPortReqTime { get; set; }
		[StringLength(InvCkdContainerListConsts.MaxTransitPortRemarkLength)]
		public virtual string TransitPortRemark { get; set; }
		public virtual decimal? Fob { get; set; }
		public virtual decimal? Freight { get; set; }
		public virtual decimal? Insurance { get; set; }
		public virtual decimal? Cif { get; set; }
		public virtual decimal? Tax { get; set; }
		public virtual decimal? Amount { get; set; }
		[StringLength(InvCkdContainerListConsts.MaxStatusLength)]
		public virtual string Status { get; set; }
		[StringLength(InvCkdContainerListConsts.MaxLocationCodeLength)]
		public virtual string LocationCode { get; set; }
		public virtual DateTime? LocationDate { get; set; }
		public virtual long? ReceivingPeriodId { get; set; }
		[StringLength(InvCkdContainerListConsts.MaxIsActiveLength)]
		public virtual string IsActive { get; set; }
</v>
      </c>
      <c r="O54" s="30" t="str">
        <f ca="1">TEXTJOIN2("
",TRUE,INDIRECT( $N$1):INDIRECT($N$3))</f>
        <v xml:space="preserve">		public virtual string ContainerNo { get; set; }
		public virtual string Renban { get; set; }
		public virtual string SupplierNo { get; set; }
		public virtual string HaisenNo { get; set; }
		public virtual string BillOfLadingNo { get; set; }
		public virtual string SealNo { get; set; }
		public virtual string CdStatus { get; set; }
		public virtual string RequestLotNo { get; set; }
		public virtual string InvoiceNo { get; set; }
		public virtual string ListLotNo { get; set; }
		public virtual string ListCaseNo { get; set; }
		public virtual string Transport { get; set; }
		public virtual string Shop { get; set; }
		public virtual string Dock { get; set; }
		public virtual string Remark { get; set; }
		public virtual string WhLocation { get; set; }
		public virtual string TransitPortRemark { get; set; }
		public virtual string Status { get; set; }
		public virtual string LocationCode { get; set; }
		public virtual string IsActive { get; set; }
</v>
      </c>
      <c r="P54" s="8" t="str">
        <f ca="1">TEXTJOIN2("
",TRUE,INDIRECT( $O$1):INDIRECT($O$3))</f>
        <v xml:space="preserve">							ContainerNo = o.ContainerNo,
							Renban = o.Renban,
							SupplierNo = o.SupplierNo,
							HaisenNo = o.HaisenNo,
							BillOfLadingNo = o.BillOfLadingNo,
							SealNo = o.SealNo,
							CdDate = o.CdDate,
							CdStatus = o.CdStatus,
							ContainerSize = o.ContainerSize,
							ShipmentId = o.ShipmentId,
							ShippingDate = o.ShippingDate,
							PortDate = o.PortDate,
							PortDateActual = o.PortDateActual,
							PortTransitDate = o.PortTransitDate,
							ReceiveDate = o.ReceiveDate,
							RequestId = o.RequestId,
							RequestLotNo = o.RequestLotNo,
							InvoiceNo = o.InvoiceNo,
							ListLotNo = o.ListLotNo,
							ListCaseNo = o.ListCaseNo,
							Transport = o.Transport,
							Shop = o.Shop,
							Dock = o.Dock,
							DevanningDate = o.DevanningDate,
							DevanningTime = o.DevanningTime,
							Remark = o.Remark,
							WhLocation = o.WhLocation,
							GateinDate = o.GateinDate,
							GateinTime = o.GateinTime,
							TransitPortReqId = o.TransitPortReqId,
							TransitPortReqDate = o.TransitPortReqDate,
							TransitPortReqTime = o.TransitPortReqTime,
							TransitPortRemark = o.TransitPortRemark,
							Fob = o.Fob,
							Freight = o.Freight,
							Insurance = o.Insurance,
							Cif = o.Cif,
							Tax = o.Tax,
							Amount = o.Amount,
							Status = o.Status,
							LocationCode = o.LocationCode,
							LocationDate = o.LocationDate,
							ReceivingPeriodId = o.ReceivingPeriodId,
							IsActive = o.IsActive,</v>
      </c>
      <c r="T54" s="8" t="str">
        <f ca="1">TEXTJOIN2("
",TRUE,INDIRECT( $T$2):INDIRECT($T$3))</f>
        <v xml:space="preserve">								("ContainerNo"),
								("Renban"),
								("SupplierNo"),
								("HaisenNo"),
								("BillOfLadingNo"),
								("SealNo"),
								("CdDate"),
								("CdStatus"),
								("ContainerSize"),
								("ShipmentId"),
								("ShippingDate"),
								("PortDate"),
								("PortDateActual"),
								("PortTransitDate"),
								("ReceiveDate"),
								("RequestId"),
								("RequestLotNo"),
								("InvoiceNo"),
								("ListLotNo"),
								("ListCaseNo"),
								("Transport"),
								("Shop"),
								("Dock"),
								("DevanningDate"),
								("DevanningTime"),
								("Remark"),
								("WhLocation"),
								("GateinDate"),
								("GateinTime"),
								("TransitPortReqId"),
								("TransitPortReqDate"),
								("TransitPortReqTime"),
								("TransitPortRemark"),
								("Fob"),
								("Freight"),
								("Insurance"),
								("Cif"),
								("Tax"),
								("Amount"),
								("Status"),
								("LocationCode"),
								("LocationDate"),
								("ReceivingPeriodId"),
								("IsActive"),</v>
      </c>
      <c r="V54" s="8" t="str">
        <f ca="1">TEXTJOIN2("
",TRUE,INDIRECT( $V$2):INDIRECT($V$3))</f>
        <v xml:space="preserve">								_ =&gt; _.ContainerNo,
								_ =&gt; _.Renban,
								_ =&gt; _.SupplierNo,
								_ =&gt; _.HaisenNo,
								_ =&gt; _.BillOfLadingNo,
								_ =&gt; _.SealNo,
								_ =&gt; _.CdDate,
								_ =&gt; _.CdStatus,
								_ =&gt; _.ContainerSize,
								_ =&gt; _.ShipmentId,
								_ =&gt; _.ShippingDate,
								_ =&gt; _.PortDate,
								_ =&gt; _.PortDateActual,
								_ =&gt; _.PortTransitDate,
								_ =&gt; _.ReceiveDate,
								_ =&gt; _.RequestId,
								_ =&gt; _.RequestLotNo,
								_ =&gt; _.InvoiceNo,
								_ =&gt; _.ListLotNo,
								_ =&gt; _.ListCaseNo,
								_ =&gt; _.Transport,
								_ =&gt; _.Shop,
								_ =&gt; _.Dock,
								_ =&gt; _.DevanningDate,
								_ =&gt; _.DevanningTime,
								_ =&gt; _.Remark,
								_ =&gt; _.WhLocation,
								_ =&gt; _.GateinDate,
								_ =&gt; _.GateinTime,
								_ =&gt; _.TransitPortReqId,
								_ =&gt; _.TransitPortReqDate,
								_ =&gt; _.TransitPortReqTime,
								_ =&gt; _.TransitPortRemark,
								_ =&gt; _.Fob,
								_ =&gt; _.Freight,
								_ =&gt; _.Insurance,
								_ =&gt; _.Cif,
								_ =&gt; _.Tax,
								_ =&gt; _.Amount,
								_ =&gt; _.Status,
								_ =&gt; _.LocationCode,
								_ =&gt; _.LocationDate,
								_ =&gt; _.ReceivingPeriodId,
								_ =&gt; _.IsActive,</v>
      </c>
      <c r="W54" s="8" t="str">
        <f ca="1">TEXTJOIN2("
",TRUE,INDIRECT( $W$2):INDIRECT($W$3))</f>
        <v xml:space="preserve">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.WhereIf(!string.IsNullOrWhiteSpace(input.HaisenNo), e =&gt; e.HaisenNo.Contains(input.HaisenNo))
				.WhereIf(!string.IsNullOrWhiteSpace(input.BillOfLadingNo), e =&gt; e.BillOfLadingNo.Contains(input.BillOfLadingNo))
				.WhereIf(!string.IsNullOrWhiteSpace(input.SealNo), e =&gt; e.SealNo.Contains(input.SealNo))
				.WhereIf(!string.IsNullOrWhiteSpace(input.CdStatus), e =&gt; e.CdStatus.Contains(input.CdStatus))
				.WhereIf(!string.IsNullOrWhiteSpace(input.RequestLotNo), e =&gt; e.RequestLotNo.Contains(input.RequestLotNo))
				.WhereIf(!string.IsNullOrWhiteSpace(input.InvoiceNo), e =&gt; e.InvoiceNo.Contains(input.InvoiceNo))
				.WhereIf(!string.IsNullOrWhiteSpace(input.ListLotNo), e =&gt; e.ListLotNo.Contains(input.ListLotNo))
				.WhereIf(!string.IsNullOrWhiteSpace(input.ListCaseNo), e =&gt; e.ListCaseNo.Contains(input.ListCaseNo))
				.WhereIf(!string.IsNullOrWhiteSpace(input.Transport), e =&gt; e.Transport.Contains(input.Transport))
				.WhereIf(!string.IsNullOrWhiteSpace(input.Shop), e =&gt; e.Shop.Contains(input.Shop))
				.WhereIf(!string.IsNullOrWhiteSpace(input.Dock), e =&gt; e.Dock.Contains(input.Dock))
				.WhereIf(!string.IsNullOrWhiteSpace(input.Remark), e =&gt; e.Remark.Contains(input.Remark))
				.WhereIf(!string.IsNullOrWhiteSpace(input.WhLocation), e =&gt; e.WhLocation.Contains(input.WhLocation))
				.WhereIf(!string.IsNullOrWhiteSpace(input.TransitPortRemark), e =&gt; e.TransitPortRemark.Contains(input.TransitPortRemark))
				.WhereIf(!string.IsNullOrWhiteSpace(input.Status), e =&gt; e.Status.Contains(input.Status))
				.WhereIf(!string.IsNullOrWhiteSpace(input.LocationCode), e =&gt; e.LocationCode.Contains(input.LocationCode))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0"/>
  <sheetViews>
    <sheetView workbookViewId="0">
      <selection activeCell="C19" sqref="C1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414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InvCkdContainerList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ContainerList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containerlist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InvCkdContainerListDto, InvCkdContainerListServiceProxy } from '@shared/service-proxies/service-proxies';
import { finalize } from 'rxjs/internal/operators/finalize';
import { CreateOrEditContainerListModalComponent } from './create-or-edit-containerlist-modal.component';
import { DatePipe } from '@angular/common';
import { FileDownloadService } from '@shared/utils/file-download.service';
import ceil from 'lodash-es/ceil';
import { Paginator } from 'primeng/paginator';
@Component({
    templateUrl: './containerlist.component.html',
    styleUrls: ['./containerlist.component.less'],
})
export class ContainerListComponent extends AppComponentBase implements OnInit {
    @ViewChild('createOrEditModalContainerList', { static: true }) createOrEditModalContainerList:| CreateOrEditContainerListModalComponent|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InvCkdContainerListDto = new InvCkdContainerListDto();
    saveSelectedRow: InvCkdContainerListDto = new InvCkdContainerListDto();
    datas: InvCkdContainerListDto = new InvCkdContainerListDto();
    isLoading: boolean = false;
    dataParams: GridParams | undefined;
    rowData: any[] = [];
    gridApi!: GridApi;
    rowSelection = 'multiple';
    filter: string = '';
	pipe = new DatePipe('en-US');
	frameworkComponents: FrameworkComponent;
    	containerNo : string = '' ; 
	renban : string = '' ; 
	supplierNo : string = '' ; 
	haisenNo : string = '' ; 
	billOfLadingNo : string = '' ; 
	sealNo
	cdDate : string = '' ; 
	cdStatus
	containerSize
	shipmentId
	shippingDate
	portDate
	portDateActual
	portTransitDate
	receiveDate
	requestId : string = '' ; 
	requestLotNo : string = '' ; 
	invoiceNo : string = '' ; 
	listLotNo : string = '' ; 
	listCaseNo : string = '' ; 
	transport : string = '' ; 
	shop : string = '' ; 
	dock
	devanningDate
	devanningTime
	remark : string = '' ; 
	whLocation : string = '' ; 
	gateinDate
	gateinTime
	transitPortReqId
	transitPortReqDate
	transitPortReqTime
	transitPortRemark : string = '' ; 
	fob
	freight
	insurance
	cif
	tax
	amount
	status : string = '' ; 
	locationCode : string = '' ; 
	locationDate
	receivingPeriodId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InvCkdContainerListServiceProxy,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this.l('Container No'),headerTooltip: this.l('Container No'),field: 'containerNo',flex: 1},
			{headerName: this.l('Renban'),headerTooltip: this.l('Renban'),field: 'renban',flex: 1},
			{headerName: this.l('Supplier No'),headerTooltip: this.l('Supplier No'),field: 'supplierNo',flex: 1},
			{headerName: this.l('Haisen No'),headerTooltip: this.l('Haisen No'),field: 'haisenNo',flex: 1},
			{headerName: this.l('Bill Of Lading No'),headerTooltip: this.l('Bill Of Lading No'),field: 'billOfLadingNo',flex: 1},
			{headerName: this.l('Seal No'),headerTooltip: this.l('Seal No'),field: 'sealNo',flex: 1},
			{headerName: this.l('Cd Date'),headerTooltip: this.l('Cd Date'),field: 'cdDate',flex: 1},
			{headerName: this.l('Cd Status'),headerTooltip: this.l('Cd Status'),field: 'cdStatus',flex: 1},
			{headerName: this.l('Container Size'),headerTooltip: this.l('Container Size'),field: 'containerSize',flex: 1},
			{headerName: this.l('Shipment Id'),headerTooltip: this.l('Shipment Id'),field: 'shipmentId',flex: 1},
			{headerName: this.l('Shipping Date'),headerTooltip: this.l('Shipping Date'),field: 'shippingDate',flex: 1},
			{headerName: this.l('Port Date'),headerTooltip: this.l('Port Date'),field: 'portDate',flex: 1},
			{headerName: this.l('Port Date Actual'),headerTooltip: this.l('Port Date Actual'),field: 'portDateActual',flex: 1},
			{headerName: this.l('Port Transit Date'),headerTooltip: this.l('Port Transit Date'),field: 'portTransitDate',flex: 1},
			{headerName: this.l('Receive Date'),headerTooltip: this.l('Receive Date'),field: 'receiveDate',flex: 1},
			{headerName: this.l('Request Id'),headerTooltip: this.l('Request Id'),field: 'requestId',flex: 1},
			{headerName: this.l('Request Lot No'),headerTooltip: this.l('Request Lot No'),field: 'requestLotNo',flex: 1},
			{headerName: this.l('Invoice No'),headerTooltip: this.l('Invoice No'),field: 'invoiceNo',flex: 1},
			{headerName: this.l('List Lot No'),headerTooltip: this.l('List Lot No'),field: 'listLotNo',flex: 1},
			{headerName: this.l('List Case No'),headerTooltip: this.l('List Case No'),field: 'listCaseNo',flex: 1},
			{headerName: this.l('Transport'),headerTooltip: this.l('Transport'),field: 'transport',flex: 1},
			{headerName: this.l('Shop'),headerTooltip: this.l('Shop'),field: 'shop',flex: 1},
			{headerName: this.l('Dock'),headerTooltip: this.l('Dock'),field: 'dock',flex: 1},
			{headerName: this.l('Devanning Date'),headerTooltip: this.l('Devanning Date'),field: 'devanningDate',flex: 1},
			{headerName: this.l('Devanning Time'),headerTooltip: this.l('Devanning Time'),field: 'devanningTime',flex: 1},
			{headerName: this.l('Remark'),headerTooltip: this.l('Remark'),field: 'remark',flex: 1},
			{headerName: this.l('Wh Location'),headerTooltip: this.l('Wh Location'),field: 'whLocation',flex: 1},
			{headerName: this.l('Gatein Date'),headerTooltip: this.l('Gatein Date'),field: 'gateinDate',flex: 1},
			{headerName: this.l('Gatein Time'),headerTooltip: this.l('Gatein Time'),field: 'gateinTime',flex: 1},
			{headerName: this.l('Transit Port Req Id'),headerTooltip: this.l('Transit Port Req Id'),field: 'transitPortReqId',flex: 1},
			{headerName: this.l('Transit Port Req Date'),headerTooltip: this.l('Transit Port Req Date'),field: 'transitPortReqDate',flex: 1},
			{headerName: this.l('Transit Port Req Time'),headerTooltip: this.l('Transit Port Req Time'),field: 'transitPortReqTime',flex: 1},
			{headerName: this.l('Transit Port Remark'),headerTooltip: this.l('Transit Port Remark'),field: 'transitPortRemark',flex: 1},
			{headerName: this.l('Fob'),headerTooltip: this.l('Fob'),field: 'fob',flex: 1},
			{headerName: this.l('Freight'),headerTooltip: this.l('Freight'),field: 'freight',flex: 1},
			{headerName: this.l('Insurance'),headerTooltip: this.l('Insurance'),field: 'insurance',flex: 1},
			{headerName: this.l('Cif'),headerTooltip: this.l('Cif'),field: 'cif',flex: 1},
			{headerName: this.l('Tax'),headerTooltip: this.l('Tax'),field: 'tax',flex: 1},
			{headerName: this.l('Amount'),headerTooltip: this.l('Amount'),field: 'amount',flex: 1},
			{headerName: this.l('Status'),headerTooltip: this.l('Status'),field: 'status',flex: 1},
			{headerName: this.l('Location Code'),headerTooltip: this.l('Location Code'),field: 'locationCode',flex: 1},
			{headerName: this.l('Location Date'),headerTooltip: this.l('Location Date'),field: 'locationDate',flex: 1},
			{headerName: this.l('Receiving Period Id'),headerTooltip: this.l('Receiving Period Id'),field: 'receivingPeriodId',flex: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this.containerNo,
			this.renban,
			this.supplierNo,
			this.haisenNo,
			this.billOfLadingNo,
			this.sealNo,
			this.cdDate,
			this.cdStatus,
			this.containerSize,
			this.shipmentId,
			this.shippingDate,
			this.portDate,
			this.portDateActual,
			this.portTransitDate,
			this.receiveDate,
			this.requestId,
			this.requestLotNo,
			this.invoiceNo,
			this.listLotNo,
			this.listCaseNo,
			this.transport,
			this.shop,
			this.dock,
			this.devanningDate,
			this.devanningTime,
			this.remark,
			this.whLocation,
			this.gateinDate,
			this.gateinTime,
			this.transitPortReqId,
			this.transitPortReqDate,
			this.transitPortReqTime,
			this.transitPortRemark,
			this.fob,
			this.freight,
			this.insurance,
			this.cif,
			this.tax,
			this.amount,
			this.status,
			this.locationCode,
			this.locationDate,
			this.receivingPeriodId,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this.containerNo = '',
		this.renban = '',
		this.supplierNo = '',
		this.haisenNo = '',
		this.billOfLadingNo = '',
		this.sealNo = '',
		this.cdDate = '',
		this.cdStatus = '',
		this.containerSize = '',
		this.shipmentId = '',
		this.shippingDate = '',
		this.portDate = '',
		this.portDateActual = '',
		this.portTransitDate = '',
		this.receiveDate = '',
		this.requestId = '',
		this.requestLotNo = '',
		this.invoiceNo = '',
		this.listLotNo = '',
		this.listCaseNo = '',
		this.transport = '',
		this.shop = '',
		this.dock = '',
		this.devanningDate = '',
		this.devanningTime = '',
		this.remark = '',
		this.whLocation = '',
		this.gateinDate = '',
		this.gateinTime = '',
		this.transitPortReqId = '',
		this.transitPortReqDate = '',
		this.transitPortReqTime = '',
		this.transitPortRemark = '',
		this.fob = '',
		this.freight = '',
		this.insurance = '',
		this.cif = '',
		this.tax = '',
		this.amount = '',
		this.status = '',
		this.locationCode = '',
		this.locationDate = '',
		this.receivingPeriodId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this.containerNo,
			this.renban,
			this.supplierNo,
			this.haisenNo,
			this.billOfLadingNo,
			this.sealNo,
			this.cdDate,
			this.cdStatus,
			this.containerSize,
			this.shipmentId,
			this.shippingDate,
			this.portDate,
			this.portDateActual,
			this.portTransitDate,
			this.receiveDate,
			this.requestId,
			this.requestLotNo,
			this.invoiceNo,
			this.listLotNo,
			this.listCaseNo,
			this.transport,
			this.shop,
			this.dock,
			this.devanningDate,
			this.devanningTime,
			this.remark,
			this.whLocation,
			this.gateinDate,
			this.gateinTime,
			this.transitPortReqId,
			this.transitPortReqDate,
			this.transitPortReqTime,
			this.transitPortRemark,
			this.fob,
			this.freight,
			this.insurance,
			this.cif,
			this.tax,
			this.amount,
			this.status,
			this.locationCode,
			this.locationDate,
			this.receivingPeriodId,
			this.isActive,
			'',
            this.paginationParams.skipCount,
            this.paginationParams.pageSize
        );
    }
    onChangeRowSelection(params: { api: { getSelectedRows: () =&gt; InvCkdContainerListDto[] } }) {
        this.saveSelectedRow = params.api.getSelectedRows()[0] ?? new InvCkdContainerListDto();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InvCkdContainerListDto):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this._service.getContainerListToExcel(
			this.containerNo,
			this.renban,
			this.supplierNo,
			this.haisenNo,
			this.billOfLadingNo,
			this.sealNo,
			this.cdDate,
			this.cdStatus,
			this.containerSize,
			this.shipmentId,
			this.shippingDate,
			this.portDate,
			this.portDateActual,
			this.portTransitDate,
			this.receiveDate,
			this.requestId,
			this.requestLotNo,
			this.invoiceNo,
			this.listLotNo,
			this.listCaseNo,
			this.transport,
			this.shop,
			this.dock,
			this.devanningDate,
			this.devanningTime,
			this.remark,
			this.whLocation,
			this.gateinDate,
			this.gateinTime,
			this.transitPortReqId,
			this.transitPortReqDate,
			this.transitPortReqTime,
			this.transitPortRemark,
			this.fob,
			this.freight,
			this.insurance,
			this.cif,
			this.tax,
			this.amount,
			this.status,
			this.locationCode,
			this.locationDate,
			this.receivingPeriodId,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Container Management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[(ngModel)]='haisenNo' name='haisenNo'
									class='form-control' [placeholder]="l('Haisen No')"
									type='text' (keyup.enter)='searchDatas()'&gt;
								&lt;/div&gt;
								&lt;div class='input-search'&gt;
									&lt;input [(ngModel)]='billOfLadingNo' name='billOfLadingNo'
									class='form-control' [placeholder]="l('Bill Of Lading No')"
									type='text' (keyup.enter)='searchDatas()'&gt;
								&lt;/div&gt;
								&lt;div class='input-search'&gt;
									&lt;input [(ngModel)]='cdDate' name='cdDate'
									class='form-control' [placeholder]="l('Cd Date')"
									type='text' (keyup.enter)='searchDatas()'&gt;
								&lt;/div&gt;
								&lt;div class='input-search'&gt;
									&lt;input [(ngModel)]='requestId' name='requestId'
									class='form-control' [placeholder]="l('Request Id')"
									type='text' (keyup.enter)='searchDatas()'&gt;
								&lt;/div&gt;
								&lt;div class='input-search'&gt;
									&lt;input [(ngModel)]='requestLotNo' name='requestLotNo'
									class='form-control' [placeholder]="l('Request Lot No')"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[(ngModel)]='listLotNo' name='listLotNo'
									class='form-control' [placeholder]="l('List Lot No')"
									type='text' (keyup.enter)='searchDatas()'&gt;
								&lt;/div&gt;
								&lt;div class='input-search'&gt;
									&lt;input [(ngModel)]='listCaseNo' name='listCaseNo'
									class='form-control' [placeholder]="l('List Case No')"
									type='text' (keyup.enter)='searchDatas()'&gt;
								&lt;/div&gt;
								&lt;div class='input-search'&gt;
									&lt;input [(ngModel)]='transport' name='transport'
									class='form-control' [placeholder]="l('Transport')"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[(ngModel)]='whLocation' name='whLocation'
									class='form-control' [placeholder]="l('Wh Location')"
									type='text' (keyup.enter)='searchDatas()'&gt;
								&lt;/div&gt;
								&lt;div class='input-search'&gt;
									&lt;input [(ngModel)]='transitPortRemark' name='transitPortRemark'
									class='form-control' [placeholder]="l('Transit Port Remark')"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[(ngModel)]='locationCode' name='locationCode'
									class='form-control' [placeholder]="l('Location Code')"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(click)="createOrEditModalContainerList.show()"&gt;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(click)="createOrEditModalContainerList.show(selectedRow)"&gt;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&lt;create-or-edit-containerlist-modal
    #createOrEditModalContainerList
    (modalSave)="callBackDataGrid(dataParams)"
    (modalClose)="onChangeRowSelection(dataParams)"
&gt;
&lt;/create-or-edit-containerlist-modal&gt;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#createOrEditModalContainerList="bs-modal"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ContainerList')}}&lt;/h3&gt;
                    &lt;h3 *ngIf="!rowdata.id"&gt;{{('Create New ContainerList')}}&lt;/h3&gt;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title'&gt;Haisen No&lt;/label&gt;
						&lt;input type='text' class='col-md-10 form-control input-text' name='HaisenNo' [(ngModel)]='rowdata.haisenNo'&gt;
					&lt;/div&gt;
					&lt;div class='col-md-12 form-group row'&gt;
						&lt;label class='col-md-2 form-control title'&gt;Bill Of 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title'&gt;Cd Date&lt;/label&gt;
						&lt;input type='text' class='col-md-10 form-control input-text' name='CdDate' [(ngModel)]='rowdata.cdDate'&gt;
					&lt;/div&gt;
					&lt;div class='col-md-12 form-group row'&gt;
						&lt;label class='col-md-2 form-control title'&gt;Request Id&lt;/label&gt;
						&lt;input type='text' class='col-md-10 form-control input-text' name='RequestId' [(ngModel)]='rowdata.requestId'&gt;
					&lt;/div&gt;
					&lt;div class='col-md-12 form-group row'&gt;
						&lt;label class='col-md-2 form-control title'&gt;Request Lot No&lt;/label&gt;
						&lt;input type='text' class='col-md-10 form-control input-text' name='RequestLotNo' [(ngModel)]='rowdata.requestLotNo'&gt;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title'&gt;List Lot No&lt;/label&gt;
						&lt;input type='text' class='col-md-10 form-control input-text' name='ListLotNo' [(ngModel)]='rowdata.listLotNo'&gt;
					&lt;/div&gt;
					&lt;div class='col-md-12 form-group row'&gt;
						&lt;label class='col-md-2 form-control title'&gt;List Case No&lt;/label&gt;
						&lt;input type='text' class='col-md-10 form-control input-text' name='ListCaseNo' [(ngModel)]='rowdata.listCaseNo'&gt;
					&lt;/div&gt;
					&lt;div class='col-md-12 form-group row'&gt;
						&lt;label class='col-md-2 form-control title'&gt;Transport&lt;/label&gt;
						&lt;input type='text' class='col-md-10 form-control input-text' name='Transport' [(ngModel)]='rowdata.transport'&gt;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title'&gt;Wh Location&lt;/label&gt;
						&lt;input type='text' class='col-md-10 form-control input-text' name='WhLocation' [(ngModel)]='rowdata.whLocation'&gt;
					&lt;/div&gt;
					&lt;div class='col-md-12 form-group row'&gt;
						&lt;label class='col-md-2 form-control title'&gt;Transit Port Remark&lt;/label&gt;
						&lt;input type='text' class='col-md-10 form-control input-text' name='TransitPortRemark' [(ngModel)]='rowdata.transitPortRemark'&gt;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title'&gt;Location Code&lt;/label&gt;
						&lt;input type='text' class='col-md-10 form-control input-text' name='LocationCode' [(ngModel)]='rowdata.locationCode'&gt;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CreateOrEditInvCkdContainerListDto, InvCkdContainerListServiceProxy } from '@shared/service-proxies/service-proxies';
import { BsDatepickerDirective } from 'ngx-bootstrap/datepicker';
@Component({
    selector: 'create-or-edit-containerlist-modal',
    templateUrl: './create-or-edit-containerlist-modal.component.html',
    styleUrls: ['./create-or-edit-containerlist-modal.component.less']
    })
export class CreateOrEditContainerListModalComponent extends AppComponentBase {
    @ViewChild('createOrEditModalContainerList',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CreateOrEditInvCkdContainerListDto = new CreateOrEditInvCkdContainerListDto();
    active: boolean = false;
    saving: boolean = false;
    _isActive: boolean;
    constructor(
        injector: Injector,
        private _mstwptContainerListService: InvCkdContainerListServiceProxy,
    ) 
    {
        super(injector);
    }
    show(rowdata?: CreateOrEditInvCkdContainerListDto): void {
        if (!rowdata) this.rowdata = new CreateOrEditInvCkdContainerListDto();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this._mstwptContainerListService.createOrEdit(this.rowdata)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ContainerListRoutingModule } from './containerlist-routing.module';
import { ContainerListComponent } from './containerlist.component';
import { CreateOrEditContainerListModalComponent } from './create-or-edit-containerlist-modal.component';
@NgModule({
    declarations: [
       ContainerListComponent, 
        CreateOrEditContainerListModalComponent
    ],
    imports: [
        AppSharedModule, ContainerListRoutingModule]
})
export class ContainerListModule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ContainerListComponent } from './containerlist.component';
const routes: Routes = [{
    path: '',
    component: ContainerListComponent,
    pathMatch: 'full'
}];
@NgModule({
    imports: [RouterModule.forChild(routes)],
    exports: [RouterModule],
})
export class ContainerListRoutingModule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AppMenuItem("ContainerList", "Pages.Inventory.CKD.ContainerList", "flaticon-book",   "/app/main/inventory/ckd/containerlist"),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'inventory/ckd/containerlist',
    loadChildren: () =&gt; import('./inventory/ckd/containerlist/containerlist.module').then(m =&gt; m.ContainerListModule),
    data: { permission: 'Pages.Inventory.CKD.ContainerList' }
},</v>
      </c>
      <c r="R10" s="47" t="str">
        <f>SUBSTITUTE(R9,"MstWptCalendar",$B$6)</f>
        <v>ApiServiceProxies.InvCkdContainerListServiceProxy,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H58</v>
      </c>
      <c r="I12" s="28" t="str">
        <f>"I"&amp;COUNTA($A:$A)</f>
        <v>I58</v>
      </c>
      <c r="J12" s="28"/>
      <c r="K12" s="28" t="str">
        <f>"K"&amp;COUNTA($A:$A)</f>
        <v>K58</v>
      </c>
      <c r="L12" s="28" t="str">
        <f>"L"&amp;COUNTA($A:$A)</f>
        <v>L58</v>
      </c>
      <c r="M12" s="28"/>
      <c r="N12" s="28"/>
      <c r="O12" s="28"/>
      <c r="P12" s="28"/>
      <c r="Q12" s="28"/>
      <c r="R12" s="28"/>
      <c r="S12" s="28" t="str">
        <f>"S"&amp;COUNTA($A:$A)</f>
        <v>S58</v>
      </c>
      <c r="T12" s="28" t="str">
        <f>"T"&amp;COUNTA($A:$A)</f>
        <v>T58</v>
      </c>
      <c r="U12" s="28" t="str">
        <f>"U"&amp;COUNTA($A:$A)</f>
        <v>U58</v>
      </c>
      <c r="V12" s="28" t="str">
        <f>"V"&amp;COUNTA($A:$A)</f>
        <v>V58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this.l('Container No'),headerTooltip: this.l('Container No'),field: 'containerNo',flex: 1},
			{headerName: this.l('Renban'),headerTooltip: this.l('Renban'),field: 'renban',flex: 1},
			{headerName: this.l('Supplier No'),headerTooltip: this.l('Supplier No'),field: 'supplierNo',flex: 1},
			{headerName: this.l('Haisen No'),headerTooltip: this.l('Haisen No'),field: 'haisenNo',flex: 1},
			{headerName: this.l('Bill Of Lading No'),headerTooltip: this.l('Bill Of Lading No'),field: 'billOfLadingNo',flex: 1},
			{headerName: this.l('Seal No'),headerTooltip: this.l('Seal No'),field: 'sealNo',flex: 1},
			{headerName: this.l('Cd Date'),headerTooltip: this.l('Cd Date'),field: 'cdDate',flex: 1},
			{headerName: this.l('Cd Status'),headerTooltip: this.l('Cd Status'),field: 'cdStatus',flex: 1},
			{headerName: this.l('Container Size'),headerTooltip: this.l('Container Size'),field: 'containerSize',flex: 1},
			{headerName: this.l('Shipment Id'),headerTooltip: this.l('Shipment Id'),field: 'shipmentId',flex: 1},
			{headerName: this.l('Shipping Date'),headerTooltip: this.l('Shipping Date'),field: 'shippingDate',flex: 1},
			{headerName: this.l('Port Date'),headerTooltip: this.l('Port Date'),field: 'portDate',flex: 1},
			{headerName: this.l('Port Date Actual'),headerTooltip: this.l('Port Date Actual'),field: 'portDateActual',flex: 1},
			{headerName: this.l('Port Transit Date'),headerTooltip: this.l('Port Transit Date'),field: 'portTransitDate',flex: 1},
			{headerName: this.l('Receive Date'),headerTooltip: this.l('Receive Date'),field: 'receiveDate',flex: 1},
			{headerName: this.l('Request Id'),headerTooltip: this.l('Request Id'),field: 'requestId',flex: 1},
			{headerName: this.l('Request Lot No'),headerTooltip: this.l('Request Lot No'),field: 'requestLotNo',flex: 1},
			{headerName: this.l('Invoice No'),headerTooltip: this.l('Invoice No'),field: 'invoiceNo',flex: 1},
			{headerName: this.l('List Lot No'),headerTooltip: this.l('List Lot No'),field: 'listLotNo',flex: 1},
			{headerName: this.l('List Case No'),headerTooltip: this.l('List Case No'),field: 'listCaseNo',flex: 1},
			{headerName: this.l('Transport'),headerTooltip: this.l('Transport'),field: 'transport',flex: 1},
			{headerName: this.l('Shop'),headerTooltip: this.l('Shop'),field: 'shop',flex: 1},
			{headerName: this.l('Dock'),headerTooltip: this.l('Dock'),field: 'dock',flex: 1},
			{headerName: this.l('Devanning Date'),headerTooltip: this.l('Devanning Date'),field: 'devanningDate',flex: 1},
			{headerName: this.l('Devanning Time'),headerTooltip: this.l('Devanning Time'),field: 'devanningTime',flex: 1},
			{headerName: this.l('Remark'),headerTooltip: this.l('Remark'),field: 'remark',flex: 1},
			{headerName: this.l('Wh Location'),headerTooltip: this.l('Wh Location'),field: 'whLocation',flex: 1},
			{headerName: this.l('Gatein Date'),headerTooltip: this.l('Gatein Date'),field: 'gateinDate',flex: 1},
			{headerName: this.l('Gatein Time'),headerTooltip: this.l('Gatein Time'),field: 'gateinTime',flex: 1},
			{headerName: this.l('Transit Port Req Id'),headerTooltip: this.l('Transit Port Req Id'),field: 'transitPortReqId',flex: 1},
			{headerName: this.l('Transit Port Req Date'),headerTooltip: this.l('Transit Port Req Date'),field: 'transitPortReqDate',flex: 1},
			{headerName: this.l('Transit Port Req Time'),headerTooltip: this.l('Transit Port Req Time'),field: 'transitPortReqTime',flex: 1},
			{headerName: this.l('Transit Port Remark'),headerTooltip: this.l('Transit Port Remark'),field: 'transitPortRemark',flex: 1},
			{headerName: this.l('Fob'),headerTooltip: this.l('Fob'),field: 'fob',flex: 1},
			{headerName: this.l('Freight'),headerTooltip: this.l('Freight'),field: 'freight',flex: 1},
			{headerName: this.l('Insurance'),headerTooltip: this.l('Insurance'),field: 'insurance',flex: 1},
			{headerName: this.l('Cif'),headerTooltip: this.l('Cif'),field: 'cif',flex: 1},
			{headerName: this.l('Tax'),headerTooltip: this.l('Tax'),field: 'tax',flex: 1},
			{headerName: this.l('Amount'),headerTooltip: this.l('Amount'),field: 'amount',flex: 1},
			{headerName: this.l('Status'),headerTooltip: this.l('Status'),field: 'status',flex: 1},
			{headerName: this.l('Location Code'),headerTooltip: this.l('Location Code'),field: 'locationCode',flex: 1},
			{headerName: this.l('Location Date'),headerTooltip: this.l('Location Date'),field: 'locationDate',flex: 1},
			{headerName: this.l('Receiving Period Id'),headerTooltip: this.l('Receiving Period Id'),field: 'receivingPeriodId',flex: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[(ngModel)]='haisenNo' name='haisenNo'
									class='form-control' [placeholder]="l('Haisen No')"
									type='text' (keyup.enter)='searchDatas()'&gt;
								&lt;/div&gt;
								&lt;div class='input-search'&gt;
									&lt;input [(ngModel)]='billOfLadingNo' name='billOfLadingNo'
									class='form-control' [placeholder]="l('Bill Of Lading No')"
									type='text' (keyup.enter)='searchDatas()'&gt;
								&lt;/div&gt;
								&lt;div class='input-search'&gt;
									&lt;input [(ngModel)]='cdDate' name='cdDate'
									class='form-control' [placeholder]="l('Cd Date')"
									type='text' (keyup.enter)='searchDatas()'&gt;
								&lt;/div&gt;
								&lt;div class='input-search'&gt;
									&lt;input [(ngModel)]='requestId' name='requestId'
									class='form-control' [placeholder]="l('Request Id')"
									type='text' (keyup.enter)='searchDatas()'&gt;
								&lt;/div&gt;
								&lt;div class='input-search'&gt;
									&lt;input [(ngModel)]='requestLotNo' name='requestLotNo'
									class='form-control' [placeholder]="l('Request Lot No')"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[(ngModel)]='listLotNo' name='listLotNo'
									class='form-control' [placeholder]="l('List Lot No')"
									type='text' (keyup.enter)='searchDatas()'&gt;
								&lt;/div&gt;
								&lt;div class='input-search'&gt;
									&lt;input [(ngModel)]='listCaseNo' name='listCaseNo'
									class='form-control' [placeholder]="l('List Case No')"
									type='text' (keyup.enter)='searchDatas()'&gt;
								&lt;/div&gt;
								&lt;div class='input-search'&gt;
									&lt;input [(ngModel)]='transport' name='transport'
									class='form-control' [placeholder]="l('Transport')"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[(ngModel)]='whLocation' name='whLocation'
									class='form-control' [placeholder]="l('Wh Location')"
									type='text' (keyup.enter)='searchDatas()'&gt;
								&lt;/div&gt;
								&lt;div class='input-search'&gt;
									&lt;input [(ngModel)]='transitPortRemark' name='transitPortRemark'
									class='form-control' [placeholder]="l('Transit Port Remark')"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[(ngModel)]='locationCode' name='locationCode'
									class='form-control' [placeholder]="l('Location Code')"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title'&gt;Haisen No&lt;/label&gt;
						&lt;input type='text' class='col-md-10 form-control input-text' name='HaisenNo' [(ngModel)]='rowdata.haisenNo'&gt;
					&lt;/div&gt;
					&lt;div class='col-md-12 form-group row'&gt;
						&lt;label class='col-md-2 form-control title'&gt;Bill Of 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title'&gt;Cd Date&lt;/label&gt;
						&lt;input type='text' class='col-md-10 form-control input-text' name='CdDate' [(ngModel)]='rowdata.cdDate'&gt;
					&lt;/div&gt;
					&lt;div class='col-md-12 form-group row'&gt;
						&lt;label class='col-md-2 form-control title'&gt;Request Id&lt;/label&gt;
						&lt;input type='text' class='col-md-10 form-control input-text' name='RequestId' [(ngModel)]='rowdata.requestId'&gt;
					&lt;/div&gt;
					&lt;div class='col-md-12 form-group row'&gt;
						&lt;label class='col-md-2 form-control title'&gt;Request Lot No&lt;/label&gt;
						&lt;input type='text' class='col-md-10 form-control input-text' name='RequestLotNo' [(ngModel)]='rowdata.requestLotNo'&gt;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title'&gt;List Lot No&lt;/label&gt;
						&lt;input type='text' class='col-md-10 form-control input-text' name='ListLotNo' [(ngModel)]='rowdata.listLotNo'&gt;
					&lt;/div&gt;
					&lt;div class='col-md-12 form-group row'&gt;
						&lt;label class='col-md-2 form-control title'&gt;List Case No&lt;/label&gt;
						&lt;input type='text' class='col-md-10 form-control input-text' name='ListCaseNo' [(ngModel)]='rowdata.listCaseNo'&gt;
					&lt;/div&gt;
					&lt;div class='col-md-12 form-group row'&gt;
						&lt;label class='col-md-2 form-control title'&gt;Transport&lt;/label&gt;
						&lt;input type='text' class='col-md-10 form-control input-text' name='Transport' [(ngModel)]='rowdata.transport'&gt;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title'&gt;Wh Location&lt;/label&gt;
						&lt;input type='text' class='col-md-10 form-control input-text' name='WhLocation' [(ngModel)]='rowdata.whLocation'&gt;
					&lt;/div&gt;
					&lt;div class='col-md-12 form-group row'&gt;
						&lt;label class='col-md-2 form-control title'&gt;Transit Port Remark&lt;/label&gt;
						&lt;input type='text' class='col-md-10 form-control input-text' name='TransitPortRemark' [(ngModel)]='rowdata.transitPortRemark'&gt;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title'&gt;Location Code&lt;/label&gt;
						&lt;input type='text' class='col-md-10 form-control input-text' name='LocationCode' [(ngModel)]='rowdata.locationCode'&gt;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containerNo : string = '' ; 
	renban : string = '' ; 
	supplierNo : string = '' ; 
	haisenNo : string = '' ; 
	billOfLadingNo : string = '' ; 
	sealNo
	cdDate : string = '' ; 
	cdStatus
	containerSize
	shipmentId
	shippingDate
	portDate
	portDateActual
	portTransitDate
	receiveDate
	requestId : string = '' ; 
	requestLotNo : string = '' ; 
	invoiceNo : string = '' ; 
	listLotNo : string = '' ; 
	listCaseNo : string = '' ; 
	transport : string = '' ; 
	shop : string = '' ; 
	dock
	devanningDate
	devanningTime
	remark : string = '' ; 
	whLocation : string = '' ; 
	gateinDate
	gateinTime
	transitPortReqId
	transitPortReqDate
	transitPortReqTime
	transitPortRemark : string = '' ; 
	fob
	freight
	insurance
	cif
	tax
	amount
	status : string = '' ; 
	locationCode : string = '' ; 
	locationDate
	receivingPeriodId
	isActive : string = '' ; </v>
      </c>
      <c r="T13" s="62" t="str">
        <f ca="1">TEXTJOIN2("
",TRUE,INDIRECT(T11):INDIRECT(T12))</f>
        <v xml:space="preserve">			this.containerNo,
			this.renban,
			this.supplierNo,
			this.haisenNo,
			this.billOfLadingNo,
			this.sealNo,
			this.cdDate,
			this.cdStatus,
			this.containerSize,
			this.shipmentId,
			this.shippingDate,
			this.portDate,
			this.portDateActual,
			this.portTransitDate,
			this.receiveDate,
			this.requestId,
			this.requestLotNo,
			this.invoiceNo,
			this.listLotNo,
			this.listCaseNo,
			this.transport,
			this.shop,
			this.dock,
			this.devanningDate,
			this.devanningTime,
			this.remark,
			this.whLocation,
			this.gateinDate,
			this.gateinTime,
			this.transitPortReqId,
			this.transitPortReqDate,
			this.transitPortReqTime,
			this.transitPortRemark,
			this.fob,
			this.freight,
			this.insurance,
			this.cif,
			this.tax,
			this.amount,
			this.status,
			this.locationCode,
			this.locationDate,
			this.receivingPeriodId,
			this.isActive,</v>
      </c>
      <c r="U13" s="62" t="str">
        <f ca="1">TEXTJOIN2("
",TRUE,INDIRECT(U11):INDIRECT(U12))</f>
        <v xml:space="preserve">		this.containerNo = '',
		this.renban = '',
		this.supplierNo = '',
		this.haisenNo = '',
		this.billOfLadingNo = '',
		this.sealNo = '',
		this.cdDate = '',
		this.cdStatus = '',
		this.containerSize = '',
		this.shipmentId = '',
		this.shippingDate = '',
		this.portDate = '',
		this.portDateActual = '',
		this.portTransitDate = '',
		this.receiveDate = '',
		this.requestId = '',
		this.requestLotNo = '',
		this.invoiceNo = '',
		this.listLotNo = '',
		this.listCaseNo = '',
		this.transport = '',
		this.shop = '',
		this.dock = '',
		this.devanningDate = '',
		this.devanningTime = '',
		this.remark = '',
		this.whLocation = '',
		this.gateinDate = '',
		this.gateinTime = '',
		this.transitPortReqId = '',
		this.transitPortReqDate = '',
		this.transitPortReqTime = '',
		this.transitPortRemark = '',
		this.fob = '',
		this.freight = '',
		this.insurance = '',
		this.cif = '',
		this.tax = '',
		this.amount = '',
		this.status = '',
		this.locationCode = '',
		this.locationDate = '',
		this.receivingPeriodId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containerlist.component.ts</v>
      </c>
      <c r="I14" s="37" t="str">
        <f>B8&amp;".component.html"</f>
        <v>containerlist.component.html</v>
      </c>
      <c r="J14" s="36" t="str">
        <f>B8&amp;".component.less"</f>
        <v>containerlist.component.less</v>
      </c>
      <c r="K14" s="37" t="str">
        <f>"create-or-edit-"&amp;B8&amp;"-modal.component.html"</f>
        <v>create-or-edit-containerlist-modal.component.html</v>
      </c>
      <c r="L14" s="37" t="str">
        <f>"create-or-edit-"&amp;B8&amp;"-modal.component.ts"</f>
        <v>create-or-edit-containerlist-modal.component.ts</v>
      </c>
      <c r="M14" s="37" t="str">
        <f>"create-or-edit-"&amp;B8&amp;"-modal.component.less"</f>
        <v>create-or-edit-containerlist-modal.component.less</v>
      </c>
      <c r="N14" s="37" t="str">
        <f>B8&amp;".module.ts"</f>
        <v>containerlist.module.ts</v>
      </c>
      <c r="O14" s="37" t="str">
        <f>B8&amp;"-routing.module.ts"</f>
        <v>containerlist-routing.module.ts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363</v>
      </c>
      <c r="B15" s="28" t="str">
        <f t="shared" ref="B15:B32" si="0">SUBSTITUTE(PROPER(A15),"_","")</f>
        <v>ContainerNo</v>
      </c>
      <c r="C15" s="28" t="str">
        <f t="shared" ref="C15:C32" si="1">SUBSTITUTE(PROPER(A15),"_"," ")</f>
        <v>Container No</v>
      </c>
      <c r="D15" s="28" t="str">
        <f t="shared" ref="D15:D32" si="2">LOWER(LEFT(B15,1))&amp;RIGHT(B15,LEN(B15) - 1)</f>
        <v>containerNo</v>
      </c>
      <c r="E15" s="28" t="str">
        <f>A.Backend!H9</f>
        <v>string</v>
      </c>
      <c r="F15" s="28" t="str">
        <f>A.Backend!G9</f>
        <v>15</v>
      </c>
      <c r="G15" s="28" t="str">
        <f t="shared" ref="G15:G58" si="3">IF(E15="string"," : string = '' ; ",IF(OR(E15="DateTime",E15="TimeSpan")," : any ;",IF(E15="int"," : number = 0 ;","")))</f>
        <v xml:space="preserve"> : string = '' ; </v>
      </c>
      <c r="H15" s="35" t="str">
        <f t="shared" ref="H15:H5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this.l('Container No'),headerTooltip: this.l('Container No'),field: 'containerNo',flex: 1},</v>
      </c>
      <c r="I15" s="35" t="str">
        <f t="shared" ref="I15:I5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5" s="28"/>
      <c r="K15" s="35" t="str">
        <f t="shared" ref="K15:K5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5" s="56" t="str">
        <f t="shared" ref="L15:L32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containerNo : string = '' ; </v>
      </c>
      <c r="T15" s="28" t="str">
        <f>REPT(CHAR(9),3)&amp;"this."&amp;D15&amp;","</f>
        <v xml:space="preserve">			this.containerNo,</v>
      </c>
      <c r="U15" s="28" t="str">
        <f>IF(E15="int",REPT(CHAR(9),2)&amp;"this."&amp;D15&amp;" = 0,",REPT(CHAR(9),2)&amp;"this."&amp;D15&amp;" = '',")</f>
        <v xml:space="preserve">		this.containerNo = '',</v>
      </c>
      <c r="V15" s="28" t="str">
        <f t="shared" ref="V15:V58" si="8">IF(AND(E15="string",F15="1"),D15,"")</f>
        <v/>
      </c>
    </row>
    <row r="16" spans="1:22" ht="18" customHeight="1" x14ac:dyDescent="0.25">
      <c r="A16" t="s">
        <v>369</v>
      </c>
      <c r="B16" s="28" t="str">
        <f t="shared" ref="B16" si="9">SUBSTITUTE(PROPER(A16),"_","")</f>
        <v>Renban</v>
      </c>
      <c r="C16" s="28" t="str">
        <f t="shared" ref="C16" si="10">SUBSTITUTE(PROPER(A16),"_"," ")</f>
        <v>Renban</v>
      </c>
      <c r="D16" s="28" t="str">
        <f t="shared" ref="D16" si="11">LOWER(LEFT(B16,1))&amp;RIGHT(B16,LEN(B16) - 1)</f>
        <v>renban</v>
      </c>
      <c r="E16" s="28" t="str">
        <f>A.Backend!H10</f>
        <v>string</v>
      </c>
      <c r="F16" s="28" t="str">
        <f>A.Backend!G10</f>
        <v>6</v>
      </c>
      <c r="G16" s="28" t="str">
        <f t="shared" si="3"/>
        <v xml:space="preserve"> : string = '' ; </v>
      </c>
      <c r="H16" s="35" t="str">
        <f t="shared" si="4"/>
        <v xml:space="preserve">			{headerName: this.l('Renban'),headerTooltip: this.l('Renban'),field: 'renban',flex: 1},</v>
      </c>
      <c r="I16" s="35" t="str">
        <f t="shared" si="5"/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58" si="13">REPT(CHAR(9),1)&amp;D16&amp;G16</f>
        <v xml:space="preserve">	renban : string = '' ; </v>
      </c>
      <c r="T16" s="28" t="str">
        <f t="shared" ref="T16:T58" si="14">REPT(CHAR(9),3)&amp;"this."&amp;D16&amp;","</f>
        <v xml:space="preserve">			this.renban,</v>
      </c>
      <c r="U16" s="28" t="str">
        <f t="shared" ref="U16:U58" si="15">IF(E16="int",REPT(CHAR(9),2)&amp;"this."&amp;D16&amp;" = 0,",REPT(CHAR(9),2)&amp;"this."&amp;D16&amp;" = '',")</f>
        <v xml:space="preserve">		this.renban = '',</v>
      </c>
      <c r="V16" s="28" t="str">
        <f t="shared" si="8"/>
        <v/>
      </c>
    </row>
    <row r="17" spans="1:22" ht="18" customHeight="1" x14ac:dyDescent="0.25">
      <c r="A17" t="s">
        <v>355</v>
      </c>
      <c r="B17" s="28" t="str">
        <f>SUBSTITUTE(PROPER(A17),"_","")</f>
        <v>SupplierNo</v>
      </c>
      <c r="C17" s="28" t="str">
        <f>SUBSTITUTE(PROPER(A17),"_"," ")</f>
        <v>Supplier No</v>
      </c>
      <c r="D17" s="28" t="str">
        <f>LOWER(LEFT(B17,1))&amp;RIGHT(B17,LEN(B17) - 1)</f>
        <v>supplierNo</v>
      </c>
      <c r="E17" s="28" t="str">
        <f>A.Backend!H11</f>
        <v>string</v>
      </c>
      <c r="F17" s="28" t="str">
        <f>A.Backend!G11</f>
        <v>10</v>
      </c>
      <c r="G17" s="28" t="str">
        <f t="shared" si="3"/>
        <v xml:space="preserve"> : string = '' ; </v>
      </c>
      <c r="H17" s="35" t="str">
        <f t="shared" si="4"/>
        <v xml:space="preserve">			{headerName: this.l('Supplier No'),headerTooltip: this.l('Supplier No'),field: 'supplierNo',flex: 1},</v>
      </c>
      <c r="I17" s="35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supplierNo : string = '' ; </v>
      </c>
      <c r="T17" s="28" t="str">
        <f t="shared" si="14"/>
        <v xml:space="preserve">			this.supplierNo,</v>
      </c>
      <c r="U17" s="28" t="str">
        <f t="shared" si="15"/>
        <v xml:space="preserve">		this.supplierNo = '',</v>
      </c>
      <c r="V17" s="28" t="str">
        <f t="shared" si="8"/>
        <v/>
      </c>
    </row>
    <row r="18" spans="1:22" ht="15" customHeight="1" x14ac:dyDescent="0.25">
      <c r="A18" t="s">
        <v>413</v>
      </c>
      <c r="B18" s="28" t="str">
        <f t="shared" ref="B18:B21" si="16">SUBSTITUTE(PROPER(A18),"_","")</f>
        <v>HaisenNo</v>
      </c>
      <c r="C18" s="28" t="str">
        <f t="shared" ref="C18:C21" si="17">SUBSTITUTE(PROPER(A18),"_"," ")</f>
        <v>Haisen No</v>
      </c>
      <c r="D18" s="28" t="str">
        <f t="shared" ref="D18:D21" si="18">LOWER(LEFT(B18,1))&amp;RIGHT(B18,LEN(B18) - 1)</f>
        <v>haisenNo</v>
      </c>
      <c r="E18" s="28" t="str">
        <f>A.Backend!H13</f>
        <v>string</v>
      </c>
      <c r="F18" s="28" t="str">
        <f>A.Backend!G13</f>
        <v>20</v>
      </c>
      <c r="G18" s="28" t="str">
        <f t="shared" si="3"/>
        <v xml:space="preserve"> : string = '' ; </v>
      </c>
      <c r="H18" s="35" t="str">
        <f t="shared" si="4"/>
        <v xml:space="preserve">			{headerName: this.l('Haisen No'),headerTooltip: this.l('Haisen No'),field: 'haisenNo',flex: 1},</v>
      </c>
      <c r="I18" s="35" t="str">
        <f t="shared" si="5"/>
        <v xml:space="preserve">								&lt;div class='input-search'&gt;
									&lt;input [(ngModel)]='haisenNo' name='haisenNo'
									class='form-control' [placeholder]="l('Haisen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title'&gt;Haisen No&lt;/label&gt;
						&lt;input type='text' class='col-md-10 form-control input-text' name='HaisenNo' [(ngModel)]='rowdata.haisenNo'&gt;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haisenNo : string = '' ; </v>
      </c>
      <c r="T18" s="28" t="str">
        <f t="shared" si="14"/>
        <v xml:space="preserve">			this.haisenNo,</v>
      </c>
      <c r="U18" s="28" t="str">
        <f t="shared" si="15"/>
        <v xml:space="preserve">		this.haisenNo = '',</v>
      </c>
      <c r="V18" s="28" t="str">
        <f t="shared" si="8"/>
        <v/>
      </c>
    </row>
    <row r="19" spans="1:22" ht="18" customHeight="1" x14ac:dyDescent="0.25">
      <c r="A19" t="s">
        <v>377</v>
      </c>
      <c r="B19" s="28" t="str">
        <f t="shared" si="16"/>
        <v>BillOfLadingNo</v>
      </c>
      <c r="C19" s="28" t="str">
        <f t="shared" si="17"/>
        <v>Bill Of Lading No</v>
      </c>
      <c r="D19" s="28" t="str">
        <f t="shared" si="18"/>
        <v>billOfLadingNo</v>
      </c>
      <c r="E19" s="28" t="str">
        <f>A.Backend!H14</f>
        <v>string</v>
      </c>
      <c r="F19" s="28" t="str">
        <f>A.Backend!G14</f>
        <v>20</v>
      </c>
      <c r="G19" s="28" t="str">
        <f t="shared" si="3"/>
        <v xml:space="preserve"> : string = '' ; </v>
      </c>
      <c r="H19" s="35" t="str">
        <f t="shared" si="4"/>
        <v xml:space="preserve">			{headerName: this.l('Bill Of Lading No'),headerTooltip: this.l('Bill Of Lading No'),field: 'billOfLadingNo',flex: 1},</v>
      </c>
      <c r="I19" s="35" t="str">
        <f t="shared" si="5"/>
        <v xml:space="preserve">								&lt;div class='input-search'&gt;
									&lt;input [(ngModel)]='billOfLadingNo' name='billOfLadingNo'
									class='form-control' [placeholder]="l('Bill Of Lading No')"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title'&gt;Bill Of Lading No&lt;/label&gt;
						&lt;input type='text' class='col-md-10 form-control input-text' name='BillOfLadingNo' [(ngModel)]='rowdata.billOfLadingNo'&gt;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billOfLadingNo : string = '' ; </v>
      </c>
      <c r="T19" s="28" t="str">
        <f t="shared" si="14"/>
        <v xml:space="preserve">			this.billOfLadingNo,</v>
      </c>
      <c r="U19" s="28" t="str">
        <f t="shared" si="15"/>
        <v xml:space="preserve">		this.billOfLadingNo = '',</v>
      </c>
      <c r="V19" s="28" t="str">
        <f t="shared" si="8"/>
        <v/>
      </c>
    </row>
    <row r="20" spans="1:22" ht="15" customHeight="1" x14ac:dyDescent="0.25">
      <c r="A20" t="s">
        <v>379</v>
      </c>
      <c r="B20" s="28" t="str">
        <f t="shared" si="16"/>
        <v>SealNo</v>
      </c>
      <c r="C20" s="28" t="str">
        <f t="shared" si="17"/>
        <v>Seal No</v>
      </c>
      <c r="D20" s="28" t="str">
        <f t="shared" si="18"/>
        <v>sealNo</v>
      </c>
      <c r="E20" s="28" t="str">
        <f>A.Backend!H15</f>
        <v>DateTime?</v>
      </c>
      <c r="F20" s="28" t="str">
        <f>A.Backend!G15</f>
        <v/>
      </c>
      <c r="G20" s="28" t="str">
        <f t="shared" si="3"/>
        <v/>
      </c>
      <c r="H20" s="35" t="str">
        <f t="shared" si="4"/>
        <v xml:space="preserve">			{headerName: this.l('Seal No'),headerTooltip: this.l('Seal No'),field: 'sealNo',flex: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sealNo</v>
      </c>
      <c r="T20" s="28" t="str">
        <f t="shared" si="14"/>
        <v xml:space="preserve">			this.sealNo,</v>
      </c>
      <c r="U20" s="28" t="str">
        <f t="shared" si="15"/>
        <v xml:space="preserve">		this.sealNo = '',</v>
      </c>
      <c r="V20" s="28" t="str">
        <f t="shared" si="8"/>
        <v/>
      </c>
    </row>
    <row r="21" spans="1:22" ht="18" customHeight="1" x14ac:dyDescent="0.25">
      <c r="A21" t="s">
        <v>396</v>
      </c>
      <c r="B21" s="28" t="str">
        <f t="shared" si="16"/>
        <v>CdDate</v>
      </c>
      <c r="C21" s="28" t="str">
        <f t="shared" si="17"/>
        <v>Cd Date</v>
      </c>
      <c r="D21" s="28" t="str">
        <f t="shared" si="18"/>
        <v>cdDate</v>
      </c>
      <c r="E21" s="28" t="str">
        <f>A.Backend!H16</f>
        <v>string</v>
      </c>
      <c r="F21" s="28" t="str">
        <f>A.Backend!G16</f>
        <v>20</v>
      </c>
      <c r="G21" s="28" t="str">
        <f t="shared" si="3"/>
        <v xml:space="preserve"> : string = '' ; </v>
      </c>
      <c r="H21" s="35" t="str">
        <f t="shared" si="4"/>
        <v xml:space="preserve">			{headerName: this.l('Cd Date'),headerTooltip: this.l('Cd Date'),field: 'cdDate',flex: 1},</v>
      </c>
      <c r="I21" s="35" t="str">
        <f t="shared" si="5"/>
        <v xml:space="preserve">								&lt;div class='input-search'&gt;
									&lt;input [(ngModel)]='cdDate' name='cdDate'
									class='form-control' [placeholder]="l('Cd Date')"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title'&gt;Cd Date&lt;/label&gt;
						&lt;input type='text' class='col-md-10 form-control input-text' name='CdDate' [(ngModel)]='rowdata.cdDate'&gt;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cdDate : string = '' ; </v>
      </c>
      <c r="T21" s="28" t="str">
        <f t="shared" si="14"/>
        <v xml:space="preserve">			this.cdDate,</v>
      </c>
      <c r="U21" s="28" t="str">
        <f t="shared" si="15"/>
        <v xml:space="preserve">		this.cdDate = '',</v>
      </c>
      <c r="V21" s="28" t="str">
        <f t="shared" si="8"/>
        <v/>
      </c>
    </row>
    <row r="22" spans="1:22" ht="18" customHeight="1" x14ac:dyDescent="0.25">
      <c r="A22" t="s">
        <v>412</v>
      </c>
      <c r="B22" s="28" t="str">
        <f>SUBSTITUTE(PROPER(A22),"_","")</f>
        <v>CdStatus</v>
      </c>
      <c r="C22" s="28" t="str">
        <f>SUBSTITUTE(PROPER(A22),"_"," ")</f>
        <v>Cd Status</v>
      </c>
      <c r="D22" s="28" t="str">
        <f>LOWER(LEFT(B22,1))&amp;RIGHT(B22,LEN(B22) - 1)</f>
        <v>cdStatus</v>
      </c>
      <c r="E22" s="28" t="str">
        <f>A.Backend!H17</f>
        <v>int?</v>
      </c>
      <c r="F22" s="28" t="str">
        <f>A.Backend!G17</f>
        <v/>
      </c>
      <c r="G22" s="28" t="str">
        <f t="shared" si="3"/>
        <v/>
      </c>
      <c r="H22" s="35" t="str">
        <f t="shared" si="4"/>
        <v xml:space="preserve">			{headerName: this.l('Cd Status'),headerTooltip: this.l('Cd Status'),field: 'cdStatus',flex: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cdStatus</v>
      </c>
      <c r="T22" s="28" t="str">
        <f t="shared" si="14"/>
        <v xml:space="preserve">			this.cdStatus,</v>
      </c>
      <c r="U22" s="28" t="str">
        <f t="shared" si="15"/>
        <v xml:space="preserve">		this.cdStatus = '',</v>
      </c>
      <c r="V22" s="28" t="str">
        <f t="shared" si="8"/>
        <v/>
      </c>
    </row>
    <row r="23" spans="1:22" ht="15" customHeight="1" x14ac:dyDescent="0.25">
      <c r="A23" t="s">
        <v>397</v>
      </c>
      <c r="B23" s="28" t="str">
        <f t="shared" ref="B23:B26" si="20">SUBSTITUTE(PROPER(A23),"_","")</f>
        <v>ContainerSize</v>
      </c>
      <c r="C23" s="28" t="str">
        <f t="shared" ref="C23:C26" si="21">SUBSTITUTE(PROPER(A23),"_"," ")</f>
        <v>Container Size</v>
      </c>
      <c r="D23" s="28" t="str">
        <f t="shared" ref="D23:D26" si="22">LOWER(LEFT(B23,1))&amp;RIGHT(B23,LEN(B23) - 1)</f>
        <v>containerSize</v>
      </c>
      <c r="E23" s="28" t="str">
        <f>A.Backend!H18</f>
        <v>long?</v>
      </c>
      <c r="F23" s="28" t="str">
        <f>A.Backend!G18</f>
        <v/>
      </c>
      <c r="G23" s="28" t="str">
        <f t="shared" si="3"/>
        <v/>
      </c>
      <c r="H23" s="35" t="str">
        <f t="shared" si="4"/>
        <v xml:space="preserve">			{headerName: this.l('Container Size'),headerTooltip: this.l('Container Size'),field: 'containerSize',flex: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containerSize</v>
      </c>
      <c r="T23" s="28" t="str">
        <f t="shared" si="14"/>
        <v xml:space="preserve">			this.containerSize,</v>
      </c>
      <c r="U23" s="28" t="str">
        <f t="shared" si="15"/>
        <v xml:space="preserve">		this.containerSize = '',</v>
      </c>
      <c r="V23" s="28" t="str">
        <f t="shared" si="8"/>
        <v/>
      </c>
    </row>
    <row r="24" spans="1:22" ht="18" customHeight="1" x14ac:dyDescent="0.25">
      <c r="A24" t="s">
        <v>384</v>
      </c>
      <c r="B24" s="28" t="str">
        <f t="shared" si="20"/>
        <v>ShipmentId</v>
      </c>
      <c r="C24" s="28" t="str">
        <f t="shared" si="21"/>
        <v>Shipment Id</v>
      </c>
      <c r="D24" s="28" t="str">
        <f t="shared" si="22"/>
        <v>shipmentId</v>
      </c>
      <c r="E24" s="28" t="str">
        <f>A.Backend!H19</f>
        <v>DateTime?</v>
      </c>
      <c r="F24" s="28" t="str">
        <f>A.Backend!G19</f>
        <v/>
      </c>
      <c r="G24" s="28" t="str">
        <f t="shared" si="3"/>
        <v/>
      </c>
      <c r="H24" s="35" t="str">
        <f t="shared" si="4"/>
        <v xml:space="preserve">			{headerName: this.l('Shipment Id'),headerTooltip: this.l('Shipment Id'),field: 'shipmentId',flex: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shipmentId</v>
      </c>
      <c r="T24" s="28" t="str">
        <f t="shared" si="14"/>
        <v xml:space="preserve">			this.shipmentId,</v>
      </c>
      <c r="U24" s="28" t="str">
        <f t="shared" si="15"/>
        <v xml:space="preserve">		this.shipmentId = '',</v>
      </c>
      <c r="V24" s="28" t="str">
        <f t="shared" si="8"/>
        <v/>
      </c>
    </row>
    <row r="25" spans="1:22" ht="15" customHeight="1" x14ac:dyDescent="0.25">
      <c r="A25" t="s">
        <v>371</v>
      </c>
      <c r="B25" s="28" t="str">
        <f t="shared" si="20"/>
        <v>ShippingDate</v>
      </c>
      <c r="C25" s="28" t="str">
        <f t="shared" si="21"/>
        <v>Shipping Date</v>
      </c>
      <c r="D25" s="28" t="str">
        <f t="shared" si="22"/>
        <v>shippingDate</v>
      </c>
      <c r="E25" s="28" t="str">
        <f>A.Backend!H20</f>
        <v>DateTime?</v>
      </c>
      <c r="F25" s="28" t="str">
        <f>A.Backend!G20</f>
        <v/>
      </c>
      <c r="G25" s="28" t="str">
        <f t="shared" si="3"/>
        <v/>
      </c>
      <c r="H25" s="35" t="str">
        <f t="shared" si="4"/>
        <v xml:space="preserve">			{headerName: this.l('Shipping Date'),headerTooltip: this.l('Shipping Date'),field: 'shippingDate',flex: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shippingDate</v>
      </c>
      <c r="T25" s="28" t="str">
        <f t="shared" si="14"/>
        <v xml:space="preserve">			this.shippingDate,</v>
      </c>
      <c r="U25" s="28" t="str">
        <f t="shared" si="15"/>
        <v xml:space="preserve">		this.shippingDate = '',</v>
      </c>
      <c r="V25" s="28" t="str">
        <f t="shared" si="8"/>
        <v/>
      </c>
    </row>
    <row r="26" spans="1:22" ht="18" customHeight="1" x14ac:dyDescent="0.25">
      <c r="A26" t="s">
        <v>372</v>
      </c>
      <c r="B26" s="28" t="str">
        <f t="shared" si="20"/>
        <v>PortDate</v>
      </c>
      <c r="C26" s="28" t="str">
        <f t="shared" si="21"/>
        <v>Port Date</v>
      </c>
      <c r="D26" s="28" t="str">
        <f t="shared" si="22"/>
        <v>portDate</v>
      </c>
      <c r="E26" s="28" t="str">
        <f>A.Backend!H21</f>
        <v>DateTime?</v>
      </c>
      <c r="F26" s="28" t="str">
        <f>A.Backend!G21</f>
        <v/>
      </c>
      <c r="G26" s="28" t="str">
        <f t="shared" si="3"/>
        <v/>
      </c>
      <c r="H26" s="35" t="str">
        <f t="shared" si="4"/>
        <v xml:space="preserve">			{headerName: this.l('Port Date'),headerTooltip: this.l('Port Date'),field: 'portDate',flex: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portDate</v>
      </c>
      <c r="T26" s="28" t="str">
        <f t="shared" si="14"/>
        <v xml:space="preserve">			this.portDate,</v>
      </c>
      <c r="U26" s="28" t="str">
        <f t="shared" si="15"/>
        <v xml:space="preserve">		this.portDate = '',</v>
      </c>
      <c r="V26" s="28" t="str">
        <f t="shared" si="8"/>
        <v/>
      </c>
    </row>
    <row r="27" spans="1:22" ht="18" customHeight="1" x14ac:dyDescent="0.25">
      <c r="A27" t="s">
        <v>383</v>
      </c>
      <c r="B27" s="28" t="str">
        <f>SUBSTITUTE(PROPER(A27),"_","")</f>
        <v>PortDateActual</v>
      </c>
      <c r="C27" s="28" t="str">
        <f>SUBSTITUTE(PROPER(A27),"_"," ")</f>
        <v>Port Date Actual</v>
      </c>
      <c r="D27" s="28" t="str">
        <f>LOWER(LEFT(B27,1))&amp;RIGHT(B27,LEN(B27) - 1)</f>
        <v>portDateActual</v>
      </c>
      <c r="E27" s="28" t="str">
        <f>A.Backend!H22</f>
        <v>DateTime?</v>
      </c>
      <c r="F27" s="28" t="str">
        <f>A.Backend!G22</f>
        <v/>
      </c>
      <c r="G27" s="28" t="str">
        <f t="shared" si="3"/>
        <v/>
      </c>
      <c r="H27" s="35" t="str">
        <f t="shared" si="4"/>
        <v xml:space="preserve">			{headerName: this.l('Port Date Actual'),headerTooltip: this.l('Port Date Actual'),field: 'portDateActual',flex: 1},</v>
      </c>
      <c r="I27" s="35" t="str">
        <f t="shared" si="5"/>
        <v/>
      </c>
      <c r="J27" s="28"/>
      <c r="K27" s="35" t="str">
        <f t="shared" si="6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portDateActual</v>
      </c>
      <c r="T27" s="28" t="str">
        <f t="shared" si="14"/>
        <v xml:space="preserve">			this.portDateActual,</v>
      </c>
      <c r="U27" s="28" t="str">
        <f t="shared" si="15"/>
        <v xml:space="preserve">		this.portDateActual = '',</v>
      </c>
      <c r="V27" s="28" t="str">
        <f t="shared" si="8"/>
        <v/>
      </c>
    </row>
    <row r="28" spans="1:22" ht="15" customHeight="1" x14ac:dyDescent="0.25">
      <c r="A28" t="s">
        <v>382</v>
      </c>
      <c r="B28" s="28" t="str">
        <f t="shared" ref="B28:B30" si="24">SUBSTITUTE(PROPER(A28),"_","")</f>
        <v>PortTransitDate</v>
      </c>
      <c r="C28" s="28" t="str">
        <f t="shared" ref="C28:C30" si="25">SUBSTITUTE(PROPER(A28),"_"," ")</f>
        <v>Port Transit Date</v>
      </c>
      <c r="D28" s="28" t="str">
        <f t="shared" ref="D28:D30" si="26">LOWER(LEFT(B28,1))&amp;RIGHT(B28,LEN(B28) - 1)</f>
        <v>portTransitDate</v>
      </c>
      <c r="E28" s="28" t="str">
        <f>A.Backend!H23</f>
        <v>DateTime?</v>
      </c>
      <c r="F28" s="28" t="str">
        <f>A.Backend!G23</f>
        <v/>
      </c>
      <c r="G28" s="28" t="str">
        <f t="shared" si="3"/>
        <v/>
      </c>
      <c r="H28" s="35" t="str">
        <f t="shared" si="4"/>
        <v xml:space="preserve">			{headerName: this.l('Port Transit Date'),headerTooltip: this.l('Port Transit Date'),field: 'portTransitDate',flex: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portTransitDate</v>
      </c>
      <c r="T28" s="28" t="str">
        <f t="shared" si="14"/>
        <v xml:space="preserve">			this.portTransitDate,</v>
      </c>
      <c r="U28" s="28" t="str">
        <f t="shared" si="15"/>
        <v xml:space="preserve">		this.portTransitDate = '',</v>
      </c>
      <c r="V28" s="28" t="str">
        <f t="shared" si="8"/>
        <v/>
      </c>
    </row>
    <row r="29" spans="1:22" ht="18" customHeight="1" x14ac:dyDescent="0.25">
      <c r="A29" t="s">
        <v>386</v>
      </c>
      <c r="B29" s="28" t="str">
        <f t="shared" si="24"/>
        <v>ReceiveDate</v>
      </c>
      <c r="C29" s="28" t="str">
        <f t="shared" si="25"/>
        <v>Receive Date</v>
      </c>
      <c r="D29" s="28" t="str">
        <f t="shared" si="26"/>
        <v>receiveDate</v>
      </c>
      <c r="E29" s="28" t="str">
        <f>A.Backend!H24</f>
        <v>long?</v>
      </c>
      <c r="F29" s="28" t="str">
        <f>A.Backend!G24</f>
        <v/>
      </c>
      <c r="G29" s="28" t="str">
        <f t="shared" si="3"/>
        <v/>
      </c>
      <c r="H29" s="35" t="str">
        <f t="shared" si="4"/>
        <v xml:space="preserve">			{headerName: this.l('Receive Date'),headerTooltip: this.l('Receive Date'),field: 'receiveDate',flex: 1},</v>
      </c>
      <c r="I29" s="35" t="str">
        <f t="shared" si="5"/>
        <v/>
      </c>
      <c r="J29" s="28"/>
      <c r="K29" s="35" t="str">
        <f t="shared" si="6"/>
        <v/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receiveDate</v>
      </c>
      <c r="T29" s="28" t="str">
        <f t="shared" si="14"/>
        <v xml:space="preserve">			this.receiveDate,</v>
      </c>
      <c r="U29" s="28" t="str">
        <f t="shared" si="15"/>
        <v xml:space="preserve">		this.receiveDate = '',</v>
      </c>
      <c r="V29" s="28" t="str">
        <f t="shared" si="8"/>
        <v/>
      </c>
    </row>
    <row r="30" spans="1:22" ht="15" customHeight="1" x14ac:dyDescent="0.25">
      <c r="A30" t="s">
        <v>388</v>
      </c>
      <c r="B30" s="28" t="str">
        <f t="shared" si="24"/>
        <v>RequestId</v>
      </c>
      <c r="C30" s="28" t="str">
        <f t="shared" si="25"/>
        <v>Request Id</v>
      </c>
      <c r="D30" s="28" t="str">
        <f t="shared" si="26"/>
        <v>requestId</v>
      </c>
      <c r="E30" s="28" t="str">
        <f>A.Backend!H25</f>
        <v>string</v>
      </c>
      <c r="F30" s="28" t="str">
        <f>A.Backend!G25</f>
        <v>10</v>
      </c>
      <c r="G30" s="28" t="str">
        <f t="shared" si="3"/>
        <v xml:space="preserve"> : string = '' ; </v>
      </c>
      <c r="H30" s="35" t="str">
        <f t="shared" si="4"/>
        <v xml:space="preserve">			{headerName: this.l('Request Id'),headerTooltip: this.l('Request Id'),field: 'requestId',flex: 1},</v>
      </c>
      <c r="I30" s="35" t="str">
        <f t="shared" si="5"/>
        <v xml:space="preserve">								&lt;div class='input-search'&gt;
									&lt;input [(ngModel)]='requestId' name='requestId'
									class='form-control' [placeholder]="l('Request Id')"
									type='text' (keyup.enter)='searchDatas()'&gt;
								&lt;/div&gt;</v>
      </c>
      <c r="J30" s="28"/>
      <c r="K30" s="35" t="str">
        <f t="shared" si="6"/>
        <v xml:space="preserve">					&lt;div class='col-md-12 form-group row'&gt;
						&lt;label class='col-md-2 form-control title'&gt;Request Id&lt;/label&gt;
						&lt;input type='text' class='col-md-10 form-control input-text' name='RequestId' [(ngModel)]='rowdata.requestId'&gt;
					&lt;/div&gt;</v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requestId : string = '' ; </v>
      </c>
      <c r="T30" s="28" t="str">
        <f t="shared" si="14"/>
        <v xml:space="preserve">			this.requestId,</v>
      </c>
      <c r="U30" s="28" t="str">
        <f t="shared" si="15"/>
        <v xml:space="preserve">		this.requestId = '',</v>
      </c>
      <c r="V30" s="28" t="str">
        <f t="shared" si="8"/>
        <v/>
      </c>
    </row>
    <row r="31" spans="1:22" ht="15" customHeight="1" x14ac:dyDescent="0.25">
      <c r="A31" t="s">
        <v>390</v>
      </c>
      <c r="B31" s="28" t="str">
        <f t="shared" ref="B31" si="28">SUBSTITUTE(PROPER(A31),"_","")</f>
        <v>RequestLotNo</v>
      </c>
      <c r="C31" s="28" t="str">
        <f t="shared" ref="C31" si="29">SUBSTITUTE(PROPER(A31),"_"," ")</f>
        <v>Request Lot No</v>
      </c>
      <c r="D31" s="28" t="str">
        <f t="shared" ref="D31" si="30">LOWER(LEFT(B31,1))&amp;RIGHT(B31,LEN(B31) - 1)</f>
        <v>requestLotNo</v>
      </c>
      <c r="E31" s="28" t="str">
        <f>A.Backend!H26</f>
        <v>string</v>
      </c>
      <c r="F31" s="28" t="str">
        <f>A.Backend!G26</f>
        <v>500</v>
      </c>
      <c r="G31" s="28" t="str">
        <f t="shared" si="3"/>
        <v xml:space="preserve"> : string = '' ; </v>
      </c>
      <c r="H31" s="35" t="str">
        <f t="shared" si="4"/>
        <v xml:space="preserve">			{headerName: this.l('Request Lot No'),headerTooltip: this.l('Request Lot No'),field: 'requestLotNo',flex: 1},</v>
      </c>
      <c r="I31" s="35" t="str">
        <f t="shared" si="5"/>
        <v xml:space="preserve">								&lt;div class='input-search'&gt;
									&lt;input [(ngModel)]='requestLotNo' name='requestLotNo'
									class='form-control' [placeholder]="l('Request Lot No')"
									type='text' (keyup.enter)='searchDatas()'&gt;
								&lt;/div&gt;</v>
      </c>
      <c r="J31" s="28"/>
      <c r="K31" s="35" t="str">
        <f t="shared" si="6"/>
        <v xml:space="preserve">					&lt;div class='col-md-12 form-group row'&gt;
						&lt;label class='col-md-2 form-control title'&gt;Request Lot No&lt;/label&gt;
						&lt;input type='text' class='col-md-10 form-control input-text' name='RequestLotNo' [(ngModel)]='rowdata.requestLotNo'&gt;
					&lt;/div&gt;</v>
      </c>
      <c r="L31" s="56" t="str">
        <f t="shared" ref="L31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requestLotNo : string = '' ; </v>
      </c>
      <c r="T31" s="28" t="str">
        <f t="shared" si="14"/>
        <v xml:space="preserve">			this.requestLotNo,</v>
      </c>
      <c r="U31" s="28" t="str">
        <f t="shared" si="15"/>
        <v xml:space="preserve">		this.requestLotNo = '',</v>
      </c>
      <c r="V31" s="28" t="str">
        <f t="shared" si="8"/>
        <v/>
      </c>
    </row>
    <row r="32" spans="1:22" ht="18" customHeight="1" x14ac:dyDescent="0.25">
      <c r="A32" t="s">
        <v>391</v>
      </c>
      <c r="B32" s="28" t="str">
        <f t="shared" si="0"/>
        <v>InvoiceNo</v>
      </c>
      <c r="C32" s="28" t="str">
        <f t="shared" si="1"/>
        <v>Invoice No</v>
      </c>
      <c r="D32" s="28" t="str">
        <f t="shared" si="2"/>
        <v>invoiceNo</v>
      </c>
      <c r="E32" s="28" t="str">
        <f>A.Backend!H27</f>
        <v>string</v>
      </c>
      <c r="F32" s="28" t="str">
        <f>A.Backend!G27</f>
        <v>1000</v>
      </c>
      <c r="G32" s="28" t="str">
        <f t="shared" si="3"/>
        <v xml:space="preserve"> : string = '' ; </v>
      </c>
      <c r="H32" s="35" t="str">
        <f t="shared" si="4"/>
        <v xml:space="preserve">			{headerName: this.l('Invoice No'),headerTooltip: this.l('Invoice No'),field: 'invoiceNo',flex: 1},</v>
      </c>
      <c r="I32" s="35" t="str">
        <f t="shared" si="5"/>
        <v xml:space="preserve">								&lt;div class='input-search'&gt;
									&lt;input [(ngModel)]='invoiceNo' name='invoiceNo'
									class='form-control' [placeholder]="l('Invoice No')"
									type='text' (keyup.enter)='searchDatas()'&gt;
								&lt;/div&gt;</v>
      </c>
      <c r="J32" s="28"/>
      <c r="K32" s="35" t="str">
        <f t="shared" si="6"/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</v>
      </c>
      <c r="L32" s="56" t="str">
        <f t="shared" si="7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invoiceNo : string = '' ; </v>
      </c>
      <c r="T32" s="28" t="str">
        <f t="shared" si="14"/>
        <v xml:space="preserve">			this.invoiceNo,</v>
      </c>
      <c r="U32" s="28" t="str">
        <f t="shared" si="15"/>
        <v xml:space="preserve">		this.invoiceNo = '',</v>
      </c>
      <c r="V32" s="28" t="str">
        <f t="shared" si="8"/>
        <v/>
      </c>
    </row>
    <row r="33" spans="1:22" ht="15" customHeight="1" x14ac:dyDescent="0.25">
      <c r="A33" t="s">
        <v>395</v>
      </c>
      <c r="B33" s="28" t="str">
        <f t="shared" ref="B33:B34" si="32">SUBSTITUTE(PROPER(A33),"_","")</f>
        <v>ListLotNo</v>
      </c>
      <c r="C33" s="28" t="str">
        <f t="shared" ref="C33:C34" si="33">SUBSTITUTE(PROPER(A33),"_"," ")</f>
        <v>List Lot No</v>
      </c>
      <c r="D33" s="28" t="str">
        <f t="shared" ref="D33:D34" si="34">LOWER(LEFT(B33,1))&amp;RIGHT(B33,LEN(B33) - 1)</f>
        <v>listLotNo</v>
      </c>
      <c r="E33" s="28" t="str">
        <f>A.Backend!H28</f>
        <v>string</v>
      </c>
      <c r="F33" s="28" t="str">
        <f>A.Backend!G28</f>
        <v>1000</v>
      </c>
      <c r="G33" s="28" t="str">
        <f t="shared" si="3"/>
        <v xml:space="preserve"> : string = '' ; </v>
      </c>
      <c r="H33" s="35" t="str">
        <f t="shared" si="4"/>
        <v xml:space="preserve">			{headerName: this.l('List Lot No'),headerTooltip: this.l('List Lot No'),field: 'listLotNo',flex: 1},</v>
      </c>
      <c r="I33" s="35" t="str">
        <f t="shared" si="5"/>
        <v xml:space="preserve">								&lt;div class='input-search'&gt;
									&lt;input [(ngModel)]='listLotNo' name='listLotNo'
									class='form-control' [placeholder]="l('List Lot No')"
									type='text' (keyup.enter)='searchDatas()'&gt;
								&lt;/div&gt;</v>
      </c>
      <c r="J33" s="28"/>
      <c r="K33" s="35" t="str">
        <f t="shared" si="6"/>
        <v xml:space="preserve">					&lt;div class='col-md-12 form-group row'&gt;
						&lt;label class='col-md-2 form-control title'&gt;List Lot No&lt;/label&gt;
						&lt;input type='text' class='col-md-10 form-control input-text' name='ListLotNo' [(ngModel)]='rowdata.listLotNo'&gt;
					&lt;/div&gt;</v>
      </c>
      <c r="L33" s="56" t="str">
        <f t="shared" ref="L33:L34" si="35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listLotNo : string = '' ; </v>
      </c>
      <c r="T33" s="28" t="str">
        <f t="shared" si="14"/>
        <v xml:space="preserve">			this.listLotNo,</v>
      </c>
      <c r="U33" s="28" t="str">
        <f t="shared" si="15"/>
        <v xml:space="preserve">		this.listLotNo = '',</v>
      </c>
      <c r="V33" s="28" t="str">
        <f t="shared" si="8"/>
        <v/>
      </c>
    </row>
    <row r="34" spans="1:22" ht="18" customHeight="1" x14ac:dyDescent="0.25">
      <c r="A34" t="s">
        <v>392</v>
      </c>
      <c r="B34" s="28" t="str">
        <f t="shared" si="32"/>
        <v>ListCaseNo</v>
      </c>
      <c r="C34" s="28" t="str">
        <f t="shared" si="33"/>
        <v>List Case No</v>
      </c>
      <c r="D34" s="28" t="str">
        <f t="shared" si="34"/>
        <v>listCaseNo</v>
      </c>
      <c r="E34" s="28" t="str">
        <f>A.Backend!H29</f>
        <v>string</v>
      </c>
      <c r="F34" s="28" t="str">
        <f>A.Backend!G29</f>
        <v>10</v>
      </c>
      <c r="G34" s="28" t="str">
        <f t="shared" si="3"/>
        <v xml:space="preserve"> : string = '' ; </v>
      </c>
      <c r="H34" s="35" t="str">
        <f t="shared" si="4"/>
        <v xml:space="preserve">			{headerName: this.l('List Case No'),headerTooltip: this.l('List Case No'),field: 'listCaseNo',flex: 1},</v>
      </c>
      <c r="I34" s="35" t="str">
        <f t="shared" si="5"/>
        <v xml:space="preserve">								&lt;div class='input-search'&gt;
									&lt;input [(ngModel)]='listCaseNo' name='listCaseNo'
									class='form-control' [placeholder]="l('List Case No')"
									type='text' (keyup.enter)='searchDatas()'&gt;
								&lt;/div&gt;</v>
      </c>
      <c r="J34" s="28"/>
      <c r="K34" s="35" t="str">
        <f t="shared" si="6"/>
        <v xml:space="preserve">					&lt;div class='col-md-12 form-group row'&gt;
						&lt;label class='col-md-2 form-control title'&gt;List Case No&lt;/label&gt;
						&lt;input type='text' class='col-md-10 form-control input-text' name='ListCaseNo' [(ngModel)]='rowdata.listCaseNo'&gt;
					&lt;/div&gt;</v>
      </c>
      <c r="L34" s="56" t="str">
        <f t="shared" si="35"/>
        <v/>
      </c>
      <c r="M34" s="28"/>
      <c r="N34" s="28"/>
      <c r="O34" s="28"/>
      <c r="P34" s="28"/>
      <c r="Q34" s="28"/>
      <c r="R34" s="28"/>
      <c r="S34" s="28" t="str">
        <f t="shared" si="13"/>
        <v xml:space="preserve">	listCaseNo : string = '' ; </v>
      </c>
      <c r="T34" s="28" t="str">
        <f t="shared" si="14"/>
        <v xml:space="preserve">			this.listCaseNo,</v>
      </c>
      <c r="U34" s="28" t="str">
        <f t="shared" si="15"/>
        <v xml:space="preserve">		this.listCaseNo = '',</v>
      </c>
      <c r="V34" s="28" t="str">
        <f t="shared" si="8"/>
        <v/>
      </c>
    </row>
    <row r="35" spans="1:22" ht="18" customHeight="1" x14ac:dyDescent="0.25">
      <c r="A35" t="s">
        <v>389</v>
      </c>
      <c r="B35" s="28" t="str">
        <f>SUBSTITUTE(PROPER(A35),"_","")</f>
        <v>Transport</v>
      </c>
      <c r="C35" s="28" t="str">
        <f>SUBSTITUTE(PROPER(A35),"_"," ")</f>
        <v>Transport</v>
      </c>
      <c r="D35" s="28" t="str">
        <f>LOWER(LEFT(B35,1))&amp;RIGHT(B35,LEN(B35) - 1)</f>
        <v>transport</v>
      </c>
      <c r="E35" s="28" t="str">
        <f>A.Backend!H30</f>
        <v>string</v>
      </c>
      <c r="F35" s="28" t="str">
        <f>A.Backend!G30</f>
        <v>10</v>
      </c>
      <c r="G35" s="28" t="str">
        <f t="shared" si="3"/>
        <v xml:space="preserve"> : string = '' ; </v>
      </c>
      <c r="H35" s="35" t="str">
        <f t="shared" si="4"/>
        <v xml:space="preserve">			{headerName: this.l('Transport'),headerTooltip: this.l('Transport'),field: 'transport',flex: 1},</v>
      </c>
      <c r="I35" s="35" t="str">
        <f t="shared" si="5"/>
        <v xml:space="preserve">								&lt;div class='input-search'&gt;
									&lt;input [(ngModel)]='transport' name='transport'
									class='form-control' [placeholder]="l('Transport')"
									type='text' (keyup.enter)='searchDatas()'&gt;
								&lt;/div&gt;</v>
      </c>
      <c r="J35" s="28"/>
      <c r="K35" s="35" t="str">
        <f t="shared" si="6"/>
        <v xml:space="preserve">					&lt;div class='col-md-12 form-group row'&gt;
						&lt;label class='col-md-2 form-control title'&gt;Transport&lt;/label&gt;
						&lt;input type='text' class='col-md-10 form-control input-text' name='Transport' [(ngModel)]='rowdata.transport'&gt;
					&lt;/div&gt;</v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13"/>
        <v xml:space="preserve">	transport : string = '' ; </v>
      </c>
      <c r="T35" s="28" t="str">
        <f t="shared" si="14"/>
        <v xml:space="preserve">			this.transport,</v>
      </c>
      <c r="U35" s="28" t="str">
        <f t="shared" si="15"/>
        <v xml:space="preserve">		this.transport = '',</v>
      </c>
      <c r="V35" s="28" t="str">
        <f t="shared" si="8"/>
        <v/>
      </c>
    </row>
    <row r="36" spans="1:22" ht="15" customHeight="1" x14ac:dyDescent="0.25">
      <c r="A36" t="s">
        <v>374</v>
      </c>
      <c r="B36" s="28" t="str">
        <f t="shared" ref="B36:B40" si="36">SUBSTITUTE(PROPER(A36),"_","")</f>
        <v>Shop</v>
      </c>
      <c r="C36" s="28" t="str">
        <f t="shared" ref="C36:C40" si="37">SUBSTITUTE(PROPER(A36),"_"," ")</f>
        <v>Shop</v>
      </c>
      <c r="D36" s="28" t="str">
        <f t="shared" ref="D36:D40" si="38">LOWER(LEFT(B36,1))&amp;RIGHT(B36,LEN(B36) - 1)</f>
        <v>shop</v>
      </c>
      <c r="E36" s="28" t="str">
        <f>A.Backend!H31</f>
        <v>string</v>
      </c>
      <c r="F36" s="28" t="str">
        <f>A.Backend!G31</f>
        <v>10</v>
      </c>
      <c r="G36" s="28" t="str">
        <f t="shared" si="3"/>
        <v xml:space="preserve"> : string = '' ; </v>
      </c>
      <c r="H36" s="35" t="str">
        <f t="shared" si="4"/>
        <v xml:space="preserve">			{headerName: this.l('Shop'),headerTooltip: this.l('Shop'),field: 'shop',flex: 1},</v>
      </c>
      <c r="I36" s="35" t="str">
        <f t="shared" si="5"/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36" s="28"/>
      <c r="K36" s="35" t="str">
        <f t="shared" si="6"/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36" s="56" t="str">
        <f t="shared" ref="L36:L40" si="39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13"/>
        <v xml:space="preserve">	shop : string = '' ; </v>
      </c>
      <c r="T36" s="28" t="str">
        <f t="shared" si="14"/>
        <v xml:space="preserve">			this.shop,</v>
      </c>
      <c r="U36" s="28" t="str">
        <f t="shared" si="15"/>
        <v xml:space="preserve">		this.shop = '',</v>
      </c>
      <c r="V36" s="28" t="str">
        <f t="shared" si="8"/>
        <v/>
      </c>
    </row>
    <row r="37" spans="1:22" ht="18" customHeight="1" x14ac:dyDescent="0.25">
      <c r="A37" t="s">
        <v>393</v>
      </c>
      <c r="B37" s="28" t="str">
        <f t="shared" si="36"/>
        <v>Dock</v>
      </c>
      <c r="C37" s="28" t="str">
        <f t="shared" si="37"/>
        <v>Dock</v>
      </c>
      <c r="D37" s="28" t="str">
        <f t="shared" si="38"/>
        <v>dock</v>
      </c>
      <c r="E37" s="28" t="str">
        <f>A.Backend!H32</f>
        <v>DateTime?</v>
      </c>
      <c r="F37" s="28" t="str">
        <f>A.Backend!G32</f>
        <v/>
      </c>
      <c r="G37" s="28" t="str">
        <f t="shared" si="3"/>
        <v/>
      </c>
      <c r="H37" s="35" t="str">
        <f t="shared" si="4"/>
        <v xml:space="preserve">			{headerName: this.l('Dock'),headerTooltip: this.l('Dock'),field: 'dock',flex: 1},</v>
      </c>
      <c r="I37" s="35" t="str">
        <f t="shared" si="5"/>
        <v/>
      </c>
      <c r="J37" s="28"/>
      <c r="K37" s="35" t="str">
        <f t="shared" si="6"/>
        <v/>
      </c>
      <c r="L37" s="56" t="str">
        <f t="shared" si="39"/>
        <v/>
      </c>
      <c r="M37" s="28"/>
      <c r="N37" s="28"/>
      <c r="O37" s="28"/>
      <c r="P37" s="28"/>
      <c r="Q37" s="28"/>
      <c r="R37" s="28"/>
      <c r="S37" s="28" t="str">
        <f t="shared" si="13"/>
        <v xml:space="preserve">	dock</v>
      </c>
      <c r="T37" s="28" t="str">
        <f t="shared" si="14"/>
        <v xml:space="preserve">			this.dock,</v>
      </c>
      <c r="U37" s="28" t="str">
        <f t="shared" si="15"/>
        <v xml:space="preserve">		this.dock = '',</v>
      </c>
      <c r="V37" s="28" t="str">
        <f t="shared" si="8"/>
        <v/>
      </c>
    </row>
    <row r="38" spans="1:22" ht="15" customHeight="1" x14ac:dyDescent="0.25">
      <c r="A38" t="s">
        <v>400</v>
      </c>
      <c r="B38" s="28" t="str">
        <f t="shared" ref="B38" si="40">SUBSTITUTE(PROPER(A38),"_","")</f>
        <v>DevanningDate</v>
      </c>
      <c r="C38" s="28" t="str">
        <f t="shared" ref="C38" si="41">SUBSTITUTE(PROPER(A38),"_"," ")</f>
        <v>Devanning Date</v>
      </c>
      <c r="D38" s="28" t="str">
        <f t="shared" ref="D38" si="42">LOWER(LEFT(B38,1))&amp;RIGHT(B38,LEN(B38) - 1)</f>
        <v>devanningDate</v>
      </c>
      <c r="E38" s="28" t="str">
        <f>A.Backend!H32</f>
        <v>DateTime?</v>
      </c>
      <c r="F38" s="28" t="str">
        <f>A.Backend!G32</f>
        <v/>
      </c>
      <c r="G38" s="28" t="str">
        <f t="shared" ref="G38" si="43">IF(E38="string"," : string = '' ; ",IF(OR(E38="DateTime",E38="TimeSpan")," : any ;",IF(E38="int"," : number = 0 ;","")))</f>
        <v/>
      </c>
      <c r="H38" s="35" t="str">
        <f t="shared" ref="H38" si="44">IF(E38="DateTime",
REPT(CHAR(9),3)&amp;"{headerName: this.l('"&amp;C38&amp;"'),headerTooltip: this.l('"&amp;C38&amp;"'),field: '"&amp;D38&amp;"',valueGetter: (params) =&gt; this.pipe.transform(params.data?."&amp;D38&amp;", 'dd/MM/yyyy'),flex: 1},",
IF(AND(E38="string",F38="1"),
REPT(CHAR(9),3)&amp;"{headerName: this.l('"&amp;C38&amp;"'),headerTooltip: this.l('"&amp;C38&amp;"'),field:  '"&amp;D38&amp;"', cellClass: ['text-center'], width: 120, cellRenderer: 'agCellButtonComponent',
buttonDefTwo: { text: params =&gt; (params.data?.'"&amp;D38&amp;"' == 'Y') ? 'Active' : 'Inactive',iconName: 'fa fa-circle',className: params =&gt; (params.data?.'"&amp;D38&amp;"' == 'Y') ? 'btnActive' : 'btnInActive',},}",
REPT(CHAR(9),3)&amp;"{headerName: this.l('"&amp;C38&amp;"'),headerTooltip: this.l('"&amp;C38&amp;"'),field: '"&amp;D38&amp;"',flex: 1},"))</f>
        <v xml:space="preserve">			{headerName: this.l('Devanning Date'),headerTooltip: this.l('Devanning Date'),field: 'devanningDate',flex: 1},</v>
      </c>
      <c r="I38" s="35" t="str">
        <f t="shared" ref="I38" si="45">IF(E38="DateTime",
REPT(CHAR(9),8)&amp;"&lt;div class='input-search'&gt;
"&amp;REPT(CHAR(9),9)&amp;"&lt;input type='text' [placeholder]=""l('"&amp;C38&amp;"')"" [(ngModel)]='"&amp;D38&amp;"' 
"&amp;REPT(CHAR(9),9)&amp;"name='"&amp;D38&amp;"'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IF(E38="string",
REPT(CHAR(9),8)&amp;"&lt;div class='input-search'&gt;
"&amp;REPT(CHAR(9),9)&amp;"&lt;input [(ngModel)]='"&amp;D38&amp;"' name='"&amp;D38&amp;"'
"&amp;REPT(CHAR(9),9)&amp;"class='form-control' [placeholder]=""l('"&amp;C38&amp;"')""
"&amp;REPT(CHAR(9),9)&amp;"type='text' (keyup.enter)='searchDatas()'&gt;
"&amp;REPT(CHAR(9),8)&amp;"&lt;/div&gt;",""))</f>
        <v/>
      </c>
      <c r="J38" s="28"/>
      <c r="K38" s="35" t="str">
        <f t="shared" ref="K38" si="46">IF(OR(E38="DateTime",E38="TimeSpan"),
REPT(CHAR(9),5)&amp;"&lt;div class='col-md-12 form-group row'&gt;
"&amp;REPT(CHAR(9),6)&amp;"&lt;label class='col-md-2 form-control title'&gt;"&amp;C38&amp;"&lt;/label&gt;
"&amp;REPT(CHAR(9),6)&amp;"&lt;input type='text' class='col-md-10 form-control input-text' name='"&amp;D38&amp;"' 
"&amp;REPT(CHAR(9),6)&amp;"#datepicker='bsDatepicker' [(ngModel)]='rowdata."&amp;D38&amp;"'  bsDatepicker &gt;
"&amp;REPT(CHAR(9),5)&amp;"&lt;/div&gt;",
IF(AND(E38="string",F38="1"),
REPT(CHAR(9),5)&amp;"&lt;div class='col-md-12 form-group row'&gt;
"&amp;REPT(CHAR(9),6)&amp;"&lt;label class='col-md-2 form-control title'&gt;"&amp;C38&amp;"&lt;/label&gt;
"&amp;REPT(CHAR(9),6)&amp;"&lt;new-checkbox [(ngModel)]='_"&amp;D38&amp;"' name='"&amp;D38&amp;"' className='col-md-10' &gt; &lt;/new-checkbox&gt;
"&amp;REPT(CHAR(9),5)&amp;"&lt;/div&gt;",
IF(E38="string",
REPT(CHAR(9),5)&amp;"&lt;div class='col-md-12 form-group row'&gt;
"&amp;REPT(CHAR(9),6)&amp;"&lt;label class='col-md-2 form-control title'&gt;"&amp;C38&amp;"&lt;/label&gt;
"&amp;REPT(CHAR(9),6)&amp;"&lt;input type='text' class='col-md-10 form-control input-text' name='"&amp;B38&amp;"' [(ngModel)]='rowdata."&amp;D38&amp;"'&gt;
"&amp;REPT(CHAR(9),5)&amp;"&lt;/div&gt;",
IF(E38="int",
REPT(CHAR(9),5)&amp;"&lt;div class='col-md-12 form-group row'&gt;
"&amp;REPT(CHAR(9),6)&amp;"&lt;label class='col-md-2 form-control title'&gt;"&amp;C38&amp;"&lt;/label&gt;
"&amp;REPT(CHAR(9),6)&amp;"&lt;input type='number' class='col-md-10 form-control input-text' name='"&amp;B38&amp;"' [(ngModel)]='rowdata."&amp;D38&amp;"'&gt;
"&amp;REPT(CHAR(9),5)&amp;"&lt;/div&gt;",""))))</f>
        <v/>
      </c>
      <c r="L38" s="56" t="str">
        <f t="shared" ref="L38" si="47">IF(E38="DateTime",
REPT(CHAR(9),2)&amp;"const dateValue =  this.rowdata."&amp;D38&amp;" ? new Date(this.rowdata."&amp;D38&amp;"?.toString()) : new Date();
"&amp;REPT(CHAR(9),2)&amp;"this.datepicker?.bsValueChange.emit(dateValue);","")</f>
        <v/>
      </c>
      <c r="M38" s="28"/>
      <c r="N38" s="28"/>
      <c r="O38" s="28"/>
      <c r="P38" s="28"/>
      <c r="Q38" s="28"/>
      <c r="R38" s="28"/>
      <c r="S38" s="28" t="str">
        <f t="shared" ref="S38" si="48">REPT(CHAR(9),1)&amp;D38&amp;G38</f>
        <v xml:space="preserve">	devanningDate</v>
      </c>
      <c r="T38" s="28" t="str">
        <f t="shared" ref="T38" si="49">REPT(CHAR(9),3)&amp;"this."&amp;D38&amp;","</f>
        <v xml:space="preserve">			this.devanningDate,</v>
      </c>
      <c r="U38" s="28" t="str">
        <f t="shared" ref="U38" si="50">IF(E38="int",REPT(CHAR(9),2)&amp;"this."&amp;D38&amp;" = 0,",REPT(CHAR(9),2)&amp;"this."&amp;D38&amp;" = '',")</f>
        <v xml:space="preserve">		this.devanningDate = '',</v>
      </c>
      <c r="V38" s="28" t="str">
        <f t="shared" ref="V38" si="51">IF(AND(E38="string",F38="1"),D38,"")</f>
        <v/>
      </c>
    </row>
    <row r="39" spans="1:22" ht="15" customHeight="1" x14ac:dyDescent="0.25">
      <c r="A39" t="s">
        <v>401</v>
      </c>
      <c r="B39" s="28" t="str">
        <f t="shared" si="36"/>
        <v>DevanningTime</v>
      </c>
      <c r="C39" s="28" t="str">
        <f t="shared" si="37"/>
        <v>Devanning Time</v>
      </c>
      <c r="D39" s="28" t="str">
        <f t="shared" si="38"/>
        <v>devanningTime</v>
      </c>
      <c r="E39" s="28" t="str">
        <f>A.Backend!H33</f>
        <v>TimeSpan?</v>
      </c>
      <c r="F39" s="28" t="str">
        <f>A.Backend!G33</f>
        <v>7</v>
      </c>
      <c r="G39" s="28" t="str">
        <f t="shared" si="3"/>
        <v/>
      </c>
      <c r="H39" s="35" t="str">
        <f t="shared" si="4"/>
        <v xml:space="preserve">			{headerName: this.l('Devanning Time'),headerTooltip: this.l('Devanning Time'),field: 'devanningTime',flex: 1},</v>
      </c>
      <c r="I39" s="35" t="str">
        <f t="shared" si="5"/>
        <v/>
      </c>
      <c r="J39" s="28"/>
      <c r="K39" s="35" t="str">
        <f t="shared" si="6"/>
        <v/>
      </c>
      <c r="L39" s="56" t="str">
        <f t="shared" si="39"/>
        <v/>
      </c>
      <c r="M39" s="28"/>
      <c r="N39" s="28"/>
      <c r="O39" s="28"/>
      <c r="P39" s="28"/>
      <c r="Q39" s="28"/>
      <c r="R39" s="28"/>
      <c r="S39" s="28" t="str">
        <f t="shared" si="13"/>
        <v xml:space="preserve">	devanningTime</v>
      </c>
      <c r="T39" s="28" t="str">
        <f t="shared" si="14"/>
        <v xml:space="preserve">			this.devanningTime,</v>
      </c>
      <c r="U39" s="28" t="str">
        <f t="shared" si="15"/>
        <v xml:space="preserve">		this.devanningTime = '',</v>
      </c>
      <c r="V39" s="28" t="str">
        <f t="shared" si="8"/>
        <v/>
      </c>
    </row>
    <row r="40" spans="1:22" ht="18" customHeight="1" x14ac:dyDescent="0.25">
      <c r="A40" t="s">
        <v>399</v>
      </c>
      <c r="B40" s="28" t="str">
        <f t="shared" si="36"/>
        <v>Remark</v>
      </c>
      <c r="C40" s="28" t="str">
        <f t="shared" si="37"/>
        <v>Remark</v>
      </c>
      <c r="D40" s="28" t="str">
        <f t="shared" si="38"/>
        <v>remark</v>
      </c>
      <c r="E40" s="28" t="str">
        <f>A.Backend!H34</f>
        <v>string</v>
      </c>
      <c r="F40" s="28" t="str">
        <f>A.Backend!G34</f>
        <v>1000</v>
      </c>
      <c r="G40" s="28" t="str">
        <f t="shared" si="3"/>
        <v xml:space="preserve"> : string = '' ; </v>
      </c>
      <c r="H40" s="35" t="str">
        <f t="shared" si="4"/>
        <v xml:space="preserve">			{headerName: this.l('Remark'),headerTooltip: this.l('Remark'),field: 'remark',flex: 1},</v>
      </c>
      <c r="I40" s="35" t="str">
        <f t="shared" si="5"/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40" s="28"/>
      <c r="K40" s="35" t="str">
        <f t="shared" si="6"/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40" s="56" t="str">
        <f t="shared" si="39"/>
        <v/>
      </c>
      <c r="M40" s="28"/>
      <c r="N40" s="28"/>
      <c r="O40" s="28"/>
      <c r="P40" s="28"/>
      <c r="Q40" s="28"/>
      <c r="R40" s="28"/>
      <c r="S40" s="28" t="str">
        <f t="shared" si="13"/>
        <v xml:space="preserve">	remark : string = '' ; </v>
      </c>
      <c r="T40" s="28" t="str">
        <f t="shared" si="14"/>
        <v xml:space="preserve">			this.remark,</v>
      </c>
      <c r="U40" s="28" t="str">
        <f t="shared" si="15"/>
        <v xml:space="preserve">		this.remark = '',</v>
      </c>
      <c r="V40" s="28" t="str">
        <f t="shared" si="8"/>
        <v/>
      </c>
    </row>
    <row r="41" spans="1:22" ht="18" customHeight="1" x14ac:dyDescent="0.25">
      <c r="A41" t="s">
        <v>394</v>
      </c>
      <c r="B41" s="28" t="str">
        <f>SUBSTITUTE(PROPER(A41),"_","")</f>
        <v>WhLocation</v>
      </c>
      <c r="C41" s="28" t="str">
        <f>SUBSTITUTE(PROPER(A41),"_"," ")</f>
        <v>Wh Location</v>
      </c>
      <c r="D41" s="28" t="str">
        <f>LOWER(LEFT(B41,1))&amp;RIGHT(B41,LEN(B41) - 1)</f>
        <v>whLocation</v>
      </c>
      <c r="E41" s="28" t="str">
        <f>A.Backend!H35</f>
        <v>string</v>
      </c>
      <c r="F41" s="28" t="str">
        <f>A.Backend!G35</f>
        <v>10</v>
      </c>
      <c r="G41" s="28" t="str">
        <f t="shared" si="3"/>
        <v xml:space="preserve"> : string = '' ; </v>
      </c>
      <c r="H41" s="35" t="str">
        <f t="shared" si="4"/>
        <v xml:space="preserve">			{headerName: this.l('Wh Location'),headerTooltip: this.l('Wh Location'),field: 'whLocation',flex: 1},</v>
      </c>
      <c r="I41" s="35" t="str">
        <f t="shared" si="5"/>
        <v xml:space="preserve">								&lt;div class='input-search'&gt;
									&lt;input [(ngModel)]='whLocation' name='whLocation'
									class='form-control' [placeholder]="l('Wh Location')"
									type='text' (keyup.enter)='searchDatas()'&gt;
								&lt;/div&gt;</v>
      </c>
      <c r="J41" s="28"/>
      <c r="K41" s="35" t="str">
        <f t="shared" si="6"/>
        <v xml:space="preserve">					&lt;div class='col-md-12 form-group row'&gt;
						&lt;label class='col-md-2 form-control title'&gt;Wh Location&lt;/label&gt;
						&lt;input type='text' class='col-md-10 form-control input-text' name='WhLocation' [(ngModel)]='rowdata.whLocation'&gt;
					&lt;/div&gt;</v>
      </c>
      <c r="L41" s="56" t="str">
        <f>IF(E41="DateTime",
REPT(CHAR(9),2)&amp;"const dateValue =  this.rowdata."&amp;D41&amp;" ? new Date(this.rowdata."&amp;D41&amp;"?.toString()) : new Date();
"&amp;REPT(CHAR(9),2)&amp;"this.datepicker?.bsValueChange.emit(dateValue);","")</f>
        <v/>
      </c>
      <c r="M41" s="28"/>
      <c r="N41" s="28"/>
      <c r="O41" s="28"/>
      <c r="P41" s="28"/>
      <c r="Q41" s="28"/>
      <c r="R41" s="28"/>
      <c r="S41" s="28" t="str">
        <f t="shared" si="13"/>
        <v xml:space="preserve">	whLocation : string = '' ; </v>
      </c>
      <c r="T41" s="28" t="str">
        <f t="shared" si="14"/>
        <v xml:space="preserve">			this.whLocation,</v>
      </c>
      <c r="U41" s="28" t="str">
        <f t="shared" si="15"/>
        <v xml:space="preserve">		this.whLocation = '',</v>
      </c>
      <c r="V41" s="28" t="str">
        <f t="shared" si="8"/>
        <v/>
      </c>
    </row>
    <row r="42" spans="1:22" ht="15" customHeight="1" x14ac:dyDescent="0.25">
      <c r="A42" t="s">
        <v>398</v>
      </c>
      <c r="B42" s="28" t="str">
        <f t="shared" ref="B42:B58" si="52">SUBSTITUTE(PROPER(A42),"_","")</f>
        <v>GateinDate</v>
      </c>
      <c r="C42" s="28" t="str">
        <f t="shared" ref="C42:C58" si="53">SUBSTITUTE(PROPER(A42),"_"," ")</f>
        <v>Gatein Date</v>
      </c>
      <c r="D42" s="28" t="str">
        <f t="shared" ref="D42:D58" si="54">LOWER(LEFT(B42,1))&amp;RIGHT(B42,LEN(B42) - 1)</f>
        <v>gateinDate</v>
      </c>
      <c r="E42" s="28" t="str">
        <f>A.Backend!H36</f>
        <v>DateTime?</v>
      </c>
      <c r="F42" s="28" t="str">
        <f>A.Backend!G36</f>
        <v/>
      </c>
      <c r="G42" s="28" t="str">
        <f t="shared" si="3"/>
        <v/>
      </c>
      <c r="H42" s="35" t="str">
        <f t="shared" si="4"/>
        <v xml:space="preserve">			{headerName: this.l('Gatein Date'),headerTooltip: this.l('Gatein Date'),field: 'gateinDate',flex: 1},</v>
      </c>
      <c r="I42" s="35" t="str">
        <f t="shared" si="5"/>
        <v/>
      </c>
      <c r="J42" s="28"/>
      <c r="K42" s="35" t="str">
        <f t="shared" si="6"/>
        <v/>
      </c>
      <c r="L42" s="56" t="str">
        <f t="shared" ref="L42:L58" si="55">IF(E42="DateTime",
REPT(CHAR(9),2)&amp;"const dateValue =  this.rowdata."&amp;D42&amp;" ? new Date(this.rowdata."&amp;D42&amp;"?.toString()) : new Date();
"&amp;REPT(CHAR(9),2)&amp;"this.datepicker?.bsValueChange.emit(dateValue);","")</f>
        <v/>
      </c>
      <c r="M42" s="28"/>
      <c r="N42" s="28"/>
      <c r="O42" s="28"/>
      <c r="P42" s="28"/>
      <c r="Q42" s="28"/>
      <c r="R42" s="28"/>
      <c r="S42" s="28" t="str">
        <f t="shared" si="13"/>
        <v xml:space="preserve">	gateinDate</v>
      </c>
      <c r="T42" s="28" t="str">
        <f t="shared" si="14"/>
        <v xml:space="preserve">			this.gateinDate,</v>
      </c>
      <c r="U42" s="28" t="str">
        <f t="shared" si="15"/>
        <v xml:space="preserve">		this.gateinDate = '',</v>
      </c>
      <c r="V42" s="28" t="str">
        <f t="shared" si="8"/>
        <v/>
      </c>
    </row>
    <row r="43" spans="1:22" ht="15" customHeight="1" x14ac:dyDescent="0.25">
      <c r="A43" t="s">
        <v>408</v>
      </c>
      <c r="B43" s="28" t="str">
        <f t="shared" si="52"/>
        <v>GateinTime</v>
      </c>
      <c r="C43" s="28" t="str">
        <f t="shared" si="53"/>
        <v>Gatein Time</v>
      </c>
      <c r="D43" s="28" t="str">
        <f t="shared" si="54"/>
        <v>gateinTime</v>
      </c>
      <c r="E43" s="28" t="str">
        <f>A.Backend!H37</f>
        <v>TimeSpan?</v>
      </c>
      <c r="F43" s="28" t="str">
        <f>A.Backend!G37</f>
        <v>7</v>
      </c>
      <c r="G43" s="28" t="str">
        <f t="shared" ref="G43:G56" si="56">IF(E43="string"," : string = '' ; ",IF(OR(E43="DateTime",E43="TimeSpan")," : any ;",IF(E43="int"," : number = 0 ;","")))</f>
        <v/>
      </c>
      <c r="H43" s="35" t="str">
        <f t="shared" ref="H43:H56" si="57">IF(E43="DateTime",
REPT(CHAR(9),3)&amp;"{headerName: this.l('"&amp;C43&amp;"'),headerTooltip: this.l('"&amp;C43&amp;"'),field: '"&amp;D43&amp;"',valueGetter: (params) =&gt; this.pipe.transform(params.data?."&amp;D43&amp;", 'dd/MM/yyyy'),flex: 1},",
IF(AND(E43="string",F43="1"),
REPT(CHAR(9),3)&amp;"{headerName: this.l('"&amp;C43&amp;"'),headerTooltip: this.l('"&amp;C43&amp;"'),field:  '"&amp;D43&amp;"', cellClass: ['text-center'], width: 120, cellRenderer: 'agCellButtonComponent',
buttonDefTwo: { text: params =&gt; (params.data?.'"&amp;D43&amp;"' == 'Y') ? 'Active' : 'Inactive',iconName: 'fa fa-circle',className: params =&gt; (params.data?.'"&amp;D43&amp;"' == 'Y') ? 'btnActive' : 'btnInActive',},}",
REPT(CHAR(9),3)&amp;"{headerName: this.l('"&amp;C43&amp;"'),headerTooltip: this.l('"&amp;C43&amp;"'),field: '"&amp;D43&amp;"',flex: 1},"))</f>
        <v xml:space="preserve">			{headerName: this.l('Gatein Time'),headerTooltip: this.l('Gatein Time'),field: 'gateinTime',flex: 1},</v>
      </c>
      <c r="I43" s="35" t="str">
        <f t="shared" ref="I43:I56" si="58">IF(E43="DateTime",
REPT(CHAR(9),8)&amp;"&lt;div class='input-search'&gt;
"&amp;REPT(CHAR(9),9)&amp;"&lt;input type='text' [placeholder]=""l('"&amp;C43&amp;"')"" [(ngModel)]='"&amp;D43&amp;"' 
"&amp;REPT(CHAR(9),9)&amp;"name='"&amp;D43&amp;"'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IF(E43="string",
REPT(CHAR(9),8)&amp;"&lt;div class='input-search'&gt;
"&amp;REPT(CHAR(9),9)&amp;"&lt;input [(ngModel)]='"&amp;D43&amp;"' name='"&amp;D43&amp;"'
"&amp;REPT(CHAR(9),9)&amp;"class='form-control' [placeholder]=""l('"&amp;C43&amp;"')""
"&amp;REPT(CHAR(9),9)&amp;"type='text' (keyup.enter)='searchDatas()'&gt;
"&amp;REPT(CHAR(9),8)&amp;"&lt;/div&gt;",""))</f>
        <v/>
      </c>
      <c r="J43" s="28"/>
      <c r="K43" s="35" t="str">
        <f t="shared" ref="K43:K56" si="59">IF(OR(E43="DateTime",E43="TimeSpan"),
REPT(CHAR(9),5)&amp;"&lt;div class='col-md-12 form-group row'&gt;
"&amp;REPT(CHAR(9),6)&amp;"&lt;label class='col-md-2 form-control title'&gt;"&amp;C43&amp;"&lt;/label&gt;
"&amp;REPT(CHAR(9),6)&amp;"&lt;input type='text' class='col-md-10 form-control input-text' name='"&amp;D43&amp;"' 
"&amp;REPT(CHAR(9),6)&amp;"#datepicker='bsDatepicker' [(ngModel)]='rowdata."&amp;D43&amp;"'  bsDatepicker &gt;
"&amp;REPT(CHAR(9),5)&amp;"&lt;/div&gt;",
IF(AND(E43="string",F43="1"),
REPT(CHAR(9),5)&amp;"&lt;div class='col-md-12 form-group row'&gt;
"&amp;REPT(CHAR(9),6)&amp;"&lt;label class='col-md-2 form-control title'&gt;"&amp;C43&amp;"&lt;/label&gt;
"&amp;REPT(CHAR(9),6)&amp;"&lt;new-checkbox [(ngModel)]='_"&amp;D43&amp;"' name='"&amp;D43&amp;"' className='col-md-10' &gt; &lt;/new-checkbox&gt;
"&amp;REPT(CHAR(9),5)&amp;"&lt;/div&gt;",
IF(E43="string",
REPT(CHAR(9),5)&amp;"&lt;div class='col-md-12 form-group row'&gt;
"&amp;REPT(CHAR(9),6)&amp;"&lt;label class='col-md-2 form-control title'&gt;"&amp;C43&amp;"&lt;/label&gt;
"&amp;REPT(CHAR(9),6)&amp;"&lt;input type='text' class='col-md-10 form-control input-text' name='"&amp;B43&amp;"' [(ngModel)]='rowdata."&amp;D43&amp;"'&gt;
"&amp;REPT(CHAR(9),5)&amp;"&lt;/div&gt;",
IF(E43="int",
REPT(CHAR(9),5)&amp;"&lt;div class='col-md-12 form-group row'&gt;
"&amp;REPT(CHAR(9),6)&amp;"&lt;label class='col-md-2 form-control title'&gt;"&amp;C43&amp;"&lt;/label&gt;
"&amp;REPT(CHAR(9),6)&amp;"&lt;input type='number' class='col-md-10 form-control input-text' name='"&amp;B43&amp;"' [(ngModel)]='rowdata."&amp;D43&amp;"'&gt;
"&amp;REPT(CHAR(9),5)&amp;"&lt;/div&gt;",""))))</f>
        <v/>
      </c>
      <c r="L43" s="56" t="str">
        <f t="shared" si="55"/>
        <v/>
      </c>
      <c r="M43" s="28"/>
      <c r="N43" s="28"/>
      <c r="O43" s="28"/>
      <c r="P43" s="28"/>
      <c r="Q43" s="28"/>
      <c r="R43" s="28"/>
      <c r="S43" s="28" t="str">
        <f t="shared" ref="S43:S56" si="60">REPT(CHAR(9),1)&amp;D43&amp;G43</f>
        <v xml:space="preserve">	gateinTime</v>
      </c>
      <c r="T43" s="28" t="str">
        <f t="shared" ref="T43:T56" si="61">REPT(CHAR(9),3)&amp;"this."&amp;D43&amp;","</f>
        <v xml:space="preserve">			this.gateinTime,</v>
      </c>
      <c r="U43" s="28" t="str">
        <f t="shared" ref="U43:U56" si="62">IF(E43="int",REPT(CHAR(9),2)&amp;"this."&amp;D43&amp;" = 0,",REPT(CHAR(9),2)&amp;"this."&amp;D43&amp;" = '',")</f>
        <v xml:space="preserve">		this.gateinTime = '',</v>
      </c>
      <c r="V43" s="28" t="str">
        <f t="shared" ref="V43:V56" si="63">IF(AND(E43="string",F43="1"),D43,"")</f>
        <v/>
      </c>
    </row>
    <row r="44" spans="1:22" ht="18" customHeight="1" x14ac:dyDescent="0.25">
      <c r="A44" t="s">
        <v>407</v>
      </c>
      <c r="B44" s="28" t="str">
        <f t="shared" si="52"/>
        <v>TransitPortReqId</v>
      </c>
      <c r="C44" s="28" t="str">
        <f t="shared" si="53"/>
        <v>Transit Port Req Id</v>
      </c>
      <c r="D44" s="28" t="str">
        <f t="shared" si="54"/>
        <v>transitPortReqId</v>
      </c>
      <c r="E44" s="28" t="str">
        <f>A.Backend!H38</f>
        <v>long?</v>
      </c>
      <c r="F44" s="28" t="str">
        <f>A.Backend!G38</f>
        <v/>
      </c>
      <c r="G44" s="28" t="str">
        <f t="shared" si="56"/>
        <v/>
      </c>
      <c r="H44" s="35" t="str">
        <f t="shared" si="57"/>
        <v xml:space="preserve">			{headerName: this.l('Transit Port Req Id'),headerTooltip: this.l('Transit Port Req Id'),field: 'transitPortReqId',flex: 1},</v>
      </c>
      <c r="I44" s="35" t="str">
        <f t="shared" si="58"/>
        <v/>
      </c>
      <c r="J44" s="28"/>
      <c r="K44" s="35" t="str">
        <f t="shared" si="59"/>
        <v/>
      </c>
      <c r="L44" s="56" t="str">
        <f t="shared" si="55"/>
        <v/>
      </c>
      <c r="M44" s="28"/>
      <c r="N44" s="28"/>
      <c r="O44" s="28"/>
      <c r="P44" s="28"/>
      <c r="Q44" s="28"/>
      <c r="R44" s="28"/>
      <c r="S44" s="28" t="str">
        <f t="shared" si="60"/>
        <v xml:space="preserve">	transitPortReqId</v>
      </c>
      <c r="T44" s="28" t="str">
        <f t="shared" si="61"/>
        <v xml:space="preserve">			this.transitPortReqId,</v>
      </c>
      <c r="U44" s="28" t="str">
        <f t="shared" si="62"/>
        <v xml:space="preserve">		this.transitPortReqId = '',</v>
      </c>
      <c r="V44" s="28" t="str">
        <f t="shared" si="63"/>
        <v/>
      </c>
    </row>
    <row r="45" spans="1:22" ht="15" customHeight="1" x14ac:dyDescent="0.25">
      <c r="A45" t="s">
        <v>405</v>
      </c>
      <c r="B45" s="28" t="str">
        <f t="shared" si="52"/>
        <v>TransitPortReqDate</v>
      </c>
      <c r="C45" s="28" t="str">
        <f t="shared" si="53"/>
        <v>Transit Port Req Date</v>
      </c>
      <c r="D45" s="28" t="str">
        <f t="shared" si="54"/>
        <v>transitPortReqDate</v>
      </c>
      <c r="E45" s="28" t="str">
        <f>A.Backend!H39</f>
        <v>DateTime?</v>
      </c>
      <c r="F45" s="28" t="str">
        <f>A.Backend!G39</f>
        <v/>
      </c>
      <c r="G45" s="28" t="str">
        <f t="shared" si="56"/>
        <v/>
      </c>
      <c r="H45" s="35" t="str">
        <f t="shared" si="57"/>
        <v xml:space="preserve">			{headerName: this.l('Transit Port Req Date'),headerTooltip: this.l('Transit Port Req Date'),field: 'transitPortReqDate',flex: 1},</v>
      </c>
      <c r="I45" s="35" t="str">
        <f t="shared" si="58"/>
        <v/>
      </c>
      <c r="J45" s="28"/>
      <c r="K45" s="35" t="str">
        <f t="shared" si="59"/>
        <v/>
      </c>
      <c r="L45" s="56" t="str">
        <f t="shared" si="55"/>
        <v/>
      </c>
      <c r="M45" s="28"/>
      <c r="N45" s="28"/>
      <c r="O45" s="28"/>
      <c r="P45" s="28"/>
      <c r="Q45" s="28"/>
      <c r="R45" s="28"/>
      <c r="S45" s="28" t="str">
        <f t="shared" si="60"/>
        <v xml:space="preserve">	transitPortReqDate</v>
      </c>
      <c r="T45" s="28" t="str">
        <f t="shared" si="61"/>
        <v xml:space="preserve">			this.transitPortReqDate,</v>
      </c>
      <c r="U45" s="28" t="str">
        <f t="shared" si="62"/>
        <v xml:space="preserve">		this.transitPortReqDate = '',</v>
      </c>
      <c r="V45" s="28" t="str">
        <f t="shared" si="63"/>
        <v/>
      </c>
    </row>
    <row r="46" spans="1:22" ht="18" customHeight="1" x14ac:dyDescent="0.25">
      <c r="A46" t="s">
        <v>406</v>
      </c>
      <c r="B46" s="28" t="str">
        <f t="shared" si="52"/>
        <v>TransitPortReqTime</v>
      </c>
      <c r="C46" s="28" t="str">
        <f t="shared" si="53"/>
        <v>Transit Port Req Time</v>
      </c>
      <c r="D46" s="28" t="str">
        <f t="shared" si="54"/>
        <v>transitPortReqTime</v>
      </c>
      <c r="E46" s="28" t="str">
        <f>A.Backend!H40</f>
        <v>TimeSpan?</v>
      </c>
      <c r="F46" s="28" t="str">
        <f>A.Backend!G40</f>
        <v>7</v>
      </c>
      <c r="G46" s="28" t="str">
        <f t="shared" si="56"/>
        <v/>
      </c>
      <c r="H46" s="35" t="str">
        <f t="shared" si="57"/>
        <v xml:space="preserve">			{headerName: this.l('Transit Port Req Time'),headerTooltip: this.l('Transit Port Req Time'),field: 'transitPortReqTime',flex: 1},</v>
      </c>
      <c r="I46" s="35" t="str">
        <f t="shared" si="58"/>
        <v/>
      </c>
      <c r="J46" s="28"/>
      <c r="K46" s="35" t="str">
        <f t="shared" si="59"/>
        <v/>
      </c>
      <c r="L46" s="56" t="str">
        <f t="shared" si="55"/>
        <v/>
      </c>
      <c r="M46" s="28"/>
      <c r="N46" s="28"/>
      <c r="O46" s="28"/>
      <c r="P46" s="28"/>
      <c r="Q46" s="28"/>
      <c r="R46" s="28"/>
      <c r="S46" s="28" t="str">
        <f t="shared" si="60"/>
        <v xml:space="preserve">	transitPortReqTime</v>
      </c>
      <c r="T46" s="28" t="str">
        <f t="shared" si="61"/>
        <v xml:space="preserve">			this.transitPortReqTime,</v>
      </c>
      <c r="U46" s="28" t="str">
        <f t="shared" si="62"/>
        <v xml:space="preserve">		this.transitPortReqTime = '',</v>
      </c>
      <c r="V46" s="28" t="str">
        <f t="shared" si="63"/>
        <v/>
      </c>
    </row>
    <row r="47" spans="1:22" ht="18" customHeight="1" x14ac:dyDescent="0.25">
      <c r="A47" t="s">
        <v>409</v>
      </c>
      <c r="B47" s="28" t="str">
        <f>SUBSTITUTE(PROPER(A47),"_","")</f>
        <v>TransitPortRemark</v>
      </c>
      <c r="C47" s="28" t="str">
        <f>SUBSTITUTE(PROPER(A47),"_"," ")</f>
        <v>Transit Port Remark</v>
      </c>
      <c r="D47" s="28" t="str">
        <f>LOWER(LEFT(B47,1))&amp;RIGHT(B47,LEN(B47) - 1)</f>
        <v>transitPortRemark</v>
      </c>
      <c r="E47" s="28" t="str">
        <f>A.Backend!H41</f>
        <v>string</v>
      </c>
      <c r="F47" s="28" t="str">
        <f>A.Backend!G41</f>
        <v>1000</v>
      </c>
      <c r="G47" s="28" t="str">
        <f t="shared" si="56"/>
        <v xml:space="preserve"> : string = '' ; </v>
      </c>
      <c r="H47" s="35" t="str">
        <f t="shared" si="57"/>
        <v xml:space="preserve">			{headerName: this.l('Transit Port Remark'),headerTooltip: this.l('Transit Port Remark'),field: 'transitPortRemark',flex: 1},</v>
      </c>
      <c r="I47" s="35" t="str">
        <f t="shared" si="58"/>
        <v xml:space="preserve">								&lt;div class='input-search'&gt;
									&lt;input [(ngModel)]='transitPortRemark' name='transitPortRemark'
									class='form-control' [placeholder]="l('Transit Port Remark')"
									type='text' (keyup.enter)='searchDatas()'&gt;
								&lt;/div&gt;</v>
      </c>
      <c r="J47" s="28"/>
      <c r="K47" s="35" t="str">
        <f t="shared" si="59"/>
        <v xml:space="preserve">					&lt;div class='col-md-12 form-group row'&gt;
						&lt;label class='col-md-2 form-control title'&gt;Transit Port Remark&lt;/label&gt;
						&lt;input type='text' class='col-md-10 form-control input-text' name='TransitPortRemark' [(ngModel)]='rowdata.transitPortRemark'&gt;
					&lt;/div&gt;</v>
      </c>
      <c r="L47" s="56" t="str">
        <f>IF(E47="DateTime",
REPT(CHAR(9),2)&amp;"const dateValue =  this.rowdata."&amp;D47&amp;" ? new Date(this.rowdata."&amp;D47&amp;"?.toString()) : new Date();
"&amp;REPT(CHAR(9),2)&amp;"this.datepicker?.bsValueChange.emit(dateValue);","")</f>
        <v/>
      </c>
      <c r="M47" s="28"/>
      <c r="N47" s="28"/>
      <c r="O47" s="28"/>
      <c r="P47" s="28"/>
      <c r="Q47" s="28"/>
      <c r="R47" s="28"/>
      <c r="S47" s="28" t="str">
        <f t="shared" si="60"/>
        <v xml:space="preserve">	transitPortRemark : string = '' ; </v>
      </c>
      <c r="T47" s="28" t="str">
        <f t="shared" si="61"/>
        <v xml:space="preserve">			this.transitPortRemark,</v>
      </c>
      <c r="U47" s="28" t="str">
        <f t="shared" si="62"/>
        <v xml:space="preserve">		this.transitPortRemark = '',</v>
      </c>
      <c r="V47" s="28" t="str">
        <f t="shared" si="63"/>
        <v/>
      </c>
    </row>
    <row r="48" spans="1:22" ht="15" customHeight="1" x14ac:dyDescent="0.25">
      <c r="A48" t="s">
        <v>351</v>
      </c>
      <c r="B48" s="28" t="str">
        <f t="shared" ref="B48:B54" si="64">SUBSTITUTE(PROPER(A48),"_","")</f>
        <v>Fob</v>
      </c>
      <c r="C48" s="28" t="str">
        <f t="shared" ref="C48:C54" si="65">SUBSTITUTE(PROPER(A48),"_"," ")</f>
        <v>Fob</v>
      </c>
      <c r="D48" s="28" t="str">
        <f t="shared" ref="D48:D54" si="66">LOWER(LEFT(B48,1))&amp;RIGHT(B48,LEN(B48) - 1)</f>
        <v>fob</v>
      </c>
      <c r="E48" s="28" t="str">
        <f>A.Backend!H42</f>
        <v>decimal?</v>
      </c>
      <c r="F48" s="28" t="str">
        <f>A.Backend!G42</f>
        <v>18,4</v>
      </c>
      <c r="G48" s="28" t="str">
        <f t="shared" si="56"/>
        <v/>
      </c>
      <c r="H48" s="35" t="str">
        <f t="shared" si="57"/>
        <v xml:space="preserve">			{headerName: this.l('Fob'),headerTooltip: this.l('Fob'),field: 'fob',flex: 1},</v>
      </c>
      <c r="I48" s="35" t="str">
        <f t="shared" si="58"/>
        <v/>
      </c>
      <c r="J48" s="28"/>
      <c r="K48" s="35" t="str">
        <f t="shared" si="59"/>
        <v/>
      </c>
      <c r="L48" s="56" t="str">
        <f t="shared" ref="L48:L54" si="67">IF(E48="DateTime",
REPT(CHAR(9),2)&amp;"const dateValue =  this.rowdata."&amp;D48&amp;" ? new Date(this.rowdata."&amp;D48&amp;"?.toString()) : new Date();
"&amp;REPT(CHAR(9),2)&amp;"this.datepicker?.bsValueChange.emit(dateValue);","")</f>
        <v/>
      </c>
      <c r="M48" s="28"/>
      <c r="N48" s="28"/>
      <c r="O48" s="28"/>
      <c r="P48" s="28"/>
      <c r="Q48" s="28"/>
      <c r="R48" s="28"/>
      <c r="S48" s="28" t="str">
        <f t="shared" si="60"/>
        <v xml:space="preserve">	fob</v>
      </c>
      <c r="T48" s="28" t="str">
        <f t="shared" si="61"/>
        <v xml:space="preserve">			this.fob,</v>
      </c>
      <c r="U48" s="28" t="str">
        <f t="shared" si="62"/>
        <v xml:space="preserve">		this.fob = '',</v>
      </c>
      <c r="V48" s="28" t="str">
        <f t="shared" si="63"/>
        <v/>
      </c>
    </row>
    <row r="49" spans="1:22" ht="18" customHeight="1" x14ac:dyDescent="0.25">
      <c r="A49" t="s">
        <v>352</v>
      </c>
      <c r="B49" s="28" t="str">
        <f t="shared" si="64"/>
        <v>Freight</v>
      </c>
      <c r="C49" s="28" t="str">
        <f t="shared" si="65"/>
        <v>Freight</v>
      </c>
      <c r="D49" s="28" t="str">
        <f t="shared" si="66"/>
        <v>freight</v>
      </c>
      <c r="E49" s="28" t="str">
        <f>A.Backend!H43</f>
        <v>decimal?</v>
      </c>
      <c r="F49" s="28" t="str">
        <f>A.Backend!G43</f>
        <v>18,4</v>
      </c>
      <c r="G49" s="28" t="str">
        <f t="shared" si="56"/>
        <v/>
      </c>
      <c r="H49" s="35" t="str">
        <f t="shared" si="57"/>
        <v xml:space="preserve">			{headerName: this.l('Freight'),headerTooltip: this.l('Freight'),field: 'freight',flex: 1},</v>
      </c>
      <c r="I49" s="35" t="str">
        <f t="shared" si="58"/>
        <v/>
      </c>
      <c r="J49" s="28"/>
      <c r="K49" s="35" t="str">
        <f t="shared" si="59"/>
        <v/>
      </c>
      <c r="L49" s="56" t="str">
        <f t="shared" si="67"/>
        <v/>
      </c>
      <c r="M49" s="28"/>
      <c r="N49" s="28"/>
      <c r="O49" s="28"/>
      <c r="P49" s="28"/>
      <c r="Q49" s="28"/>
      <c r="R49" s="28"/>
      <c r="S49" s="28" t="str">
        <f t="shared" si="60"/>
        <v xml:space="preserve">	freight</v>
      </c>
      <c r="T49" s="28" t="str">
        <f t="shared" si="61"/>
        <v xml:space="preserve">			this.freight,</v>
      </c>
      <c r="U49" s="28" t="str">
        <f t="shared" si="62"/>
        <v xml:space="preserve">		this.freight = '',</v>
      </c>
      <c r="V49" s="28" t="str">
        <f t="shared" si="63"/>
        <v/>
      </c>
    </row>
    <row r="50" spans="1:22" ht="15" customHeight="1" x14ac:dyDescent="0.25">
      <c r="A50" t="s">
        <v>353</v>
      </c>
      <c r="B50" s="28" t="str">
        <f t="shared" si="64"/>
        <v>Insurance</v>
      </c>
      <c r="C50" s="28" t="str">
        <f t="shared" si="65"/>
        <v>Insurance</v>
      </c>
      <c r="D50" s="28" t="str">
        <f t="shared" si="66"/>
        <v>insurance</v>
      </c>
      <c r="E50" s="28" t="str">
        <f>A.Backend!H44</f>
        <v>decimal?</v>
      </c>
      <c r="F50" s="28" t="str">
        <f>A.Backend!G44</f>
        <v>18,4</v>
      </c>
      <c r="G50" s="28" t="str">
        <f t="shared" si="56"/>
        <v/>
      </c>
      <c r="H50" s="35" t="str">
        <f t="shared" si="57"/>
        <v xml:space="preserve">			{headerName: this.l('Insurance'),headerTooltip: this.l('Insurance'),field: 'insurance',flex: 1},</v>
      </c>
      <c r="I50" s="35" t="str">
        <f t="shared" si="58"/>
        <v/>
      </c>
      <c r="J50" s="28"/>
      <c r="K50" s="35" t="str">
        <f t="shared" si="59"/>
        <v/>
      </c>
      <c r="L50" s="56" t="str">
        <f t="shared" si="67"/>
        <v/>
      </c>
      <c r="M50" s="28"/>
      <c r="N50" s="28"/>
      <c r="O50" s="28"/>
      <c r="P50" s="28"/>
      <c r="Q50" s="28"/>
      <c r="R50" s="28"/>
      <c r="S50" s="28" t="str">
        <f t="shared" si="60"/>
        <v xml:space="preserve">	insurance</v>
      </c>
      <c r="T50" s="28" t="str">
        <f t="shared" si="61"/>
        <v xml:space="preserve">			this.insurance,</v>
      </c>
      <c r="U50" s="28" t="str">
        <f t="shared" si="62"/>
        <v xml:space="preserve">		this.insurance = '',</v>
      </c>
      <c r="V50" s="28" t="str">
        <f t="shared" si="63"/>
        <v/>
      </c>
    </row>
    <row r="51" spans="1:22" ht="18" customHeight="1" x14ac:dyDescent="0.25">
      <c r="A51" t="s">
        <v>354</v>
      </c>
      <c r="B51" s="28" t="str">
        <f t="shared" ref="B51" si="68">SUBSTITUTE(PROPER(A51),"_","")</f>
        <v>Cif</v>
      </c>
      <c r="C51" s="28" t="str">
        <f t="shared" ref="C51" si="69">SUBSTITUTE(PROPER(A51),"_"," ")</f>
        <v>Cif</v>
      </c>
      <c r="D51" s="28" t="str">
        <f t="shared" ref="D51" si="70">LOWER(LEFT(B51,1))&amp;RIGHT(B51,LEN(B51) - 1)</f>
        <v>cif</v>
      </c>
      <c r="E51" s="28" t="str">
        <f>A.Backend!H45</f>
        <v>decimal?</v>
      </c>
      <c r="F51" s="28" t="str">
        <f>A.Backend!G45</f>
        <v>18,4</v>
      </c>
      <c r="G51" s="28" t="str">
        <f t="shared" ref="G51:G53" si="71">IF(E51="string"," : string = '' ; ",IF(OR(E51="DateTime",E51="TimeSpan")," : any ;",IF(E51="int"," : number = 0 ;","")))</f>
        <v/>
      </c>
      <c r="H51" s="35" t="str">
        <f t="shared" ref="H51:H53" si="72">IF(E51="DateTime",
REPT(CHAR(9),3)&amp;"{headerName: this.l('"&amp;C51&amp;"'),headerTooltip: this.l('"&amp;C51&amp;"'),field: '"&amp;D51&amp;"',valueGetter: (params) =&gt; this.pipe.transform(params.data?."&amp;D51&amp;", 'dd/MM/yyyy'),flex: 1},",
IF(AND(E51="string",F51="1"),
REPT(CHAR(9),3)&amp;"{headerName: this.l('"&amp;C51&amp;"'),headerTooltip: this.l('"&amp;C51&amp;"'),field:  '"&amp;D51&amp;"', cellClass: ['text-center'], width: 120, cellRenderer: 'agCellButtonComponent',
buttonDefTwo: { text: params =&gt; (params.data?.'"&amp;D51&amp;"' == 'Y') ? 'Active' : 'Inactive',iconName: 'fa fa-circle',className: params =&gt; (params.data?.'"&amp;D51&amp;"' == 'Y') ? 'btnActive' : 'btnInActive',},}",
REPT(CHAR(9),3)&amp;"{headerName: this.l('"&amp;C51&amp;"'),headerTooltip: this.l('"&amp;C51&amp;"'),field: '"&amp;D51&amp;"',flex: 1},"))</f>
        <v xml:space="preserve">			{headerName: this.l('Cif'),headerTooltip: this.l('Cif'),field: 'cif',flex: 1},</v>
      </c>
      <c r="I51" s="35" t="str">
        <f t="shared" ref="I51:I53" si="73">IF(E51="DateTime",
REPT(CHAR(9),8)&amp;"&lt;div class='input-search'&gt;
"&amp;REPT(CHAR(9),9)&amp;"&lt;input type='text' [placeholder]=""l('"&amp;C51&amp;"')"" [(ngModel)]='"&amp;D51&amp;"' 
"&amp;REPT(CHAR(9),9)&amp;"name='"&amp;D51&amp;"'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IF(E51="string",
REPT(CHAR(9),8)&amp;"&lt;div class='input-search'&gt;
"&amp;REPT(CHAR(9),9)&amp;"&lt;input [(ngModel)]='"&amp;D51&amp;"' name='"&amp;D51&amp;"'
"&amp;REPT(CHAR(9),9)&amp;"class='form-control' [placeholder]=""l('"&amp;C51&amp;"')""
"&amp;REPT(CHAR(9),9)&amp;"type='text' (keyup.enter)='searchDatas()'&gt;
"&amp;REPT(CHAR(9),8)&amp;"&lt;/div&gt;",""))</f>
        <v/>
      </c>
      <c r="J51" s="28"/>
      <c r="K51" s="35" t="str">
        <f t="shared" ref="K51:K53" si="74">IF(OR(E51="DateTime",E51="TimeSpan"),
REPT(CHAR(9),5)&amp;"&lt;div class='col-md-12 form-group row'&gt;
"&amp;REPT(CHAR(9),6)&amp;"&lt;label class='col-md-2 form-control title'&gt;"&amp;C51&amp;"&lt;/label&gt;
"&amp;REPT(CHAR(9),6)&amp;"&lt;input type='text' class='col-md-10 form-control input-text' name='"&amp;D51&amp;"' 
"&amp;REPT(CHAR(9),6)&amp;"#datepicker='bsDatepicker' [(ngModel)]='rowdata."&amp;D51&amp;"'  bsDatepicker &gt;
"&amp;REPT(CHAR(9),5)&amp;"&lt;/div&gt;",
IF(AND(E51="string",F51="1"),
REPT(CHAR(9),5)&amp;"&lt;div class='col-md-12 form-group row'&gt;
"&amp;REPT(CHAR(9),6)&amp;"&lt;label class='col-md-2 form-control title'&gt;"&amp;C51&amp;"&lt;/label&gt;
"&amp;REPT(CHAR(9),6)&amp;"&lt;new-checkbox [(ngModel)]='_"&amp;D51&amp;"' name='"&amp;D51&amp;"' className='col-md-10' &gt; &lt;/new-checkbox&gt;
"&amp;REPT(CHAR(9),5)&amp;"&lt;/div&gt;",
IF(E51="string",
REPT(CHAR(9),5)&amp;"&lt;div class='col-md-12 form-group row'&gt;
"&amp;REPT(CHAR(9),6)&amp;"&lt;label class='col-md-2 form-control title'&gt;"&amp;C51&amp;"&lt;/label&gt;
"&amp;REPT(CHAR(9),6)&amp;"&lt;input type='text' class='col-md-10 form-control input-text' name='"&amp;B51&amp;"' [(ngModel)]='rowdata."&amp;D51&amp;"'&gt;
"&amp;REPT(CHAR(9),5)&amp;"&lt;/div&gt;",
IF(E51="int",
REPT(CHAR(9),5)&amp;"&lt;div class='col-md-12 form-group row'&gt;
"&amp;REPT(CHAR(9),6)&amp;"&lt;label class='col-md-2 form-control title'&gt;"&amp;C51&amp;"&lt;/label&gt;
"&amp;REPT(CHAR(9),6)&amp;"&lt;input type='number' class='col-md-10 form-control input-text' name='"&amp;B51&amp;"' [(ngModel)]='rowdata."&amp;D51&amp;"'&gt;
"&amp;REPT(CHAR(9),5)&amp;"&lt;/div&gt;",""))))</f>
        <v/>
      </c>
      <c r="L51" s="56" t="str">
        <f t="shared" ref="L51" si="75">IF(E51="DateTime",
REPT(CHAR(9),2)&amp;"const dateValue =  this.rowdata."&amp;D51&amp;" ? new Date(this.rowdata."&amp;D51&amp;"?.toString()) : new Date();
"&amp;REPT(CHAR(9),2)&amp;"this.datepicker?.bsValueChange.emit(dateValue);","")</f>
        <v/>
      </c>
      <c r="M51" s="28"/>
      <c r="N51" s="28"/>
      <c r="O51" s="28"/>
      <c r="P51" s="28"/>
      <c r="Q51" s="28"/>
      <c r="R51" s="28"/>
      <c r="S51" s="28" t="str">
        <f t="shared" ref="S51:S53" si="76">REPT(CHAR(9),1)&amp;D51&amp;G51</f>
        <v xml:space="preserve">	cif</v>
      </c>
      <c r="T51" s="28" t="str">
        <f t="shared" ref="T51:T53" si="77">REPT(CHAR(9),3)&amp;"this."&amp;D51&amp;","</f>
        <v xml:space="preserve">			this.cif,</v>
      </c>
      <c r="U51" s="28" t="str">
        <f t="shared" ref="U51:U53" si="78">IF(E51="int",REPT(CHAR(9),2)&amp;"this."&amp;D51&amp;" = 0,",REPT(CHAR(9),2)&amp;"this."&amp;D51&amp;" = '',")</f>
        <v xml:space="preserve">		this.cif = '',</v>
      </c>
      <c r="V51" s="28" t="str">
        <f t="shared" ref="V51:V53" si="79">IF(AND(E51="string",F51="1"),D51,"")</f>
        <v/>
      </c>
    </row>
    <row r="52" spans="1:22" ht="18" customHeight="1" x14ac:dyDescent="0.25">
      <c r="A52" t="s">
        <v>365</v>
      </c>
      <c r="B52" s="28" t="str">
        <f>SUBSTITUTE(PROPER(A52),"_","")</f>
        <v>Tax</v>
      </c>
      <c r="C52" s="28" t="str">
        <f>SUBSTITUTE(PROPER(A52),"_"," ")</f>
        <v>Tax</v>
      </c>
      <c r="D52" s="28" t="str">
        <f>LOWER(LEFT(B52,1))&amp;RIGHT(B52,LEN(B52) - 1)</f>
        <v>tax</v>
      </c>
      <c r="E52" s="28" t="str">
        <f>A.Backend!H46</f>
        <v>decimal?</v>
      </c>
      <c r="F52" s="28" t="str">
        <f>A.Backend!G46</f>
        <v>18,4</v>
      </c>
      <c r="G52" s="28" t="str">
        <f t="shared" si="71"/>
        <v/>
      </c>
      <c r="H52" s="35" t="str">
        <f t="shared" si="72"/>
        <v xml:space="preserve">			{headerName: this.l('Tax'),headerTooltip: this.l('Tax'),field: 'tax',flex: 1},</v>
      </c>
      <c r="I52" s="35" t="str">
        <f t="shared" si="73"/>
        <v/>
      </c>
      <c r="J52" s="28"/>
      <c r="K52" s="35" t="str">
        <f t="shared" si="74"/>
        <v/>
      </c>
      <c r="L52" s="56" t="str">
        <f>IF(E52="DateTime",
REPT(CHAR(9),2)&amp;"const dateValue =  this.rowdata."&amp;D52&amp;" ? new Date(this.rowdata."&amp;D52&amp;"?.toString()) : new Date();
"&amp;REPT(CHAR(9),2)&amp;"this.datepicker?.bsValueChange.emit(dateValue);","")</f>
        <v/>
      </c>
      <c r="M52" s="28"/>
      <c r="N52" s="28"/>
      <c r="O52" s="28"/>
      <c r="P52" s="28"/>
      <c r="Q52" s="28"/>
      <c r="R52" s="28"/>
      <c r="S52" s="28" t="str">
        <f t="shared" si="76"/>
        <v xml:space="preserve">	tax</v>
      </c>
      <c r="T52" s="28" t="str">
        <f t="shared" si="77"/>
        <v xml:space="preserve">			this.tax,</v>
      </c>
      <c r="U52" s="28" t="str">
        <f t="shared" si="78"/>
        <v xml:space="preserve">		this.tax = '',</v>
      </c>
      <c r="V52" s="28" t="str">
        <f t="shared" si="79"/>
        <v/>
      </c>
    </row>
    <row r="53" spans="1:22" ht="15" customHeight="1" x14ac:dyDescent="0.25">
      <c r="A53" t="s">
        <v>373</v>
      </c>
      <c r="B53" s="28" t="str">
        <f t="shared" ref="B53" si="80">SUBSTITUTE(PROPER(A53),"_","")</f>
        <v>Amount</v>
      </c>
      <c r="C53" s="28" t="str">
        <f t="shared" ref="C53" si="81">SUBSTITUTE(PROPER(A53),"_"," ")</f>
        <v>Amount</v>
      </c>
      <c r="D53" s="28" t="str">
        <f t="shared" ref="D53" si="82">LOWER(LEFT(B53,1))&amp;RIGHT(B53,LEN(B53) - 1)</f>
        <v>amount</v>
      </c>
      <c r="E53" s="28" t="str">
        <f>A.Backend!H47</f>
        <v>decimal?</v>
      </c>
      <c r="F53" s="28" t="str">
        <f>A.Backend!G47</f>
        <v>18,4</v>
      </c>
      <c r="G53" s="28" t="str">
        <f t="shared" si="71"/>
        <v/>
      </c>
      <c r="H53" s="35" t="str">
        <f t="shared" si="72"/>
        <v xml:space="preserve">			{headerName: this.l('Amount'),headerTooltip: this.l('Amount'),field: 'amount',flex: 1},</v>
      </c>
      <c r="I53" s="35" t="str">
        <f t="shared" si="73"/>
        <v/>
      </c>
      <c r="J53" s="28"/>
      <c r="K53" s="35" t="str">
        <f t="shared" si="74"/>
        <v/>
      </c>
      <c r="L53" s="56" t="str">
        <f t="shared" ref="L53" si="83">IF(E53="DateTime",
REPT(CHAR(9),2)&amp;"const dateValue =  this.rowdata."&amp;D53&amp;" ? new Date(this.rowdata."&amp;D53&amp;"?.toString()) : new Date();
"&amp;REPT(CHAR(9),2)&amp;"this.datepicker?.bsValueChange.emit(dateValue);","")</f>
        <v/>
      </c>
      <c r="M53" s="28"/>
      <c r="N53" s="28"/>
      <c r="O53" s="28"/>
      <c r="P53" s="28"/>
      <c r="Q53" s="28"/>
      <c r="R53" s="28"/>
      <c r="S53" s="28" t="str">
        <f t="shared" si="76"/>
        <v xml:space="preserve">	amount</v>
      </c>
      <c r="T53" s="28" t="str">
        <f t="shared" si="77"/>
        <v xml:space="preserve">			this.amount,</v>
      </c>
      <c r="U53" s="28" t="str">
        <f t="shared" si="78"/>
        <v xml:space="preserve">		this.amount = '',</v>
      </c>
      <c r="V53" s="28" t="str">
        <f t="shared" si="79"/>
        <v/>
      </c>
    </row>
    <row r="54" spans="1:22" ht="18" customHeight="1" x14ac:dyDescent="0.25">
      <c r="A54" t="s">
        <v>350</v>
      </c>
      <c r="B54" s="28" t="str">
        <f t="shared" si="64"/>
        <v>Status</v>
      </c>
      <c r="C54" s="28" t="str">
        <f t="shared" si="65"/>
        <v>Status</v>
      </c>
      <c r="D54" s="28" t="str">
        <f t="shared" si="66"/>
        <v>status</v>
      </c>
      <c r="E54" s="28" t="str">
        <f>A.Backend!H48</f>
        <v>string</v>
      </c>
      <c r="F54" s="28" t="str">
        <f>A.Backend!G48</f>
        <v>20</v>
      </c>
      <c r="G54" s="28" t="str">
        <f t="shared" si="56"/>
        <v xml:space="preserve"> : string = '' ; </v>
      </c>
      <c r="H54" s="35" t="str">
        <f t="shared" si="57"/>
        <v xml:space="preserve">			{headerName: this.l('Status'),headerTooltip: this.l('Status'),field: 'status',flex: 1},</v>
      </c>
      <c r="I54" s="35" t="str">
        <f t="shared" si="58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54" s="28"/>
      <c r="K54" s="35" t="str">
        <f t="shared" si="59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54" s="56" t="str">
        <f t="shared" si="67"/>
        <v/>
      </c>
      <c r="M54" s="28"/>
      <c r="N54" s="28"/>
      <c r="O54" s="28"/>
      <c r="P54" s="28"/>
      <c r="Q54" s="28"/>
      <c r="R54" s="28"/>
      <c r="S54" s="28" t="str">
        <f t="shared" si="60"/>
        <v xml:space="preserve">	status : string = '' ; </v>
      </c>
      <c r="T54" s="28" t="str">
        <f t="shared" si="61"/>
        <v xml:space="preserve">			this.status,</v>
      </c>
      <c r="U54" s="28" t="str">
        <f t="shared" si="62"/>
        <v xml:space="preserve">		this.status = '',</v>
      </c>
      <c r="V54" s="28" t="str">
        <f t="shared" si="63"/>
        <v/>
      </c>
    </row>
    <row r="55" spans="1:22" ht="18" customHeight="1" x14ac:dyDescent="0.25">
      <c r="A55" t="s">
        <v>410</v>
      </c>
      <c r="B55" s="28" t="str">
        <f>SUBSTITUTE(PROPER(A55),"_","")</f>
        <v>LocationCode</v>
      </c>
      <c r="C55" s="28" t="str">
        <f>SUBSTITUTE(PROPER(A55),"_"," ")</f>
        <v>Location Code</v>
      </c>
      <c r="D55" s="28" t="str">
        <f>LOWER(LEFT(B55,1))&amp;RIGHT(B55,LEN(B55) - 1)</f>
        <v>locationCode</v>
      </c>
      <c r="E55" s="28" t="str">
        <f>A.Backend!H49</f>
        <v>string</v>
      </c>
      <c r="F55" s="28" t="str">
        <f>A.Backend!G49</f>
        <v>20</v>
      </c>
      <c r="G55" s="28" t="str">
        <f t="shared" si="56"/>
        <v xml:space="preserve"> : string = '' ; </v>
      </c>
      <c r="H55" s="35" t="str">
        <f t="shared" si="57"/>
        <v xml:space="preserve">			{headerName: this.l('Location Code'),headerTooltip: this.l('Location Code'),field: 'locationCode',flex: 1},</v>
      </c>
      <c r="I55" s="35" t="str">
        <f t="shared" si="58"/>
        <v xml:space="preserve">								&lt;div class='input-search'&gt;
									&lt;input [(ngModel)]='locationCode' name='locationCode'
									class='form-control' [placeholder]="l('Location Code')"
									type='text' (keyup.enter)='searchDatas()'&gt;
								&lt;/div&gt;</v>
      </c>
      <c r="J55" s="28"/>
      <c r="K55" s="35" t="str">
        <f t="shared" si="59"/>
        <v xml:space="preserve">					&lt;div class='col-md-12 form-group row'&gt;
						&lt;label class='col-md-2 form-control title'&gt;Location Code&lt;/label&gt;
						&lt;input type='text' class='col-md-10 form-control input-text' name='LocationCode' [(ngModel)]='rowdata.locationCode'&gt;
					&lt;/div&gt;</v>
      </c>
      <c r="L55" s="56" t="str">
        <f>IF(E55="DateTime",
REPT(CHAR(9),2)&amp;"const dateValue =  this.rowdata."&amp;D55&amp;" ? new Date(this.rowdata."&amp;D55&amp;"?.toString()) : new Date();
"&amp;REPT(CHAR(9),2)&amp;"this.datepicker?.bsValueChange.emit(dateValue);","")</f>
        <v/>
      </c>
      <c r="M55" s="28"/>
      <c r="N55" s="28"/>
      <c r="O55" s="28"/>
      <c r="P55" s="28"/>
      <c r="Q55" s="28"/>
      <c r="R55" s="28"/>
      <c r="S55" s="28" t="str">
        <f t="shared" si="60"/>
        <v xml:space="preserve">	locationCode : string = '' ; </v>
      </c>
      <c r="T55" s="28" t="str">
        <f t="shared" si="61"/>
        <v xml:space="preserve">			this.locationCode,</v>
      </c>
      <c r="U55" s="28" t="str">
        <f t="shared" si="62"/>
        <v xml:space="preserve">		this.locationCode = '',</v>
      </c>
      <c r="V55" s="28" t="str">
        <f t="shared" si="63"/>
        <v/>
      </c>
    </row>
    <row r="56" spans="1:22" ht="15" customHeight="1" x14ac:dyDescent="0.25">
      <c r="A56" t="s">
        <v>411</v>
      </c>
      <c r="B56" s="28" t="str">
        <f t="shared" ref="B56" si="84">SUBSTITUTE(PROPER(A56),"_","")</f>
        <v>LocationDate</v>
      </c>
      <c r="C56" s="28" t="str">
        <f t="shared" ref="C56" si="85">SUBSTITUTE(PROPER(A56),"_"," ")</f>
        <v>Location Date</v>
      </c>
      <c r="D56" s="28" t="str">
        <f t="shared" ref="D56" si="86">LOWER(LEFT(B56,1))&amp;RIGHT(B56,LEN(B56) - 1)</f>
        <v>locationDate</v>
      </c>
      <c r="E56" s="28" t="str">
        <f>A.Backend!H50</f>
        <v>DateTime?</v>
      </c>
      <c r="F56" s="28" t="str">
        <f>A.Backend!G50</f>
        <v/>
      </c>
      <c r="G56" s="28" t="str">
        <f t="shared" si="56"/>
        <v/>
      </c>
      <c r="H56" s="35" t="str">
        <f t="shared" si="57"/>
        <v xml:space="preserve">			{headerName: this.l('Location Date'),headerTooltip: this.l('Location Date'),field: 'locationDate',flex: 1},</v>
      </c>
      <c r="I56" s="35" t="str">
        <f t="shared" si="58"/>
        <v/>
      </c>
      <c r="J56" s="28"/>
      <c r="K56" s="35" t="str">
        <f t="shared" si="59"/>
        <v/>
      </c>
      <c r="L56" s="56" t="str">
        <f t="shared" ref="L56" si="87">IF(E56="DateTime",
REPT(CHAR(9),2)&amp;"const dateValue =  this.rowdata."&amp;D56&amp;" ? new Date(this.rowdata."&amp;D56&amp;"?.toString()) : new Date();
"&amp;REPT(CHAR(9),2)&amp;"this.datepicker?.bsValueChange.emit(dateValue);","")</f>
        <v/>
      </c>
      <c r="M56" s="28"/>
      <c r="N56" s="28"/>
      <c r="O56" s="28"/>
      <c r="P56" s="28"/>
      <c r="Q56" s="28"/>
      <c r="R56" s="28"/>
      <c r="S56" s="28" t="str">
        <f t="shared" si="60"/>
        <v xml:space="preserve">	locationDate</v>
      </c>
      <c r="T56" s="28" t="str">
        <f t="shared" si="61"/>
        <v xml:space="preserve">			this.locationDate,</v>
      </c>
      <c r="U56" s="28" t="str">
        <f t="shared" si="62"/>
        <v xml:space="preserve">		this.locationDate = '',</v>
      </c>
      <c r="V56" s="28" t="str">
        <f t="shared" si="63"/>
        <v/>
      </c>
    </row>
    <row r="57" spans="1:22" ht="18" customHeight="1" x14ac:dyDescent="0.25">
      <c r="A57" t="s">
        <v>385</v>
      </c>
      <c r="B57" s="28" t="str">
        <f t="shared" si="52"/>
        <v>ReceivingPeriodId</v>
      </c>
      <c r="C57" s="28" t="str">
        <f t="shared" si="53"/>
        <v>Receiving Period Id</v>
      </c>
      <c r="D57" s="28" t="str">
        <f t="shared" si="54"/>
        <v>receivingPeriodId</v>
      </c>
      <c r="E57" s="28" t="str">
        <f>A.Backend!H51</f>
        <v>long?</v>
      </c>
      <c r="F57" s="28" t="str">
        <f>A.Backend!G51</f>
        <v/>
      </c>
      <c r="G57" s="28" t="str">
        <f t="shared" si="3"/>
        <v/>
      </c>
      <c r="H57" s="35" t="str">
        <f t="shared" si="4"/>
        <v xml:space="preserve">			{headerName: this.l('Receiving Period Id'),headerTooltip: this.l('Receiving Period Id'),field: 'receivingPeriodId',flex: 1},</v>
      </c>
      <c r="I57" s="35" t="str">
        <f t="shared" si="5"/>
        <v/>
      </c>
      <c r="J57" s="28"/>
      <c r="K57" s="35" t="str">
        <f t="shared" si="6"/>
        <v/>
      </c>
      <c r="L57" s="56" t="str">
        <f t="shared" si="55"/>
        <v/>
      </c>
      <c r="M57" s="28"/>
      <c r="N57" s="28"/>
      <c r="O57" s="28"/>
      <c r="P57" s="28"/>
      <c r="Q57" s="28"/>
      <c r="R57" s="28"/>
      <c r="S57" s="28" t="str">
        <f t="shared" si="13"/>
        <v xml:space="preserve">	receivingPeriodId</v>
      </c>
      <c r="T57" s="28" t="str">
        <f t="shared" si="14"/>
        <v xml:space="preserve">			this.receivingPeriodId,</v>
      </c>
      <c r="U57" s="28" t="str">
        <f t="shared" si="15"/>
        <v xml:space="preserve">		this.receivingPeriodId = '',</v>
      </c>
      <c r="V57" s="28" t="str">
        <f t="shared" si="8"/>
        <v/>
      </c>
    </row>
    <row r="58" spans="1:22" ht="18" customHeight="1" x14ac:dyDescent="0.25">
      <c r="A58" t="s">
        <v>319</v>
      </c>
      <c r="B58" s="28" t="str">
        <f t="shared" si="52"/>
        <v>IsActive</v>
      </c>
      <c r="C58" s="28" t="str">
        <f t="shared" si="53"/>
        <v>Is Active</v>
      </c>
      <c r="D58" s="28" t="str">
        <f t="shared" si="54"/>
        <v>isActive</v>
      </c>
      <c r="E58" s="28" t="str">
        <f>A.Backend!H52</f>
        <v>string</v>
      </c>
      <c r="F58" s="28" t="str">
        <f>A.Backend!G52</f>
        <v>1</v>
      </c>
      <c r="G58" s="28" t="str">
        <f t="shared" si="3"/>
        <v xml:space="preserve"> : string = '' ; </v>
      </c>
      <c r="H58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58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58" s="28"/>
      <c r="K58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58" s="56" t="str">
        <f t="shared" si="55"/>
        <v/>
      </c>
      <c r="M58" s="28"/>
      <c r="N58" s="28"/>
      <c r="O58" s="28"/>
      <c r="P58" s="28"/>
      <c r="Q58" s="28"/>
      <c r="R58" s="28"/>
      <c r="S58" s="28" t="str">
        <f t="shared" si="13"/>
        <v xml:space="preserve">	isActive : string = '' ; </v>
      </c>
      <c r="T58" s="28" t="str">
        <f t="shared" si="14"/>
        <v xml:space="preserve">			this.isActive,</v>
      </c>
      <c r="U58" s="28" t="str">
        <f t="shared" si="15"/>
        <v xml:space="preserve">		this.isActive = '',</v>
      </c>
      <c r="V58" s="28" t="str">
        <f t="shared" si="8"/>
        <v>isActive</v>
      </c>
    </row>
    <row r="6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361</v>
      </c>
    </row>
    <row r="7" spans="1:2" x14ac:dyDescent="0.25">
      <c r="A7" t="s">
        <v>24</v>
      </c>
      <c r="B7" t="s">
        <v>356</v>
      </c>
    </row>
    <row r="8" spans="1:2" x14ac:dyDescent="0.25">
      <c r="A8" t="s">
        <v>4</v>
      </c>
      <c r="B8" t="s">
        <v>356</v>
      </c>
    </row>
    <row r="9" spans="1:2" x14ac:dyDescent="0.25">
      <c r="A9" t="s">
        <v>0</v>
      </c>
      <c r="B9" t="s">
        <v>357</v>
      </c>
    </row>
    <row r="10" spans="1:2" x14ac:dyDescent="0.25">
      <c r="A10" t="s">
        <v>25</v>
      </c>
      <c r="B10" t="s">
        <v>360</v>
      </c>
    </row>
    <row r="11" spans="1:2" x14ac:dyDescent="0.25">
      <c r="A11" t="s">
        <v>26</v>
      </c>
      <c r="B11" t="s">
        <v>360</v>
      </c>
    </row>
    <row r="12" spans="1:2" x14ac:dyDescent="0.25">
      <c r="A12" t="s">
        <v>27</v>
      </c>
      <c r="B12" t="s">
        <v>360</v>
      </c>
    </row>
    <row r="13" spans="1:2" x14ac:dyDescent="0.25">
      <c r="A13" t="s">
        <v>28</v>
      </c>
      <c r="B13" t="s">
        <v>360</v>
      </c>
    </row>
    <row r="14" spans="1:2" x14ac:dyDescent="0.25">
      <c r="A14" t="s">
        <v>29</v>
      </c>
      <c r="B14" t="s">
        <v>360</v>
      </c>
    </row>
    <row r="15" spans="1:2" x14ac:dyDescent="0.25">
      <c r="A15" t="s">
        <v>30</v>
      </c>
      <c r="B15" t="s">
        <v>360</v>
      </c>
    </row>
    <row r="16" spans="1:2" x14ac:dyDescent="0.25">
      <c r="A16" t="s">
        <v>31</v>
      </c>
      <c r="B16" t="s">
        <v>358</v>
      </c>
    </row>
    <row r="17" spans="1:2" x14ac:dyDescent="0.25">
      <c r="A17" t="s">
        <v>3</v>
      </c>
      <c r="B17" t="s">
        <v>358</v>
      </c>
    </row>
    <row r="18" spans="1:2" x14ac:dyDescent="0.25">
      <c r="A18" t="s">
        <v>33</v>
      </c>
      <c r="B18" t="s">
        <v>358</v>
      </c>
    </row>
    <row r="19" spans="1:2" x14ac:dyDescent="0.25">
      <c r="A19" t="s">
        <v>2</v>
      </c>
      <c r="B19" t="s">
        <v>358</v>
      </c>
    </row>
    <row r="20" spans="1:2" x14ac:dyDescent="0.25">
      <c r="A20" t="s">
        <v>263</v>
      </c>
      <c r="B20" t="s">
        <v>359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2023-06-11T08:58:47Z</dcterms:modified>
</cp:coreProperties>
</file>
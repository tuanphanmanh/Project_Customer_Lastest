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  <c r="G10" i="1"/>
  <c r="F16" i="5" s="1"/>
  <c r="E10" i="1"/>
  <c r="X10" i="1" s="1"/>
  <c r="D10" i="1"/>
  <c r="V10" i="1" s="1"/>
  <c r="Y10" i="1" l="1"/>
  <c r="T10" i="1"/>
  <c r="P10" i="1"/>
  <c r="H10" i="1"/>
  <c r="E16" i="5" s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18" i="5" l="1"/>
  <c r="B18" i="5"/>
  <c r="D18" i="5" s="1"/>
  <c r="T18" i="5" s="1"/>
  <c r="C17" i="5"/>
  <c r="B17" i="5"/>
  <c r="D17" i="5" s="1"/>
  <c r="T17" i="5" s="1"/>
  <c r="C16" i="5"/>
  <c r="B16" i="5"/>
  <c r="D16" i="5" s="1"/>
  <c r="T16" i="5" l="1"/>
  <c r="I16" i="5"/>
  <c r="U16" i="5"/>
  <c r="H16" i="5"/>
  <c r="K16" i="5"/>
  <c r="S16" i="5"/>
  <c r="B6" i="1"/>
  <c r="C15" i="5" l="1"/>
  <c r="B15" i="5"/>
  <c r="D15" i="5" s="1"/>
  <c r="T15" i="5" s="1"/>
  <c r="G12" i="1"/>
  <c r="F18" i="5" s="1"/>
  <c r="E12" i="1"/>
  <c r="D12" i="1"/>
  <c r="T12" i="1" s="1"/>
  <c r="H12" i="1" l="1"/>
  <c r="I12" i="1" s="1"/>
  <c r="X12" i="1"/>
  <c r="L12" i="1"/>
  <c r="P12" i="1"/>
  <c r="V12" i="1"/>
  <c r="M12" i="1" l="1"/>
  <c r="J12" i="1"/>
  <c r="E18" i="5"/>
  <c r="V18" i="5" s="1"/>
  <c r="N12" i="1"/>
  <c r="W12" i="1"/>
  <c r="O12" i="1"/>
  <c r="Y12" i="1"/>
  <c r="Z12" i="1"/>
  <c r="C19" i="5"/>
  <c r="B19" i="5"/>
  <c r="D19" i="5" s="1"/>
  <c r="T19" i="5" s="1"/>
  <c r="G13" i="1"/>
  <c r="F19" i="5" s="1"/>
  <c r="E13" i="1"/>
  <c r="D13" i="1"/>
  <c r="V13" i="1" s="1"/>
  <c r="L18" i="5" l="1"/>
  <c r="G18" i="5"/>
  <c r="S18" i="5" s="1"/>
  <c r="U18" i="5"/>
  <c r="I18" i="5"/>
  <c r="H18" i="5"/>
  <c r="K18" i="5"/>
  <c r="X13" i="1"/>
  <c r="H13" i="1"/>
  <c r="P13" i="1"/>
  <c r="T13" i="1"/>
  <c r="G9" i="1"/>
  <c r="F15" i="5" s="1"/>
  <c r="E9" i="1"/>
  <c r="D9" i="1"/>
  <c r="V9" i="1" s="1"/>
  <c r="O13" i="1" l="1"/>
  <c r="E19" i="5"/>
  <c r="Y13" i="1"/>
  <c r="Z13" i="1"/>
  <c r="M13" i="1"/>
  <c r="I13" i="1"/>
  <c r="H9" i="1"/>
  <c r="E15" i="5" s="1"/>
  <c r="U15" i="5" s="1"/>
  <c r="X9" i="1"/>
  <c r="J13" i="1"/>
  <c r="W13" i="1"/>
  <c r="N13" i="1"/>
  <c r="L19" i="5"/>
  <c r="V19" i="5"/>
  <c r="P9" i="1"/>
  <c r="T9" i="1"/>
  <c r="U19" i="5" l="1"/>
  <c r="G19" i="5"/>
  <c r="S19" i="5" s="1"/>
  <c r="I19" i="5"/>
  <c r="H19" i="5"/>
  <c r="K19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F17" i="5" s="1"/>
  <c r="E11" i="1"/>
  <c r="D11" i="1"/>
  <c r="T11" i="1" s="1"/>
  <c r="H11" i="1" l="1"/>
  <c r="E17" i="5" s="1"/>
  <c r="X11" i="1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5" i="1"/>
  <c r="T7" i="1" l="1"/>
  <c r="W15" i="1"/>
  <c r="G6" i="1" l="1"/>
  <c r="K13" i="5"/>
  <c r="H13" i="5"/>
  <c r="S13" i="5"/>
  <c r="L13" i="5"/>
  <c r="U13" i="5"/>
  <c r="V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3" i="1" l="1"/>
  <c r="L9" i="1"/>
  <c r="L11" i="1"/>
  <c r="C7" i="1"/>
  <c r="P15" i="1"/>
  <c r="J15" i="1"/>
  <c r="N15" i="1"/>
  <c r="O15" i="1"/>
  <c r="I15" i="1"/>
  <c r="Q7" i="1" l="1"/>
  <c r="M68" i="3" s="1"/>
  <c r="L7" i="1"/>
  <c r="G68" i="3" s="1"/>
  <c r="K68" i="3"/>
  <c r="J68" i="3"/>
  <c r="M15" i="1"/>
  <c r="K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<sst xmlns="http://schemas.openxmlformats.org/spreadsheetml/2006/main" count="451" uniqueCount="367">
  <si>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</si>
  <si>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</si>
  <si>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</si>
  <si>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</si>
  <si>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</si>
  <si>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</si>
  <si>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</si>
  <si>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</si>
  <si>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</si>
  <si>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</si>
  <si>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</si>
  <si>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</si>
  <si>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</si>
  <si>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</si>
  <si>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</si>
  <si>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</si>
  <si>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</si>
  <si>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</si>
  <si>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</si>
  <si>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</si>
  <si>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</si>
  <si>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</si>
  <si>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</si>
  <si>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</si>
  <si>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</si>
  <si>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</si>
  <si>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</si>
  <si>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</si>
  <si>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</si>
  <si>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</si>
  <si>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</si>
  <si>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</si>
  <si>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</si>
  <si>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</si>
  <si>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</si>
  <si>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</si>
  <si>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</si>
  <si>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</si>
  <si>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</si>
  <si>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</si>
  <si>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</si>
  <si>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</si>
  <si>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</si>
  <si>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</si>
  <si>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</si>
  <si>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</si>
  <si>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</si>
  <si>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</si>
  <si>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</si>
  <si>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</si>
  <si>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</si>
  <si>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</si>
  <si>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</si>
  <si>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</si>
  <si>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</si>
  <si>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</si>
  <si>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</si>
  <si>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</si>
  <si>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</si>
  <si>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</si>
  <si>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</si>
  <si>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</si>
  <si>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</si>
  <si>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</si>
  <si>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</si>
  <si>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</si>
  <si>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</si>
  <si>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</si>
  <si>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</si>
  <si>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</si>
  <si>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</si>
  <si>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</si>
  <si>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</si>
  <si>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</si>
  <si>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</si>
  <si>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</si>
  <si>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</si>
  <si>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</si>
  <si>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</si>
  <si>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</si>
  <si>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</si>
  <si>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</si>
  <si>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</si>
  <si>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</si>
  <si>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</si>
  <si>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</si>
  <si>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</si>
  <si>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</si>
  <si>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</si>
  <si>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</si>
  <si>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</si>
  <si>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</si>
  <si>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</si>
  <si>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</si>
  <si>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</si>
  <si>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</si>
  <si>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</si>
  <si>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</si>
  <si>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</si>
  <si>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</si>
  <si>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</si>
  <si>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</si>
  <si>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</si>
  <si>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</si>
  <si>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</si>
  <si>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</si>
  <si>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</si>
  <si>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</si>
  <si>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</si>
  <si>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</si>
  <si>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</si>
  <si>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</si>
  <si>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</si>
  <si>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</si>
  <si>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</si>
  <si>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</si>
  <si>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</si>
  <si>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</si>
  <si>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</si>
  <si>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</si>
  <si>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</si>
  <si>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</si>
  <si>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</si>
  <si>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</si>
  <si>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</si>
  <si>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</si>
  <si>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</si>
  <si>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</si>
  <si>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</si>
  <si>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</si>
  <si>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</si>
  <si>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</si>
  <si>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</si>
  <si>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</si>
  <si>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</si>
  <si>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</si>
  <si>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</si>
  <si>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</si>
  <si>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</si>
  <si>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</si>
  <si>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</si>
  <si>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</si>
  <si>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</si>
  <si>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</si>
  <si>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</si>
  <si>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</si>
  <si>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</si>
  <si>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</si>
  <si>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</si>
  <si>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</si>
  <si>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</si>
  <si>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</si>
  <si>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</si>
  <si>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</si>
  <si>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</si>
  <si>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</si>
  <si>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</si>
  <si>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</si>
  <si>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</si>
  <si>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</si>
  <si>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</si>
  <si>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</si>
  <si>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</si>
  <si>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</si>
  <si>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</si>
  <si>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</si>
  <si>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</si>
  <si>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</si>
  <si>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</si>
  <si>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</si>
  <si>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</si>
  <si>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</si>
  <si>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</si>
  <si>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</si>
  <si>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</si>
  <si>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</si>
  <si>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</si>
  <si>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</si>
  <si>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</si>
  <si>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</si>
  <si>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</si>
  <si>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</si>
  <si>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</si>
  <si>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</si>
  <si>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</si>
  <si>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</si>
  <si>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</si>
  <si>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</si>
  <si>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</si>
  <si>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</si>
  <si>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</si>
  <si>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</si>
  <si>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</si>
  <si>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</si>
  <si>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</si>
  <si>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</si>
  <si>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</si>
  <si>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</si>
  <si>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</si>
  <si>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</si>
  <si>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</si>
  <si>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</si>
  <si>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</si>
  <si>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</si>
  <si>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</si>
  <si>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</si>
  <si>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</si>
  <si>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</si>
  <si>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</si>
  <si>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</si>
  <si>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</si>
  <si>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</si>
  <si>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</si>
  <si>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</si>
  <si>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</si>
  <si>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</si>
  <si>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</si>
  <si>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</si>
  <si>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</si>
  <si>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</si>
  <si>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</si>
  <si>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</si>
  <si>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</si>
  <si>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</si>
  <si>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</si>
  <si>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</si>
  <si>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</si>
  <si>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</si>
  <si>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</si>
  <si>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</si>
  <si>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</si>
  <si>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</si>
  <si>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</si>
  <si>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</si>
  <si>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</si>
  <si>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</si>
  <si>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</si>
  <si>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</si>
  <si>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</si>
  <si>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</si>
  <si>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</si>
  <si>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</si>
  <si>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</si>
  <si>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</si>
  <si>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</si>
  <si>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</si>
  <si>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</si>
  <si>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</si>
  <si>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</si>
  <si>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</si>
  <si>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</si>
  <si>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</si>
  <si>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</si>
  <si>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</si>
  <si>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</si>
  <si>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</si>
  <si>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</si>
  <si>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</si>
  <si>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</si>
  <si>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</si>
  <si>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</si>
  <si>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</si>
  <si>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</si>
  <si>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</si>
  <si>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</si>
  <si>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</si>
  <si>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</si>
  <si>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</si>
  <si>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</si>
  <si>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</si>
  <si>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</si>
  <si>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</si>
  <si>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</si>
  <si>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</si>
  <si>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</si>
  <si>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</si>
  <si>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</si>
  <si>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</si>
  <si>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</si>
  <si>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</si>
  <si>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</si>
  <si>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</si>
  <si>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</si>
  <si>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</si>
  <si>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</si>
  <si>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</si>
  <si>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</si>
  <si>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</si>
  <si>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</si>
  <si>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</si>
  <si>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</si>
  <si>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</si>
  <si>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</si>
  <si>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</si>
  <si>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</si>
  <si>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</si>
  <si>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</si>
  <si>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</si>
  <si>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</si>
  <si>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</si>
  <si>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</si>
  <si>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</si>
  <si>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</si>
  <si>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</si>
  <si>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</si>
  <si>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</si>
  <si>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</si>
  <si>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</si>
  <si>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</si>
  <si>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</si>
  <si>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</si>
  <si>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</si>
  <si>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</si>
  <si>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</si>
  <si>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</si>
  <si>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</si>
  <si>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</si>
  <si>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</si>
  <si>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</si>
  <si>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</si>
  <si>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</si>
  <si>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</si>
  <si>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</si>
  <si>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</si>
  <si>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</si>
  <si>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</si>
  <si>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</si>
  <si>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</si>
  <si>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</si>
  <si>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</si>
  <si>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</si>
  <si>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</si>
  <si>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</si>
  <si>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</si>
  <si>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</si>
  <si>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</si>
  <si>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</si>
  <si>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</si>
  <si>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</si>
  <si>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</si>
  <si>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</si>
  <si>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</si>
  <si>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</si>
  <si>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</si>
  <si>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</si>
  <si>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</si>
  <si>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</si>
  <si>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</si>
  <si>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</si>
  <si>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</si>
  <si>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</si>
  <si>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</si>
  <si>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</si>
  <si>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</si>
  <si>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</si>
  <si>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</si>
  <si>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</si>
  <si>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PART_NO</t>
  </si>
  <si>
    <t>varchar(50)</t>
  </si>
  <si>
    <t>Bigint</t>
  </si>
  <si>
    <t>Part_Id</t>
  </si>
  <si>
    <t>InvCkdPartRobbingDetails</t>
  </si>
  <si>
    <t>Grade</t>
  </si>
  <si>
    <t>varchar(3)</t>
  </si>
  <si>
    <t>ROBBING_QTY</t>
  </si>
  <si>
    <t>Part Robbing Details</t>
  </si>
  <si>
    <t>PartRobbingDetails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</si>
</sst>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88671875" defaultRowHeight="14.4" x14ac:dyDescent="0.3"/>
  <cols>
    <col min="1" max="1" width="3.44140625" customWidth="1"/>
    <col min="2" max="2" width="18.4414062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347</v>
      </c>
      <c r="F18" s="1" t="s">
        <v>349</v>
      </c>
      <c r="G18" t="s">
        <v>348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321</v>
      </c>
      <c r="F42" s="1" t="s">
        <v>334</v>
      </c>
      <c r="G42" t="s">
        <v>334</v>
      </c>
    </row>
    <row r="43" spans="1:8" x14ac:dyDescent="0.3">
      <c r="A43" s="1"/>
      <c r="D43" t="s">
        <v>322</v>
      </c>
      <c r="F43" s="1" t="s">
        <v>328</v>
      </c>
      <c r="G43" t="s">
        <v>335</v>
      </c>
    </row>
    <row r="44" spans="1:8" x14ac:dyDescent="0.3">
      <c r="A44" s="1"/>
      <c r="D44" t="s">
        <v>324</v>
      </c>
      <c r="F44" s="1" t="s">
        <v>329</v>
      </c>
      <c r="G44" t="s">
        <v>336</v>
      </c>
    </row>
    <row r="45" spans="1:8" x14ac:dyDescent="0.3">
      <c r="A45" s="1"/>
      <c r="D45" t="s">
        <v>323</v>
      </c>
      <c r="F45" s="1" t="s">
        <v>330</v>
      </c>
      <c r="G45" t="s">
        <v>337</v>
      </c>
    </row>
    <row r="46" spans="1:8" x14ac:dyDescent="0.3">
      <c r="A46" s="1"/>
      <c r="D46" t="s">
        <v>326</v>
      </c>
      <c r="F46" s="1" t="s">
        <v>331</v>
      </c>
      <c r="G46" t="s">
        <v>338</v>
      </c>
    </row>
    <row r="47" spans="1:8" x14ac:dyDescent="0.3">
      <c r="A47" s="1"/>
      <c r="D47" t="s">
        <v>344</v>
      </c>
      <c r="F47" s="1" t="s">
        <v>345</v>
      </c>
      <c r="G47" t="s">
        <v>346</v>
      </c>
    </row>
    <row r="48" spans="1:8" x14ac:dyDescent="0.3">
      <c r="A48" s="1"/>
      <c r="D48" t="s">
        <v>327</v>
      </c>
      <c r="F48" s="1" t="s">
        <v>332</v>
      </c>
      <c r="G48" t="s">
        <v>339</v>
      </c>
    </row>
    <row r="49" spans="1:7" x14ac:dyDescent="0.3">
      <c r="A49" s="1"/>
      <c r="D49" t="s">
        <v>325</v>
      </c>
      <c r="F49" s="1" t="s">
        <v>333</v>
      </c>
      <c r="G49" t="s">
        <v>340</v>
      </c>
    </row>
    <row r="50" spans="1:7" x14ac:dyDescent="0.3">
      <c r="A50" s="1"/>
      <c r="D50" t="s">
        <v>341</v>
      </c>
      <c r="F50" s="1" t="s">
        <v>342</v>
      </c>
      <c r="G50" t="s">
        <v>343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[Table("InvCkdPartRobbingDetails")]
	public class InvCkdPartRobbingDetails: FullAuditedEntity&lt;long&gt;, IEntity&lt;long&gt;	
	{
		public const int MaxPartNoLength = 50;
		public const int MaxGradeLength = 3;
		public const int MaxIsActiveLength = 1;
		[StringLength(MaxPartNoLength)]
		public virtual string PartNo { get; set; }
		public virtual long? PartId { get; set; }
		[StringLength(MaxGradeLength)]
		public virtual string Grade { get; set; }
		public virtual int? RobbingQty { get; set; }
		[StringLength(MaxIsActiveLength)]
		public virtual string IsActive { get; set; }
	}
}
</v>
      </c>
      <c r="D68" s="48" t="str">
        <f>A.Backend!O7</f>
        <v xml:space="preserve">		public const string Pages_Inventory_CKD_PartRobbingDetails = "Pages.Inventory.CKD.PartRobbingDetails";
		public const string Pages_Inventory_CKD_PartRobbingDetails_CreateEdit = "Pages.Inventory.CKD.PartRobbingDetails.CreateEdit";
		public const string Pages_Inventory_CKD_PartRobbingDetails_Delete = "Pages.Inventory.CKD.PartRobbingDetails.Delete";
</v>
      </c>
      <c r="E68" s="48" t="str">
        <f>A.Backend!N7</f>
        <v xml:space="preserve">		var perInvCkdPartRobbingDetails = PARENTS.CreateChildPermission(AppPermissions.Pages_Inventory_CKD_PartRobbingDetails, L( "InventoryCKDPartRobbingDetails"), multiTenancySides: MultiTenancySides.Tenant);
		perInvCkdPartRobbingDetails.CreateChildPermission(AppPermissions.Pages_Inventory_CKD_PartRobbingDetails_CreateEdit, L( "InventoryCKDPartRobbingDetailsCreateEdit"), multiTenancySides: MultiTenancySides.Tenant);
		perInvCkdPartRobbingDetails.CreateChildPermission(AppPermissions.Pages_Inventory_CKD_PartRobbingDetails_Delete, L( "InventoryCKDPartRobbingDetailsDelete"), multiTenancySides: MultiTenancySides.Tenant);</v>
      </c>
      <c r="F68" s="48" t="str">
        <f>A.Backend!K7</f>
        <v>public virtual DbSet&lt;InvCkdPartRobbingDetails&gt; InvCkdPartRobbingDetailss { get; set; }</v>
      </c>
      <c r="G68" s="48" t="str">
        <f ca="1">A.Backend!L7</f>
        <v xml:space="preserve">namespace prod.Inventory.CKD
{
	public class InvCkdPartRobbingDetailsConsts	
	{
		public const int MaxPartNoLength = 50;
		public const int MaxGradeLength = 3;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InvCkdPartRobbingDetailsDto : EntityDto&lt;long?&gt;	
	{
		public virtual string PartNo { get; set; }
		public virtual long? PartId { get; set; }
		public virtual string Grade { get; set; }
		public virtual int? RobbingQty { get; set; }
		public virtual string IsActive { get; set; }
	}
	public class CreateOrEditInvCkdPartRobbingDetailsDto : EntityDto&lt;long?&gt;	
	{
		[StringLength(InvCkdPartRobbingDetailsConsts.MaxPartNoLength)]
		public virtual string PartNo { get; set; }
		public virtual long? PartId { get; set; }
		[StringLength(InvCkdPartRobbingDetailsConsts.MaxGradeLength)]
		public virtual string Grade { get; set; }
		public virtual int? RobbingQty { get; set; }
		[StringLength(InvCkdPartRobbingDetailsConsts.MaxIsActiveLength)]
		public virtual string IsActive { get; set; }
	}
	public class GetInvCkdPartRobbingDetailsInput : PagedAndSortedResultRequestDto	
	{
		public virtual string PartNo { get; set; }
		public virtual string Grade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InvCkdPartRobbingDetailsExportInput{
		public virtual string PartNo { get; set; }
		public virtual long? PartId { get; set; }
		public virtual string Grade { get; set; }
		public virtual int? RobbingQty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IInvCkdPartRobbingDetailsAppService : IApplicationService
	{
		Task&lt;PagedResultDto&lt;InvCkdPartRobbingDetailsDto&gt;&gt; GetAll(GetInvCkdPartRobbingDetailsInput input);
		Task CreateOrEdit(CreateOrEditInvCkdPartRobbingDetailsDto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IInvCkdPartRobbingDetailsExcelExporter : IApplicationService
	{
		FileDto ExportToFile(List&lt;InvCkdPartRobbingDetailsDto&gt; invckdpartrobbingdetails);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InvCkdPartRobbingDetailsExcelExporter : NpoiExcelExporterBase, IInvCkdPartRobbingDetailsExcelExporter
    {
        public InvCkdPartRobbingDetailsExcelExporter(ITempFileCacheManager tempFileCacheManager) : base(tempFileCacheManager) { }
        public FileDto ExportToFile(List&lt;InvCkdPartRobbingDetailsDto&gt; partrobbingdetails)
        {
            return CreateExcelPackage(
				"InventoryCKDPartRobbingDetails.xlsx",
				excelPackage =&gt;
				 {
					var sheet = excelPackage.CreateSheet("PartRobbingDetails");
					AddHeader(
								sheet,
								("PartNo"),
								("PartId"),
								("Grade"),
								("RobbingQty"),
								("IsActive"),
							   );
					AddObjects(
						 sheet, 1, partrobbingdetails,                                       
								_ =&gt; _.PartNo,
								_ =&gt; _.PartId,
								_ =&gt; _.Grade,
								_ =&gt; _.RobbingQty,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[AbpAuthorize(AppPermissions.Pages_Inventory_CKD_PartRobbingDetails)]
    public class InvCkdPartRobbingDetailsAppService : vovinaAppServiceBase, IInvCkdPartRobbingDetailsAppService
    {
        private readonly IDapperRepository&lt;InvCkdPartRobbingDetails, long&gt; _dapperRepo;
        private readonly IRepository&lt;InvCkdPartRobbingDetails, long&gt; _repo;
        private readonly IInvCkdPartRobbingDetailsExcelExporter _calendarListExcelExporter;
        public InvCkdPartRobbingDetailsAppService(IRepository&lt;InvCkdPartRobbingDetails,long&gt; repo, 
                                         IDapperRepository&lt;InvCkdPartRobbingDetails,long&gt; dapperRepo,
                                        IInvCkdPartRobbingDetailsExcelExporter calendarListExcelExporter
            )
        {
            _repo = repo;
            _dapperRepo = dapperRepo;
            _calendarListExcelExporter = calendarListExcelExporter;
        }
        [AbpAuthorize(AppPermissions.Pages_Inventory_CKD_PartRobbingDetails_CreateEdit)]
        public async Task CreateOrEdit(CreateOrEditInvCkdPartRobbingDetailsDto input)
        {
            if (input.Id == null) await Create(input);
            else await Update(input);
        }
        //CREATE
        private async Task Create(CreateOrEditInvCkdPartRobbingDetailsDto input)
        {          
            var mainObj = ObjectMapper.Map&lt;InvCkdPartRobbingDetails&gt;(input);
            await CurrentUnitOfWork.GetDbContext&lt;vovinaDbContext&gt;().AddAsync(mainObj);
        }
        // EDIT
        private async Task Update(CreateOrEditInvCkdPartRobbingDetailsDto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[AbpAuthorize(AppPermissions.Pages_Inventory_CKD_PartRobbingDetails_Delete)]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Task&lt;PagedResultDto&lt;InvCkdPartRobbingDetailsDto&gt;&gt; GetAll(GetInvCkdPartRobbingDetailsInput input)
        {
            var filtered = _repo.GetAll()
				.WhereIf(!string.IsNullOrWhiteSpace(input.PartNo), e =&gt; e.PartNo.Contains(input.PartNo))
				.WhereIf(!string.IsNullOrWhiteSpace(input.Grade), e =&gt; e.Grade.Contains(input.Grade))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InvCkdPartRobbingDetailsDto
                        {
							Id = o.Id,
							PartNo = o.PartNo,
							PartId = o.PartId,
							Grade = o.Grade,
							RobbingQty = o.RobbingQty,
							IsActive = o.IsActive,
                        };
            var totalCount = await filtered.CountAsync();
			var paged = system.PageBy(input);
            return new PagedResultDto&lt;InvCkdPartRobbingDetailsDto&gt;(
                totalCount,
                 await paged.ToListAsync()
            );
        }
        public async Task&lt;FileDto&gt; GetPartRobbingDetailsToExcel(InvCkdPartRobbingDetailsExportInput input)
        {
            var query = from o in _repo.GetAll()
                        select new InvCkdPartRobbingDetailsDto
                        {
							Id = o.Id,
							PartNo = o.PartNo,
							PartId = o.PartId,
							Grade = o.Grade,
							RobbingQty = o.RobbingQty,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_dapperRepo.ExecuteAsync(InvCkdPartRobbingDetailsConsts.SP_MST_WPT_CALENDAR_GENERATE);
       // }
    }
}</v>
      </c>
      <c r="N68" s="58" t="str">
        <f>A.Backend!U7</f>
        <v xml:space="preserve">  configuration.CreateMap&lt;InvCkdPartRobbingDetailsDto, InvCkdPartRobbingDetails&gt;();
  configuration.CreateMap&lt;InvCkdPartRobbingDetails, InvCkdPartRobbingDetailsDto&gt;();
  configuration.CreateMap&lt;CreateOrEditInvCkdPartRobbingDetailsDto, InvCkdPartRobbingDetails&gt;();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partrobbingdetails</v>
      </c>
      <c r="C73" s="66" t="str">
        <f>"create folder " &amp;B73</f>
        <v>create folder partrobbingdetails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partrobbingdetails.component.ts</v>
      </c>
      <c r="D74" s="28" t="str">
        <f>B.Frontend!I14</f>
        <v>partrobbingdetails.component.html</v>
      </c>
      <c r="E74" s="28" t="str">
        <f>B.Frontend!J14</f>
        <v>partrobbingdetails.component.less</v>
      </c>
      <c r="F74" s="28" t="str">
        <f>B.Frontend!K14</f>
        <v>create-or-edit-partrobbingdetails-modal.component.html</v>
      </c>
      <c r="G74" s="28" t="str">
        <f>B.Frontend!L14</f>
        <v>create-or-edit-partrobbingdetails-modal.component.ts</v>
      </c>
      <c r="H74" s="28" t="str">
        <f>B.Frontend!M14</f>
        <v>create-or-edit-partrobbingdetails-modal.component.less</v>
      </c>
      <c r="I74" s="28" t="str">
        <f>B.Frontend!N14</f>
        <v>partrobbingdetails.module.ts</v>
      </c>
      <c r="J74" s="28" t="str">
        <f>B.Frontend!O14</f>
        <v>partrobbingdetails-routing.module.ts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InvCkdPartRobbingDetailsDto, InvCkdPartRobbingDetailsServiceProxy } from '@shared/service-proxies/service-proxies';
import { finalize } from 'rxjs/internal/operators/finalize';
import { CreateOrEditPartRobbingDetailsModalComponent } from './create-or-edit-partrobbingdetails-modal.component';
import { DatePipe } from '@angular/common';
import { FileDownloadService } from '@shared/utils/file-download.service';
import ceil from 'lodash-es/ceil';
import { Paginator } from 'primeng/paginator';
@Component({
    templateUrl: './partrobbingdetails.component.html',
    styleUrls: ['./partrobbingdetails.component.less'],
})
export class PartRobbingDetailsComponent extends AppComponentBase implements OnInit {
    @ViewChild('createOrEditModalPartRobbingDetails', { static: true }) createOrEditModalPartRobbingDetails:| CreateOrEditPartRobbingDetailsModalComponent|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InvCkdPartRobbingDetailsDto = new InvCkdPartRobbingDetailsDto();
    saveSelectedRow: InvCkdPartRobbingDetailsDto = new InvCkdPartRobbingDetailsDto();
    datas: InvCkdPartRobbingDetailsDto = new InvCkdPartRobbingDetailsDto();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grade : string = '' ; 
	robbingQty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InvCkdPartRobbingDetailsServiceProxy,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this.l('Grade'),headerTooltip: this.l('Grade'),field: 'grade',flex: 1},
			{headerName: this.l('Robbing Qty'),headerTooltip: this.l('Robbing Qty'),field: 'robbingQty',flex: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this.grade,
			this.robbingQty,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this.grade = '',
		this.robbingQty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this.grade,
			this.robbingQty,
			this.isActive,
			'',
            this.paginationParams.skipCount,
            this.paginationParams.pageSize
        );
    }
    onChangeRowSelection(params: { api: { getSelectedRows: () =&gt; InvCkdPartRobbingDetailsDto[] } }) {
        this.saveSelectedRow = params.api.getSelectedRows()[0] ?? new InvCkdPartRobbingDetailsDto();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InvCkdPartRobbingDetailsDto):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this._service.getPartRobbingDetailsToExcel(
			this.partNo,
			this.partId,
			this.grade,
			this.robbingQty,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Robbing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(click)="createOrEditModalPartRobbingDetails.show()"&gt;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(click)="createOrEditModalPartRobbingDetails.show(selectedRow)"&gt;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&lt;create-or-edit-partrobbingdetails-modal
    #createOrEditModalPartRobbingDetails
    (modalSave)="callBackDataGrid(dataParams)"
    (modalClose)="onChangeRowSelection(dataParams)"
&gt;
&lt;/create-or-edit-partrobbingdetails-modal&gt;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#createOrEditModalPartRobbingDetails="bs-modal"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PartRobbingDetails')}}&lt;/h3&gt;
                    &lt;h3 *ngIf="!rowdata.id"&gt;{{('Create New PartRobbingDetails')}}&lt;/h3&gt;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CreateOrEditInvCkdPartRobbingDetailsDto, InvCkdPartRobbingDetailsServiceProxy } from '@shared/service-proxies/service-proxies';
import { BsDatepickerDirective } from 'ngx-bootstrap/datepicker';
@Component({
    selector: 'create-or-edit-partrobbingdetails-modal',
    templateUrl: './create-or-edit-partrobbingdetails-modal.component.html',
    styleUrls: ['./create-or-edit-partrobbingdetails-modal.component.less']
    })
export class CreateOrEditPartRobbingDetailsModalComponent extends AppComponentBase {
    @ViewChild('createOrEditModalPartRobbingDetails',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CreateOrEditInvCkdPartRobbingDetailsDto = new CreateOrEditInvCkdPartRobbingDetailsDto();
    active: boolean = false;
    saving: boolean = false;
    _isActive: boolean;
    constructor(
        injector: Injector,
        private _mstwptPartRobbingDetailsService: InvCkdPartRobbingDetailsServiceProxy,
    ) 
    {
        super(injector);
    }
    show(rowdata?: CreateOrEditInvCkdPartRobbingDetailsDto): void {
        if (!rowdata) this.rowdata = new CreateOrEditInvCkdPartRobbingDetailsDto();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this._mstwptPartRobbingDetailsService.createOrEdit(this.rowdata)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PartRobbingDetailsRoutingModule } from './partrobbingdetails-routing.module';
import { PartRobbingDetailsComponent } from './partrobbingdetails.component';
import { CreateOrEditPartRobbingDetailsModalComponent } from './create-or-edit-partrobbingdetails-modal.component';
@NgModule({
    declarations: [
       PartRobbingDetailsComponent, 
        CreateOrEditPartRobbingDetailsModalComponent
    ],
    imports: [
        AppSharedModule, PartRobbingDetailsRoutingModule]
})
export class PartRobbingDetailsModule {}</v>
      </c>
      <c r="J75" s="46" t="str">
        <f>B.Frontend!O10</f>
        <v>import {NgModule} from '@angular/core';
import {RouterModule, Routes} from '@angular/router';
import { PartRobbingDetailsComponent } from './partrobbingdetails.component';
const routes: Routes = [{
    path: '',
    component: PartRobbingDetailsComponent,
    pathMatch: 'full'
}];
@NgModule({
    imports: [RouterModule.forChild(routes)],
    exports: [RouterModule],
})
export class PartRobbingDetailsRoutingModule {}</v>
      </c>
      <c r="K75" s="46" t="str">
        <f>B.Frontend!P10</f>
        <v xml:space="preserve"> new AppMenuItem("PartRobbingDetails", "Pages.Inventory.CKD.PartRobbingDetails", "flaticon-book",   "/app/main/inventory/ckd/partrobbingdetails"),</v>
      </c>
      <c r="L75" s="47" t="str">
        <f>B.Frontend!Q10</f>
        <v>{
    path: 'inventory/ckd/partrobbingdetails',
    loadChildren: () =&gt; import('./inventory/ckd/partrobbingdetails/partrobbingdetails.module').then(m =&gt; m.PartRobbingDetailsModule),
    data: { permission: 'Pages.Inventory.CKD.PartRobbingDetails' }
},</v>
      </c>
      <c r="M75" s="45" t="str">
        <f>B.Frontend!R10</f>
        <v>ApiServiceProxies.InvCkdPartRobbingDetailsServiceProxy,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5"/>
  <sheetViews>
    <sheetView tabSelected="1" workbookViewId="0">
      <pane xSplit="1" topLeftCell="B1" activePane="topRight" state="frozen"/>
      <selection pane="topRight" activeCell="B5" sqref="B5"/>
    </sheetView>
  </sheetViews>
  <sheetFormatPr defaultColWidth="9.109375" defaultRowHeight="14.4" x14ac:dyDescent="0.3"/>
  <cols>
    <col min="1" max="1" width="20.886718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6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3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3">
      <c r="A3" s="1" t="s">
        <v>5</v>
      </c>
      <c r="B3" s="27" t="s">
        <v>361</v>
      </c>
      <c r="C3" s="9" t="s">
        <v>41</v>
      </c>
      <c r="D3" s="9" t="s">
        <v>42</v>
      </c>
      <c r="E3" s="9" t="s">
        <v>37</v>
      </c>
      <c r="F3" s="10" t="str">
        <f>"J"&amp;COUNTA($A:$A)</f>
        <v>J13</v>
      </c>
      <c r="G3" s="4" t="s">
        <v>54</v>
      </c>
      <c r="H3" s="9" t="str">
        <f>"I"&amp;COUNTA($A:$A)</f>
        <v>I13</v>
      </c>
      <c r="I3" s="9" t="str">
        <f>REPT(CHAR(9),2)&amp;"[Required]"&amp;"
"</f>
        <v xml:space="preserve">		[Required]
</v>
      </c>
      <c r="J3" s="10" t="str">
        <f>"L"&amp;COUNTA($A:$A)</f>
        <v>L13</v>
      </c>
      <c r="K3" s="5" t="s">
        <v>53</v>
      </c>
      <c r="L3" s="10" t="str">
        <f>"M"&amp;COUNTA($A:$A)</f>
        <v>M13</v>
      </c>
      <c r="M3" s="10" t="str">
        <f>"N"&amp;COUNTA($A:$A)</f>
        <v>N13</v>
      </c>
      <c r="N3" s="10" t="str">
        <f>"O"&amp;COUNTA($A:$A)</f>
        <v>O13</v>
      </c>
      <c r="O3" s="10" t="str">
        <f>"P"&amp;COUNTA($A:$A)</f>
        <v>P13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InvCkdPartRobbingDetailsExportInput{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T13</v>
      </c>
      <c r="V3" s="10" t="str">
        <f>"V"&amp;COUNTA($A:$A)</f>
        <v>V13</v>
      </c>
      <c r="W3" s="9" t="str">
        <f>"W"&amp;COUNTA($A:$A)</f>
        <v>W13</v>
      </c>
    </row>
    <row r="4" spans="1:26" s="10" customFormat="1" ht="33" customHeight="1" x14ac:dyDescent="0.3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3">
      <c r="A5" s="1" t="s">
        <v>234</v>
      </c>
      <c r="B5" s="60" t="s">
        <v>366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InvCkdPartRobbingDetails: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InvCkdPartRobbingDetailsConsts	
	{
</v>
      </c>
      <c r="F6" s="10" t="str">
        <f>REPT(CHAR(9),1)&amp;"public class "&amp;B3&amp;"Dto"&amp;K3&amp;REPT(CHAR(9),1)&amp;"
"&amp;REPT(CHAR(9),1)&amp;C3</f>
        <v xml:space="preserve">	public class InvCkdPartRobbingDetailsDto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CreateOrEditInvCkdPartRobbingDetailsDto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GetInvCkdPartRobbingDetailsInput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" customHeight="1" x14ac:dyDescent="0.3">
      <c r="A7" s="1" t="s">
        <v>13</v>
      </c>
      <c r="B7" s="9" t="str">
        <f>B3</f>
        <v>InvCkdPartRobbingDetails</v>
      </c>
      <c r="C7" s="10" t="str">
        <f>REPT(CHAR(9),1)&amp;"[Table("""&amp;B7&amp;""")]"&amp;"
"</f>
        <v xml:space="preserve">	[Table("InvCkdPartRobbingDetails")]
</v>
      </c>
      <c r="D7" s="10"/>
      <c r="E7" s="10"/>
      <c r="F7" s="10"/>
      <c r="G7" s="10"/>
      <c r="H7" s="10"/>
      <c r="I7" s="10"/>
      <c r="J7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[Table("InvCkdPartRobbingDetails")]
	public class InvCkdPartRobbingDetails: FullAuditedEntity&lt;long&gt;, IEntity&lt;long&gt;	
	{
		public const int MaxPartNoLength = 50;
		public const int MaxGradeLength = 3;
		public const int MaxIsActiveLength = 1;
		[StringLength(MaxPartNoLength)]
		public virtual string PartNo { get; set; }
		public virtual long? PartId { get; set; }
		[StringLength(MaxGradeLength)]
		public virtual string Grade { get; set; }
		public virtual int? RobbingQty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DbSet&lt;InvCkdPartRobbingDetails&gt; InvCkdPartRobbingDetailss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prod.Inventory.CKD
{
	public class InvCkdPartRobbingDetailsConsts	
	{
		public const int MaxPartNoLength = 50;
		public const int MaxGradeLength = 3;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prod.Inventory.CKD.Dto
{
	public class InvCkdPartRobbingDetailsDto : EntityDto&lt;long?&gt;	
	{
		public virtual string PartNo { get; set; }
		public virtual long? PartId { get; set; }
		public virtual string Grade { get; set; }
		public virtual int? RobbingQty { get; set; }
		public virtual string IsActive { get; set; }
	}
	public class CreateOrEditInvCkdPartRobbingDetailsDto : EntityDto&lt;long?&gt;	
	{
		[StringLength(InvCkdPartRobbingDetailsConsts.MaxPartNoLength)]
		public virtual string PartNo { get; set; }
		public virtual long? PartId { get; set; }
		[StringLength(InvCkdPartRobbingDetailsConsts.MaxGradeLength)]
		public virtual string Grade { get; set; }
		public virtual int? RobbingQty { get; set; }
		[StringLength(InvCkdPartRobbingDetailsConsts.MaxIsActiveLength)]
		public virtual string IsActive { get; set; }
	}
	public class GetInvCkdPartRobbingDetailsInput : PagedAndSortedResultRequestDto	
	{
		public virtual string PartNo { get; set; }
		public virtual string Grade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perInvCkdPartRobbingDetails = PARENTS.CreateChildPermission(AppPermissions.Pages_Inventory_CKD_PartRobbingDetails, L( "InventoryCKDPartRobbingDetails"), multiTenancySides: MultiTenancySides.Tenant);
		perInvCkdPartRobbingDetails.CreateChildPermission(AppPermissions.Pages_Inventory_CKD_PartRobbingDetails_CreateEdit, L( "InventoryCKDPartRobbingDetailsCreateEdit"), multiTenancySides: MultiTenancySides.Tenant);
		perInvCkdPartRobbingDetails.CreateChildPermission(AppPermissions.Pages_Inventory_CKD_PartRobbingDetails_Delete, L( "InventoryCKDPartRobbingDetailsDelete"),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Pages_Inventory_CKD_PartRobbingDetails = "Pages.Inventory.CKD.PartRobbingDetails";
		public const string Pages_Inventory_CKD_PartRobbingDetails_CreateEdit = "Pages.Inventory.CKD.PartRobbingDetails.CreateEdit";
		public const string Pages_Inventory_CKD_PartRobbingDetails_Delete = "Pages.Inventory.CKD.PartRobbingDetails.Delete";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IInvCkdPartRobbingDetailsAppService : IApplicationService
	{
		Task&lt;PagedResultDto&lt;InvCkdPartRobbingDetailsDto&gt;&gt; GetAll(GetInvCkdPartRobbingDetailsInput input);
		Task CreateOrEdit(CreateOrEditInvCkdPartRobbingDetailsDto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[AbpAuthorize(AppPermissions.Pages_Inventory_CKD_PartRobbingDetails)]
    public class InvCkdPartRobbingDetailsAppService : vovinaAppServiceBase, IInvCkdPartRobbingDetailsAppService
    {
        private readonly IDapperRepository&lt;InvCkdPartRobbingDetails, long&gt; _dapperRepo;
        private readonly IRepository&lt;InvCkdPartRobbingDetails, long&gt; _repo;
        private readonly IInvCkdPartRobbingDetailsExcelExporter _calendarListExcelExporter;
        public InvCkdPartRobbingDetailsAppService(IRepository&lt;InvCkdPartRobbingDetails,long&gt; repo, 
                                         IDapperRepository&lt;InvCkdPartRobbingDetails,long&gt; dapperRepo,
                                        IInvCkdPartRobbingDetailsExcelExporter calendarListExcelExporter
            )
        {
            _repo = repo;
            _dapperRepo = dapperRepo;
            _calendarListExcelExporter = calendarListExcelExporter;
        }
        [AbpAuthorize(AppPermissions.Pages_Inventory_CKD_PartRobbingDetails_CreateEdit)]
        public async Task CreateOrEdit(CreateOrEditInvCkdPartRobbingDetailsDto input)
        {
            if (input.Id == null) await Create(input);
            else await Update(input);
        }
        //CREATE
        private async Task Create(CreateOrEditInvCkdPartRobbingDetailsDto input)
        {          
            var mainObj = ObjectMapper.Map&lt;InvCkdPartRobbingDetails&gt;(input);
            await CurrentUnitOfWork.GetDbContext&lt;vovinaDbContext&gt;().AddAsync(mainObj);
        }
        // EDIT
        private async Task Update(CreateOrEditInvCkdPartRobbingDetailsDto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[AbpAuthorize(AppPermissions.Pages_Inventory_CKD_PartRobbingDetails_Delete)]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Task&lt;PagedResultDto&lt;InvCkdPartRobbingDetailsDto&gt;&gt; GetAll(GetInvCkdPartRobbingDetailsInput input)
        {
            var filtered = _repo.GetAll()
				.WhereIf(!string.IsNullOrWhiteSpace(input.PartNo), e =&gt; e.PartNo.Contains(input.PartNo))
				.WhereIf(!string.IsNullOrWhiteSpace(input.Grade), e =&gt; e.Grade.Contains(input.Grade))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InvCkdPartRobbingDetailsDto
                        {
							Id = o.Id,
							PartNo = o.PartNo,
							PartId = o.PartId,
							Grade = o.Grade,
							RobbingQty = o.RobbingQty,
							IsActive = o.IsActive,
                        };
            var totalCount = await filtered.CountAsync();
			var paged = system.PageBy(input);
            return new PagedResultDto&lt;InvCkdPartRobbingDetailsDto&gt;(
                totalCount,
                 await paged.ToListAsync()
            );
        }
        public async Task&lt;FileDto&gt; GetPartRobbingDetailsToExcel(InvCkdPartRobbingDetailsExportInput input)
        {
            var query = from o in _repo.GetAll()
                        select new InvCkdPartRobbingDetailsDto
                        {
							Id = o.Id,
							PartNo = o.PartNo,
							PartId = o.PartId,
							Grade = o.Grade,
							RobbingQty = o.RobbingQty,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_dapperRepo.ExecuteAsync(InvCkdPartRobbingDetailsConsts.SP_MST_WPT_CALENDAR_GENERATE);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prod.Inventory.CKD.Dto
{
	public class InvCkdPartRobbingDetailsExportInput{
		public virtual string PartNo { get; set; }
		public virtual long? PartId { get; set; }
		public virtual string Grade { get; set; }
		public virtual int? RobbingQty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IInvCkdPartRobbingDetailsExcelExporter : IApplicationService
	{
		FileDto ExportToFile(List&lt;InvCkdPartRobbingDetailsDto&gt; invckdpartrobbingdetails);
	}
}
</v>
      </c>
      <c r="T7" s="26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InvCkdPartRobbingDetailsExcelExporter : NpoiExcelExporterBase, IInvCkdPartRobbingDetailsExcelExporter
    {
        public InvCkdPartRobbingDetailsExcelExporter(ITempFileCacheManager tempFileCacheManager) : base(tempFileCacheManager) { }
        public FileDto ExportToFile(List&lt;InvCkdPartRobbingDetailsDto&gt; partrobbingdetails)
        {
            return CreateExcelPackage(
				"InventoryCKDPartRobbingDetails.xlsx",
				excelPackage =&gt;
				 {
					var sheet = excelPackage.CreateSheet("PartRobbingDetails");
					AddHeader(
								sheet,
								("PartNo"),
								("PartId"),
								("Grade"),
								("RobbingQty"),
								("IsActive"),
							   );
					AddObjects(
						 sheet, 1, partrobbingdetails,                                       
								_ =&gt; _.PartNo,
								_ =&gt; _.PartId,
								_ =&gt; _.Grade,
								_ =&gt; _.RobbingQty,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configuration.CreateMap&lt;InvCkdPartRobbingDetailsDto, InvCkdPartRobbingDetails&gt;();
  configuration.CreateMap&lt;InvCkdPartRobbingDetails, InvCkdPartRobbingDetailsDto&gt;();
  configuration.CreateMap&lt;CreateOrEditInvCkdPartRobbingDetailsDto, InvCkdPartRobbingDetails&gt;();</v>
      </c>
      <c r="V7" s="26"/>
      <c r="W7" s="26"/>
    </row>
    <row r="8" spans="1:26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3">
      <c r="A9" t="s">
        <v>357</v>
      </c>
      <c r="B9" t="s">
        <v>358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50;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:L10" si="5">IF(K9="","",REPT(CHAR(9),1)&amp;"[Index(nameof("&amp;IF(D9="","",""&amp;D9)&amp;")"&amp;", Name="&amp;"""IX_"&amp;$B$7&amp;"_"&amp;D9&amp;""")]")</f>
        <v/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[StringLength(InvCkdPartRobbingDetailsConsts.MaxPartNoLength)]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3">
      <c r="A10" t="s">
        <v>360</v>
      </c>
      <c r="B10" t="s">
        <v>359</v>
      </c>
      <c r="C10" t="s">
        <v>1</v>
      </c>
      <c r="D10" t="str">
        <f t="shared" si="0"/>
        <v>PartId</v>
      </c>
      <c r="E10" t="str">
        <f t="shared" si="1"/>
        <v>Bigint</v>
      </c>
      <c r="F10" s="6"/>
      <c r="G10" t="str">
        <f t="shared" si="2"/>
        <v/>
      </c>
      <c r="H10" t="str">
        <f>+VLOOKUP(E10,'Data Type Mapping'!A:B,2,)</f>
        <v>long?</v>
      </c>
      <c r="I10" t="str">
        <f t="shared" si="3"/>
        <v/>
      </c>
      <c r="J10" t="str">
        <f t="shared" si="4"/>
        <v xml:space="preserve">		public virtual long? PartId { get; set; }
</v>
      </c>
      <c r="K10" s="6"/>
      <c r="L10" t="str">
        <f t="shared" si="5"/>
        <v/>
      </c>
      <c r="M10" t="str">
        <f t="shared" si="6"/>
        <v xml:space="preserve">		public virtual long? PartId { get; set; }
</v>
      </c>
      <c r="N10" t="str">
        <f t="shared" si="7"/>
        <v xml:space="preserve">		public virtual long? PartId { get; set; }
</v>
      </c>
      <c r="O10" t="str">
        <f t="shared" si="8"/>
        <v/>
      </c>
      <c r="P10" t="str">
        <f t="shared" si="9"/>
        <v xml:space="preserve">							PartId = o.PartId,</v>
      </c>
      <c r="T10" s="64" t="str">
        <f t="shared" si="10"/>
        <v xml:space="preserve">								("PartId"),</v>
      </c>
      <c r="V10" s="65" t="str">
        <f t="shared" si="11"/>
        <v xml:space="preserve">								_ =&gt; _.PartId,</v>
      </c>
      <c r="W10" s="64" t="str">
        <f t="shared" si="12"/>
        <v/>
      </c>
      <c r="X10" t="str">
        <f t="shared" ref="X10" si="13">IF(E10="VARCHAR","Char",(IF(E10="DATE","Date","Number")))</f>
        <v>Number</v>
      </c>
      <c r="Y10" t="str">
        <f t="shared" ref="Y10" si="14">IF(X10="Char","Left",IF(X10="Date","Center","Right"))</f>
        <v>Right</v>
      </c>
      <c r="Z10" t="str">
        <f t="shared" ref="Z10" si="15">IF(X10="Char","",IF(X10="Date","DD/MM/YYYY",IF(H10="decimal?","#,###.####","#,###")))</f>
        <v>#,###</v>
      </c>
    </row>
    <row r="11" spans="1:26" customFormat="1" ht="18.75" customHeight="1" x14ac:dyDescent="0.3">
      <c r="A11" t="s">
        <v>362</v>
      </c>
      <c r="B11" t="s">
        <v>363</v>
      </c>
      <c r="C11" t="s">
        <v>1</v>
      </c>
      <c r="D11" t="str">
        <f t="shared" ref="D11:D12" si="16">SUBSTITUTE(PROPER(A11),"_","")</f>
        <v>Grade</v>
      </c>
      <c r="E11" t="str">
        <f t="shared" ref="E11:E12" si="17">IFERROR(LEFT(B11, FIND("(",B11)-1),B11)</f>
        <v>varchar</v>
      </c>
      <c r="F11" s="6"/>
      <c r="G11" t="str">
        <f t="shared" ref="G11:G12" si="18">IFERROR(MID(B11,FIND("(",B11) +1, FIND(")",B11) - FIND("(",B11) - 1),"")</f>
        <v>3</v>
      </c>
      <c r="H11" t="str">
        <f>+VLOOKUP(E11,'Data Type Mapping'!A:B,2,)</f>
        <v>string</v>
      </c>
      <c r="I11" t="str">
        <f t="shared" ref="I11:I12" si="19">IF(H11="string",REPT(CHAR(9),2)&amp;"public const int Max"&amp;D11&amp;"Length = "&amp;G11&amp;";"&amp;$E$3,"" )</f>
        <v xml:space="preserve">		public const int MaxGradeLength = 3;
</v>
      </c>
      <c r="J11" t="str">
        <f t="shared" ref="J11:J12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[StringLength(MaxGradeLength)]
		public virtual string Grade { get; set; }
</v>
      </c>
      <c r="K11" s="6"/>
      <c r="L11" t="str">
        <f t="shared" ref="L11:L12" si="21">IF(K11="","",REPT(CHAR(9),1)&amp;"[Index(nameof("&amp;IF(D11="","",""&amp;D11)&amp;")"&amp;", Name="&amp;"""IX_"&amp;$B$7&amp;"_"&amp;D11&amp;""")]")</f>
        <v/>
      </c>
      <c r="M11" t="str">
        <f t="shared" ref="M11:M12" si="22">REPT(CHAR(9),2)&amp;"public virtual "&amp;IF(OR(H11="DateTime",H11="TimeSpan"),H11&amp;"?",H11)&amp;IF(C11="?","? "," ")&amp;D11&amp;" { get; set; }" &amp; "
"</f>
        <v xml:space="preserve">		public virtual string Grade { get; set; }
</v>
      </c>
      <c r="N11" t="str">
        <f t="shared" ref="N11:N12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[StringLength(InvCkdPartRobbingDetailsConsts.MaxGradeLength)]
		public virtual string Grade { get; set; }
</v>
      </c>
      <c r="O11" t="str">
        <f t="shared" ref="O11:O12" si="24">IF(OR(H11="string",H11="DateTime",H11="int"),REPT(CHAR(9),2)&amp;"public virtual "&amp;IF(OR(H11="DateTime",H11="TimeSpan"),H11&amp;"?",H11)&amp;IF(C11="?","? "," ")&amp;D11&amp;" { get; set; }"&amp;$E$3,"")</f>
        <v xml:space="preserve">		public virtual string Grade { get; set; }
</v>
      </c>
      <c r="P11" t="str">
        <f t="shared" ref="P11:P12" si="25">REPT(CHAR(9),7)&amp;D11&amp;" = o." &amp;D11 &amp;","</f>
        <v xml:space="preserve">							Grade = o.Grade,</v>
      </c>
      <c r="T11" s="64" t="str">
        <f t="shared" ref="T11:T12" si="26">REPT(CHAR(9),8)&amp;"("""&amp;D11&amp;"""),"</f>
        <v xml:space="preserve">								("Grade"),</v>
      </c>
      <c r="V11" s="65" t="str">
        <f t="shared" ref="V11:V12" si="27">REPT(CHAR(9),8)&amp;"_ =&gt; _."&amp;D11&amp;","</f>
        <v xml:space="preserve">								_ =&gt; _.Grade,</v>
      </c>
      <c r="W11" s="64" t="str">
        <f t="shared" ref="W11:W12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.WhereIf(!string.IsNullOrWhiteSpace(input.Grade), e =&gt; e.Grade.Contains(input.Grade))</v>
      </c>
      <c r="X11" t="str">
        <f t="shared" ref="X11:X13" si="29">IF(E11="VARCHAR","Char",(IF(E11="DATE","Date","Number")))</f>
        <v>Char</v>
      </c>
      <c r="Y11" t="str">
        <f t="shared" ref="Y11:Y13" si="30">IF(X11="Char","Left",IF(X11="Date","Center","Right"))</f>
        <v>Left</v>
      </c>
      <c r="Z11" t="str">
        <f t="shared" ref="Z11:Z13" si="31">IF(X11="Char","",IF(X11="Date","DD/MM/YYYY",IF(H11="decimal?","#,###.####","#,###")))</f>
        <v/>
      </c>
    </row>
    <row r="12" spans="1:26" customFormat="1" ht="18.75" customHeight="1" x14ac:dyDescent="0.3">
      <c r="A12" t="s">
        <v>364</v>
      </c>
      <c r="B12" t="s">
        <v>4</v>
      </c>
      <c r="C12" t="s">
        <v>1</v>
      </c>
      <c r="D12" t="str">
        <f t="shared" si="16"/>
        <v>RobbingQty</v>
      </c>
      <c r="E12" t="str">
        <f t="shared" si="17"/>
        <v>int</v>
      </c>
      <c r="F12" s="6"/>
      <c r="G12" t="str">
        <f t="shared" si="18"/>
        <v/>
      </c>
      <c r="H12" t="str">
        <f>+VLOOKUP(E12,'Data Type Mapping'!A:B,2,)</f>
        <v>int?</v>
      </c>
      <c r="I12" t="str">
        <f t="shared" si="19"/>
        <v/>
      </c>
      <c r="J12" t="str">
        <f t="shared" si="20"/>
        <v xml:space="preserve">		public virtual int? RobbingQty { get; set; }
</v>
      </c>
      <c r="K12" s="6"/>
      <c r="L12" t="str">
        <f t="shared" si="21"/>
        <v/>
      </c>
      <c r="M12" t="str">
        <f t="shared" si="22"/>
        <v xml:space="preserve">		public virtual int? RobbingQty { get; set; }
</v>
      </c>
      <c r="N12" t="str">
        <f t="shared" si="23"/>
        <v xml:space="preserve">		public virtual int? RobbingQty { get; set; }
</v>
      </c>
      <c r="O12" t="str">
        <f t="shared" si="24"/>
        <v/>
      </c>
      <c r="P12" t="str">
        <f t="shared" si="25"/>
        <v xml:space="preserve">							RobbingQty = o.RobbingQty,</v>
      </c>
      <c r="T12" s="64" t="str">
        <f t="shared" si="26"/>
        <v xml:space="preserve">								("RobbingQty"),</v>
      </c>
      <c r="V12" s="65" t="str">
        <f t="shared" si="27"/>
        <v xml:space="preserve">								_ =&gt; _.RobbingQty,</v>
      </c>
      <c r="W12" s="64" t="str">
        <f t="shared" si="28"/>
        <v/>
      </c>
      <c r="X12" t="str">
        <f t="shared" si="29"/>
        <v>Number</v>
      </c>
      <c r="Y12" t="str">
        <f t="shared" si="30"/>
        <v>Right</v>
      </c>
      <c r="Z12" t="str">
        <f t="shared" si="31"/>
        <v>#,###</v>
      </c>
    </row>
    <row r="13" spans="1:26" customFormat="1" ht="22.5" customHeight="1" x14ac:dyDescent="0.3">
      <c r="A13" t="s">
        <v>319</v>
      </c>
      <c r="B13" t="s">
        <v>320</v>
      </c>
      <c r="C13" t="s">
        <v>1</v>
      </c>
      <c r="D13" t="str">
        <f>SUBSTITUTE(PROPER(A13),"_","")</f>
        <v>IsActive</v>
      </c>
      <c r="E13" t="str">
        <f t="shared" ref="E13" si="32">IFERROR(LEFT(B13, FIND("(",B13)-1),B13)</f>
        <v>varchar</v>
      </c>
      <c r="F13" s="6"/>
      <c r="G13" t="str">
        <f t="shared" ref="G13" si="33">IFERROR(MID(B13,FIND("(",B13) +1, FIND(")",B13) - FIND("(",B13) - 1),"")</f>
        <v>1</v>
      </c>
      <c r="H13" t="str">
        <f>+VLOOKUP(E13,'Data Type Mapping'!A:B,2,)</f>
        <v>string</v>
      </c>
      <c r="I13" t="str">
        <f t="shared" ref="I13" si="34">IF(H13="string",REPT(CHAR(9),2)&amp;"public const int Max"&amp;D13&amp;"Length = "&amp;G13&amp;";"&amp;$E$3,"" )</f>
        <v xml:space="preserve">		public const int MaxIsActiveLength = 1;
</v>
      </c>
      <c r="J13" t="str">
        <f t="shared" ref="J13" si="35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[StringLength(MaxIsActiveLength)]
		public virtual string IsActive { get; set; }
</v>
      </c>
      <c r="K13" s="6"/>
      <c r="L13" t="str">
        <f>IF(K13="","",REPT(CHAR(9),1)&amp;"[Index(nameof("&amp;IF(D13="","",""&amp;D13)&amp;")"&amp;", Name="&amp;"""IX_"&amp;$B$7&amp;"_"&amp;D13&amp;""")]")</f>
        <v/>
      </c>
      <c r="M13" t="str">
        <f t="shared" ref="M13" si="36">REPT(CHAR(9),2)&amp;"public virtual "&amp;IF(OR(H13="DateTime",H13="TimeSpan"),H13&amp;"?",H13)&amp;IF(C13="?","? "," ")&amp;D13&amp;" { get; set; }" &amp; "
"</f>
        <v xml:space="preserve">		public virtual string IsActive { get; set; }
</v>
      </c>
      <c r="N13" t="str">
        <f t="shared" ref="N13" si="37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[StringLength(InvCkdPartRobbingDetailsConsts.MaxIsActiveLength)]
		public virtual string IsActive { get; set; }
</v>
      </c>
      <c r="O13" t="str">
        <f t="shared" ref="O13" si="38">IF(OR(H13="string",H13="DateTime",H13="int"),REPT(CHAR(9),2)&amp;"public virtual "&amp;IF(OR(H13="DateTime",H13="TimeSpan"),H13&amp;"?",H13)&amp;IF(C13="?","? "," ")&amp;D13&amp;" { get; set; }"&amp;$E$3,"")</f>
        <v xml:space="preserve">		public virtual string IsActive { get; set; }
</v>
      </c>
      <c r="P13" t="str">
        <f t="shared" ref="P13" si="39">REPT(CHAR(9),7)&amp;D13&amp;" = o." &amp;D13 &amp;","</f>
        <v xml:space="preserve">							IsActive = o.IsActive,</v>
      </c>
      <c r="T13" s="64" t="str">
        <f t="shared" ref="T13" si="40">REPT(CHAR(9),8)&amp;"("""&amp;D13&amp;"""),"</f>
        <v xml:space="preserve">								("IsActive"),</v>
      </c>
      <c r="V13" s="65" t="str">
        <f t="shared" ref="V13" si="41">REPT(CHAR(9),8)&amp;"_ =&gt; _."&amp;D13&amp;","</f>
        <v xml:space="preserve">								_ =&gt; _.IsActive,</v>
      </c>
      <c r="W13" s="64" t="str">
        <f t="shared" ref="W13" si="42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.WhereIf(!string.IsNullOrWhiteSpace(input.IsActive), e =&gt; e.IsActive.Contains(input.IsActive))</v>
      </c>
      <c r="X13" t="str">
        <f t="shared" si="29"/>
        <v>Char</v>
      </c>
      <c r="Y13" t="str">
        <f t="shared" si="30"/>
        <v>Left</v>
      </c>
      <c r="Z13" t="str">
        <f t="shared" si="31"/>
        <v/>
      </c>
    </row>
    <row r="15" spans="1:26" ht="45.75" customHeight="1" x14ac:dyDescent="0.3">
      <c r="H15" s="11"/>
      <c r="I15" s="31" t="str">
        <f ca="1">TEXTJOIN2("
", TRUE,INDIRECT( $H$1):INDIRECT( $H$3))</f>
        <v xml:space="preserve">		public const int MaxPartNoLength = 50;
		public const int MaxGradeLength = 3;
		public const int MaxIsActiveLength = 1;
</v>
      </c>
      <c r="J15" s="30" t="str">
        <f ca="1">TEXTJOIN2("
", TRUE,INDIRECT( $F$1):INDIRECT( $F$3))</f>
        <v xml:space="preserve">		[StringLength(MaxPartNoLength)]
		public virtual string PartNo { get; set; }
		public virtual long? PartId { get; set; }
		[StringLength(MaxGradeLength)]
		public virtual string Grade { get; set; }
		public virtual int? RobbingQty { get; set; }
		[StringLength(MaxIsActiveLength)]
		public virtual string IsActive { get; set; }
</v>
      </c>
      <c r="K15" s="32" t="str">
        <f ca="1">TEXTJOIN2("
", TRUE,INDIRECT( $J$1):INDIRECT( $J$3))</f>
        <v/>
      </c>
      <c r="L15" s="12" t="s">
        <v>57</v>
      </c>
      <c r="M15" s="33" t="str">
        <f ca="1">TEXTJOIN2("
",TRUE,INDIRECT( $L$1):INDIRECT($L$3))</f>
        <v xml:space="preserve">		public virtual string PartNo { get; set; }
		public virtual long? PartId { get; set; }
		public virtual string Grade { get; set; }
		public virtual int? RobbingQty { get; set; }
		public virtual string IsActive { get; set; }
</v>
      </c>
      <c r="N15" s="30" t="str">
        <f ca="1">TEXTJOIN2("
",TRUE,INDIRECT( $M$1):INDIRECT($M$3))</f>
        <v xml:space="preserve">		[StringLength(InvCkdPartRobbingDetailsConsts.MaxPartNoLength)]
		public virtual string PartNo { get; set; }
		public virtual long? PartId { get; set; }
		[StringLength(InvCkdPartRobbingDetailsConsts.MaxGradeLength)]
		public virtual string Grade { get; set; }
		public virtual int? RobbingQty { get; set; }
		[StringLength(InvCkdPartRobbingDetailsConsts.MaxIsActiveLength)]
		public virtual string IsActive { get; set; }
</v>
      </c>
      <c r="O15" s="30" t="str">
        <f ca="1">TEXTJOIN2("
",TRUE,INDIRECT( $N$1):INDIRECT($N$3))</f>
        <v xml:space="preserve">		public virtual string PartNo { get; set; }
		public virtual string Grade { get; set; }
		public virtual string IsActive { get; set; }
</v>
      </c>
      <c r="P15" s="8" t="str">
        <f ca="1">TEXTJOIN2("
",TRUE,INDIRECT( $O$1):INDIRECT($O$3))</f>
        <v xml:space="preserve">							PartNo = o.PartNo,
							PartId = o.PartId,
							Grade = o.Grade,
							RobbingQty = o.RobbingQty,
							IsActive = o.IsActive,</v>
      </c>
      <c r="T15" s="8" t="str">
        <f ca="1">TEXTJOIN2("
",TRUE,INDIRECT( $T$2):INDIRECT($T$3))</f>
        <v xml:space="preserve">								("PartNo"),
								("PartId"),
								("Grade"),
								("RobbingQty"),
								("IsActive"),</v>
      </c>
      <c r="V15" s="8" t="str">
        <f ca="1">TEXTJOIN2("
",TRUE,INDIRECT( $V$2):INDIRECT($V$3))</f>
        <v xml:space="preserve">								_ =&gt; _.PartNo,
								_ =&gt; _.PartId,
								_ =&gt; _.Grade,
								_ =&gt; _.RobbingQty,
								_ =&gt; _.IsActive,</v>
      </c>
      <c r="W15" s="8" t="str">
        <f ca="1">TEXTJOIN2("
",TRUE,INDIRECT( $W$2):INDIRECT($W$3))</f>
        <v xml:space="preserve">				.WhereIf(!string.IsNullOrWhiteSpace(input.PartNo), e =&gt; e.PartNo.Contains(input.PartNo))
				.WhereIf(!string.IsNullOrWhiteSpace(input.Grade), e =&gt; e.Grade.Contains(input.Grade))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1"/>
  <sheetViews>
    <sheetView workbookViewId="0">
      <selection activeCell="D11" sqref="D11"/>
    </sheetView>
  </sheetViews>
  <sheetFormatPr defaultColWidth="8.88671875"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6.109375" customWidth="1"/>
    <col min="10" max="10" width="22.33203125" customWidth="1"/>
    <col min="11" max="11" width="25.88671875" customWidth="1"/>
    <col min="12" max="12" width="23.6640625" customWidth="1"/>
    <col min="13" max="13" width="23.44140625" customWidth="1"/>
    <col min="14" max="15" width="20.4414062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ht="28.8" x14ac:dyDescent="0.3">
      <c r="A1" s="38" t="s">
        <v>208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InvCkdPartRobbingDetails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PartRobbingDetails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partrobbingdetails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InvCkdPartRobbingDetailsDto, InvCkdPartRobbingDetailsServiceProxy } from '@shared/service-proxies/service-proxies';
import { finalize } from 'rxjs/internal/operators/finalize';
import { CreateOrEditPartRobbingDetailsModalComponent } from './create-or-edit-partrobbingdetails-modal.component';
import { DatePipe } from '@angular/common';
import { FileDownloadService } from '@shared/utils/file-download.service';
import ceil from 'lodash-es/ceil';
import { Paginator } from 'primeng/paginator';
@Component({
    templateUrl: './partrobbingdetails.component.html',
    styleUrls: ['./partrobbingdetails.component.less'],
})
export class PartRobbingDetailsComponent extends AppComponentBase implements OnInit {
    @ViewChild('createOrEditModalPartRobbingDetails', { static: true }) createOrEditModalPartRobbingDetails:| CreateOrEditPartRobbingDetailsModalComponent|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InvCkdPartRobbingDetailsDto = new InvCkdPartRobbingDetailsDto();
    saveSelectedRow: InvCkdPartRobbingDetailsDto = new InvCkdPartRobbingDetailsDto();
    datas: InvCkdPartRobbingDetailsDto = new InvCkdPartRobbingDetailsDto();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grade : string = '' ; 
	robbingQty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InvCkdPartRobbingDetailsServiceProxy,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this.l('Grade'),headerTooltip: this.l('Grade'),field: 'grade',flex: 1},
			{headerName: this.l('Robbing Qty'),headerTooltip: this.l('Robbing Qty'),field: 'robbingQty',flex: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this.grade,
			this.robbingQty,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this.grade = '',
		this.robbingQty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this.grade,
			this.robbingQty,
			this.isActive,
			'',
            this.paginationParams.skipCount,
            this.paginationParams.pageSize
        );
    }
    onChangeRowSelection(params: { api: { getSelectedRows: () =&gt; InvCkdPartRobbingDetailsDto[] } }) {
        this.saveSelectedRow = params.api.getSelectedRows()[0] ?? new InvCkdPartRobbingDetailsDto();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InvCkdPartRobbingDetailsDto):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this._service.getPartRobbingDetailsToExcel(
			this.partNo,
			this.partId,
			this.grade,
			this.robbingQty,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Robbing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(click)="createOrEditModalPartRobbingDetails.show()"&gt;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(click)="createOrEditModalPartRobbingDetails.show(selectedRow)"&gt;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&lt;create-or-edit-partrobbingdetails-modal
    #createOrEditModalPartRobbingDetails
    (modalSave)="callBackDataGrid(dataParams)"
    (modalClose)="onChangeRowSelection(dataParams)"
&gt;
&lt;/create-or-edit-partrobbingdetails-modal&gt;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#createOrEditModalPartRobbingDetails="bs-modal"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PartRobbingDetails')}}&lt;/h3&gt;
                    &lt;h3 *ngIf="!rowdata.id"&gt;{{('Create New PartRobbingDetails')}}&lt;/h3&gt;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CreateOrEditInvCkdPartRobbingDetailsDto, InvCkdPartRobbingDetailsServiceProxy } from '@shared/service-proxies/service-proxies';
import { BsDatepickerDirective } from 'ngx-bootstrap/datepicker';
@Component({
    selector: 'create-or-edit-partrobbingdetails-modal',
    templateUrl: './create-or-edit-partrobbingdetails-modal.component.html',
    styleUrls: ['./create-or-edit-partrobbingdetails-modal.component.less']
    })
export class CreateOrEditPartRobbingDetailsModalComponent extends AppComponentBase {
    @ViewChild('createOrEditModalPartRobbingDetails',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CreateOrEditInvCkdPartRobbingDetailsDto = new CreateOrEditInvCkdPartRobbingDetailsDto();
    active: boolean = false;
    saving: boolean = false;
    _isActive: boolean;
    constructor(
        injector: Injector,
        private _mstwptPartRobbingDetailsService: InvCkdPartRobbingDetailsServiceProxy,
    ) 
    {
        super(injector);
    }
    show(rowdata?: CreateOrEditInvCkdPartRobbingDetailsDto): void {
        if (!rowdata) this.rowdata = new CreateOrEditInvCkdPartRobbingDetailsDto();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this._mstwptPartRobbingDetailsService.createOrEdit(this.rowdata)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PartRobbingDetailsRoutingModule } from './partrobbingdetails-routing.module';
import { PartRobbingDetailsComponent } from './partrobbingdetails.component';
import { CreateOrEditPartRobbingDetailsModalComponent } from './create-or-edit-partrobbingdetails-modal.component';
@NgModule({
    declarations: [
       PartRobbingDetailsComponent, 
        CreateOrEditPartRobbingDetailsModalComponent
    ],
    imports: [
        AppSharedModule, PartRobbingDetailsRoutingModule]
})
export class PartRobbingDetailsModule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PartRobbingDetailsComponent } from './partrobbingdetails.component';
const routes: Routes = [{
    path: '',
    component: PartRobbingDetailsComponent,
    pathMatch: 'full'
}];
@NgModule({
    imports: [RouterModule.forChild(routes)],
    exports: [RouterModule],
})
export class PartRobbingDetailsRoutingModule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AppMenuItem("PartRobbingDetails", "Pages.Inventory.CKD.PartRobbingDetails", "flaticon-book",   "/app/main/inventory/ckd/partrobbingdetails"),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'inventory/ckd/partrobbingdetails',
    loadChildren: () =&gt; import('./inventory/ckd/partrobbingdetails/partrobbingdetails.module').then(m =&gt; m.PartRobbingDetailsModule),
    data: { permission: 'Pages.Inventory.CKD.PartRobbingDetails' }
},</v>
      </c>
      <c r="R10" s="47" t="str">
        <f>SUBSTITUTE(R9,"MstWptCalendar",$B$6)</f>
        <v>ApiServiceProxies.InvCkdPartRobbingDetailsServiceProxy,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H19</v>
      </c>
      <c r="I12" s="28" t="str">
        <f>"I"&amp;COUNTA($A:$A)</f>
        <v>I19</v>
      </c>
      <c r="J12" s="28"/>
      <c r="K12" s="28" t="str">
        <f>"K"&amp;COUNTA($A:$A)</f>
        <v>K19</v>
      </c>
      <c r="L12" s="28" t="str">
        <f>"L"&amp;COUNTA($A:$A)</f>
        <v>L19</v>
      </c>
      <c r="M12" s="28"/>
      <c r="N12" s="28"/>
      <c r="O12" s="28"/>
      <c r="P12" s="28"/>
      <c r="Q12" s="28"/>
      <c r="R12" s="28"/>
      <c r="S12" s="28" t="str">
        <f>"S"&amp;COUNTA($A:$A)</f>
        <v>S19</v>
      </c>
      <c r="T12" s="28" t="str">
        <f>"T"&amp;COUNTA($A:$A)</f>
        <v>T19</v>
      </c>
      <c r="U12" s="28" t="str">
        <f>"U"&amp;COUNTA($A:$A)</f>
        <v>U19</v>
      </c>
      <c r="V12" s="28" t="str">
        <f>"V"&amp;COUNTA($A:$A)</f>
        <v>V19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Id'),headerTooltip: this.l('Part Id'),field: 'partId',flex: 1},
			{headerName: this.l('Grade'),headerTooltip: this.l('Grade'),field: 'grade',flex: 1},
			{headerName: this.l('Robbing Qty'),headerTooltip: this.l('Robbing Qty'),field: 'robbingQty',flex: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partId
	grade : string = '' ; 
	robbingQty
	isActive : string = '' ; </v>
      </c>
      <c r="T13" s="63" t="str">
        <f ca="1">TEXTJOIN2("
",TRUE,INDIRECT(T11):INDIRECT(T12))</f>
        <v xml:space="preserve">			this.partNo,
			this.partId,
			this.grade,
			this.robbingQty,
			this.isActive,</v>
      </c>
      <c r="U13" s="63" t="str">
        <f ca="1">TEXTJOIN2("
",TRUE,INDIRECT(U11):INDIRECT(U12))</f>
        <v xml:space="preserve">		this.partNo = '',
		this.partId = '',
		this.grade = '',
		this.robbingQty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partrobbingdetails.component.ts</v>
      </c>
      <c r="I14" s="37" t="str">
        <f>B8&amp;".component.html"</f>
        <v>partrobbingdetails.component.html</v>
      </c>
      <c r="J14" s="36" t="str">
        <f>B8&amp;".component.less"</f>
        <v>partrobbingdetails.component.less</v>
      </c>
      <c r="K14" s="37" t="str">
        <f>"create-or-edit-"&amp;B8&amp;"-modal.component.html"</f>
        <v>create-or-edit-partrobbingdetails-modal.component.html</v>
      </c>
      <c r="L14" s="37" t="str">
        <f>"create-or-edit-"&amp;B8&amp;"-modal.component.ts"</f>
        <v>create-or-edit-partrobbingdetails-modal.component.ts</v>
      </c>
      <c r="M14" s="37" t="str">
        <f>"create-or-edit-"&amp;B8&amp;"-modal.component.less"</f>
        <v>create-or-edit-partrobbingdetails-modal.component.less</v>
      </c>
      <c r="N14" s="37" t="str">
        <f>B8&amp;".module.ts"</f>
        <v>partrobbingdetails.module.ts</v>
      </c>
      <c r="O14" s="37" t="str">
        <f>B8&amp;"-routing.module.ts"</f>
        <v>partrobbingdetails-routing.module.ts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357</v>
      </c>
      <c r="B15" s="28" t="str">
        <f t="shared" ref="B15" si="0">SUBSTITUTE(PROPER(A15),"_","")</f>
        <v>PartNo</v>
      </c>
      <c r="C15" s="28" t="str">
        <f t="shared" ref="C15" si="1">SUBSTITUTE(PROPER(A15),"_"," ")</f>
        <v>Part No</v>
      </c>
      <c r="D15" s="28" t="str">
        <f t="shared" ref="D15:D19" si="2">LOWER(LEFT(B15,1))&amp;RIGHT(B15,LEN(B15) - 1)</f>
        <v>partNo</v>
      </c>
      <c r="E15" s="28" t="str">
        <f>A.Backend!H9</f>
        <v>string</v>
      </c>
      <c r="F15" s="28" t="str">
        <f>A.Backend!G9</f>
        <v>50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" si="8">IF(AND(E15="string",F15="1"),D15,"")</f>
        <v/>
      </c>
    </row>
    <row r="16" spans="1:22" ht="18" customHeight="1" x14ac:dyDescent="0.3">
      <c r="A16" t="s">
        <v>360</v>
      </c>
      <c r="B16" s="28" t="str">
        <f t="shared" ref="B16" si="9">SUBSTITUTE(PROPER(A16),"_","")</f>
        <v>PartId</v>
      </c>
      <c r="C16" s="28" t="str">
        <f t="shared" ref="C16" si="10">SUBSTITUTE(PROPER(A16),"_"," ")</f>
        <v>Part Id</v>
      </c>
      <c r="D16" s="28" t="str">
        <f t="shared" si="2"/>
        <v>partId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this.l('Part Id'),headerTooltip: this.l('Part Id'),field: 'partId',flex: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9" si="12">REPT(CHAR(9),1)&amp;D16&amp;G16</f>
        <v xml:space="preserve">	partId</v>
      </c>
      <c r="T16" s="28" t="str">
        <f t="shared" ref="T16:T19" si="13">REPT(CHAR(9),3)&amp;"this."&amp;D16&amp;","</f>
        <v xml:space="preserve">			this.partId,</v>
      </c>
      <c r="U16" s="28" t="str">
        <f t="shared" ref="U16:U19" si="14">IF(E16="int",REPT(CHAR(9),2)&amp;"this."&amp;D16&amp;" = 0,",REPT(CHAR(9),2)&amp;"this."&amp;D16&amp;" = '',")</f>
        <v xml:space="preserve">		this.partId = '',</v>
      </c>
      <c r="V16" s="28" t="str">
        <f t="shared" ref="V16" si="15">IF(AND(E16="string",F16="1"),D16,"")</f>
        <v/>
      </c>
    </row>
    <row r="17" spans="1:22" ht="18" customHeight="1" x14ac:dyDescent="0.3">
      <c r="A17" t="s">
        <v>362</v>
      </c>
      <c r="B17" s="28" t="str">
        <f>SUBSTITUTE(PROPER(A17),"_","")</f>
        <v>Grade</v>
      </c>
      <c r="C17" s="28" t="str">
        <f>SUBSTITUTE(PROPER(A17),"_"," ")</f>
        <v>Grade</v>
      </c>
      <c r="D17" s="28" t="str">
        <f t="shared" si="2"/>
        <v>grade</v>
      </c>
      <c r="E17" s="28" t="str">
        <f>A.Backend!H11</f>
        <v>string</v>
      </c>
      <c r="F17" s="28" t="str">
        <f>A.Backend!G11</f>
        <v>3</v>
      </c>
      <c r="G17" s="28" t="str">
        <f t="shared" si="3"/>
        <v xml:space="preserve"> : string = '' ; </v>
      </c>
      <c r="H17" s="35" t="str">
        <f t="shared" si="4"/>
        <v xml:space="preserve">			{headerName: this.l('Grade'),headerTooltip: this.l('Grade'),field: 'grade',flex: 1},</v>
      </c>
      <c r="I17" s="35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grade : string = '' ; </v>
      </c>
      <c r="T17" s="28" t="str">
        <f t="shared" si="13"/>
        <v xml:space="preserve">			this.grade,</v>
      </c>
      <c r="U17" s="28" t="str">
        <f t="shared" si="14"/>
        <v xml:space="preserve">		this.grade = '',</v>
      </c>
      <c r="V17" s="28" t="str">
        <f>IF(AND(E17="string",F17="1"),D17,"")</f>
        <v/>
      </c>
    </row>
    <row r="18" spans="1:22" ht="15" customHeight="1" x14ac:dyDescent="0.3">
      <c r="A18" t="s">
        <v>364</v>
      </c>
      <c r="B18" s="28" t="str">
        <f t="shared" ref="B18" si="16">SUBSTITUTE(PROPER(A18),"_","")</f>
        <v>RobbingQty</v>
      </c>
      <c r="C18" s="28" t="str">
        <f t="shared" ref="C18" si="17">SUBSTITUTE(PROPER(A18),"_"," ")</f>
        <v>Robbing Qty</v>
      </c>
      <c r="D18" s="28" t="str">
        <f t="shared" si="2"/>
        <v>robbingQty</v>
      </c>
      <c r="E18" s="28" t="str">
        <f>A.Backend!H12</f>
        <v>int?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this.l('Robbing Qty'),headerTooltip: this.l('Robbing Qty'),field: 'robbingQty',flex: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" si="1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 xml:space="preserve">	robbingQty</v>
      </c>
      <c r="T18" s="28" t="str">
        <f t="shared" si="13"/>
        <v xml:space="preserve">			this.robbingQty,</v>
      </c>
      <c r="U18" s="28" t="str">
        <f t="shared" si="14"/>
        <v xml:space="preserve">		this.robbingQty = '',</v>
      </c>
      <c r="V18" s="28" t="str">
        <f t="shared" ref="V18" si="19">IF(AND(E18="string",F18="1"),D18,"")</f>
        <v/>
      </c>
    </row>
    <row r="19" spans="1:22" ht="18" customHeight="1" x14ac:dyDescent="0.3">
      <c r="A19" s="28" t="s">
        <v>319</v>
      </c>
      <c r="B19" s="28" t="str">
        <f t="shared" ref="B19" si="20">SUBSTITUTE(PROPER(A19),"_","")</f>
        <v>IsActive</v>
      </c>
      <c r="C19" s="28" t="str">
        <f t="shared" ref="C19" si="21">SUBSTITUTE(PROPER(A19),"_"," ")</f>
        <v>Is Active</v>
      </c>
      <c r="D19" s="28" t="str">
        <f t="shared" si="2"/>
        <v>isActive</v>
      </c>
      <c r="E19" s="28" t="str">
        <f>A.Backend!H13</f>
        <v>string</v>
      </c>
      <c r="F19" s="28" t="str">
        <f>A.Backend!G13</f>
        <v>1</v>
      </c>
      <c r="G19" s="28" t="str">
        <f t="shared" si="3"/>
        <v xml:space="preserve"> : string = '' ; </v>
      </c>
      <c r="H19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9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9" s="56" t="str">
        <f t="shared" ref="L19" si="22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si="12"/>
        <v xml:space="preserve">	isActive : string = '' ; </v>
      </c>
      <c r="T19" s="28" t="str">
        <f t="shared" si="13"/>
        <v xml:space="preserve">			this.isActive,</v>
      </c>
      <c r="U19" s="28" t="str">
        <f t="shared" si="14"/>
        <v xml:space="preserve">		this.isActive = '',</v>
      </c>
      <c r="V19" s="28" t="str">
        <f t="shared" ref="V19" si="23">IF(AND(E19="string",F19="1"),D19,"")</f>
        <v>isActive</v>
      </c>
    </row>
    <row r="21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8671875" defaultRowHeight="14.4" x14ac:dyDescent="0.3"/>
  <cols>
    <col min="1" max="1" width="22.4414062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356</v>
      </c>
    </row>
    <row r="7" spans="1:2" x14ac:dyDescent="0.3">
      <c r="A7" t="s">
        <v>24</v>
      </c>
      <c r="B7" t="s">
        <v>351</v>
      </c>
    </row>
    <row r="8" spans="1:2" x14ac:dyDescent="0.3">
      <c r="A8" t="s">
        <v>4</v>
      </c>
      <c r="B8" t="s">
        <v>351</v>
      </c>
    </row>
    <row r="9" spans="1:2" x14ac:dyDescent="0.3">
      <c r="A9" t="s">
        <v>0</v>
      </c>
      <c r="B9" t="s">
        <v>352</v>
      </c>
    </row>
    <row r="10" spans="1:2" x14ac:dyDescent="0.3">
      <c r="A10" t="s">
        <v>25</v>
      </c>
      <c r="B10" t="s">
        <v>355</v>
      </c>
    </row>
    <row r="11" spans="1:2" x14ac:dyDescent="0.3">
      <c r="A11" t="s">
        <v>26</v>
      </c>
      <c r="B11" t="s">
        <v>355</v>
      </c>
    </row>
    <row r="12" spans="1:2" x14ac:dyDescent="0.3">
      <c r="A12" t="s">
        <v>27</v>
      </c>
      <c r="B12" t="s">
        <v>355</v>
      </c>
    </row>
    <row r="13" spans="1:2" x14ac:dyDescent="0.3">
      <c r="A13" t="s">
        <v>28</v>
      </c>
      <c r="B13" t="s">
        <v>355</v>
      </c>
    </row>
    <row r="14" spans="1:2" x14ac:dyDescent="0.3">
      <c r="A14" t="s">
        <v>29</v>
      </c>
      <c r="B14" t="s">
        <v>355</v>
      </c>
    </row>
    <row r="15" spans="1:2" x14ac:dyDescent="0.3">
      <c r="A15" t="s">
        <v>30</v>
      </c>
      <c r="B15" t="s">
        <v>355</v>
      </c>
    </row>
    <row r="16" spans="1:2" x14ac:dyDescent="0.3">
      <c r="A16" t="s">
        <v>31</v>
      </c>
      <c r="B16" t="s">
        <v>353</v>
      </c>
    </row>
    <row r="17" spans="1:2" x14ac:dyDescent="0.3">
      <c r="A17" t="s">
        <v>3</v>
      </c>
      <c r="B17" t="s">
        <v>353</v>
      </c>
    </row>
    <row r="18" spans="1:2" x14ac:dyDescent="0.3">
      <c r="A18" t="s">
        <v>33</v>
      </c>
      <c r="B18" t="s">
        <v>353</v>
      </c>
    </row>
    <row r="19" spans="1:2" x14ac:dyDescent="0.3">
      <c r="A19" t="s">
        <v>2</v>
      </c>
      <c r="B19" t="s">
        <v>353</v>
      </c>
    </row>
    <row r="20" spans="1:2" x14ac:dyDescent="0.3">
      <c r="A20" t="s">
        <v>263</v>
      </c>
      <c r="B20" t="s">
        <v>354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8671875"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2023-06-06T03:33:30Z</dcterms:modified>
</cp:coreProperties>
</file>
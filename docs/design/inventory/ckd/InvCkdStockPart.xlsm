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inventory\ckd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8" i="5"/>
  <c r="F18" i="5"/>
  <c r="E19" i="5"/>
  <c r="F19" i="5"/>
  <c r="E20" i="5"/>
  <c r="F20" i="5"/>
  <c r="V20" i="5" s="1"/>
  <c r="E21" i="5"/>
  <c r="I21" i="5" s="1"/>
  <c r="F21" i="5"/>
  <c r="E22" i="5"/>
  <c r="F22" i="5"/>
  <c r="E23" i="5"/>
  <c r="F23" i="5"/>
  <c r="E24" i="5"/>
  <c r="F24" i="5"/>
  <c r="E26" i="5"/>
  <c r="F26" i="5"/>
  <c r="V22" i="5"/>
  <c r="C22" i="5"/>
  <c r="B22" i="5"/>
  <c r="D22" i="5" s="1"/>
  <c r="T22" i="5" s="1"/>
  <c r="C21" i="5"/>
  <c r="B21" i="5"/>
  <c r="D21" i="5" s="1"/>
  <c r="C20" i="5"/>
  <c r="B20" i="5"/>
  <c r="D20" i="5" s="1"/>
  <c r="T20" i="5" s="1"/>
  <c r="C19" i="5"/>
  <c r="H19" i="5" s="1"/>
  <c r="B19" i="5"/>
  <c r="D19" i="5" s="1"/>
  <c r="L18" i="5"/>
  <c r="V18" i="5"/>
  <c r="C18" i="5"/>
  <c r="B18" i="5"/>
  <c r="D18" i="5" s="1"/>
  <c r="T18" i="5" s="1"/>
  <c r="L19" i="1"/>
  <c r="G19" i="1"/>
  <c r="F25" i="5" s="1"/>
  <c r="E19" i="1"/>
  <c r="X19" i="1" s="1"/>
  <c r="D19" i="1"/>
  <c r="V19" i="1" s="1"/>
  <c r="D12" i="1"/>
  <c r="P12" i="1" s="1"/>
  <c r="E12" i="1"/>
  <c r="X12" i="1" s="1"/>
  <c r="G12" i="1"/>
  <c r="L12" i="1"/>
  <c r="V12" i="1"/>
  <c r="L18" i="1"/>
  <c r="G18" i="1"/>
  <c r="E18" i="1"/>
  <c r="H18" i="1" s="1"/>
  <c r="D18" i="1"/>
  <c r="V18" i="1" s="1"/>
  <c r="L14" i="1"/>
  <c r="G14" i="1"/>
  <c r="E14" i="1"/>
  <c r="X14" i="1" s="1"/>
  <c r="D14" i="1"/>
  <c r="V14" i="1" s="1"/>
  <c r="L13" i="1"/>
  <c r="G13" i="1"/>
  <c r="E13" i="1"/>
  <c r="H13" i="1" s="1"/>
  <c r="D13" i="1"/>
  <c r="T13" i="1" s="1"/>
  <c r="H19" i="1" l="1"/>
  <c r="E25" i="5" s="1"/>
  <c r="G21" i="5"/>
  <c r="S21" i="5" s="1"/>
  <c r="G18" i="5"/>
  <c r="S18" i="5" s="1"/>
  <c r="K21" i="5"/>
  <c r="L21" i="5"/>
  <c r="V21" i="5"/>
  <c r="U21" i="5"/>
  <c r="U18" i="5"/>
  <c r="H18" i="5"/>
  <c r="T19" i="5"/>
  <c r="T21" i="5"/>
  <c r="I19" i="5"/>
  <c r="K19" i="5"/>
  <c r="U19" i="5"/>
  <c r="H20" i="5"/>
  <c r="H22" i="5"/>
  <c r="S22" i="5"/>
  <c r="I18" i="5"/>
  <c r="G19" i="5"/>
  <c r="S19" i="5" s="1"/>
  <c r="L19" i="5"/>
  <c r="V19" i="5"/>
  <c r="I20" i="5"/>
  <c r="I22" i="5"/>
  <c r="K18" i="5"/>
  <c r="K20" i="5"/>
  <c r="U20" i="5"/>
  <c r="H21" i="5"/>
  <c r="K22" i="5"/>
  <c r="U22" i="5"/>
  <c r="G20" i="5"/>
  <c r="S20" i="5" s="1"/>
  <c r="L20" i="5"/>
  <c r="G22" i="5"/>
  <c r="L22" i="5"/>
  <c r="Z19" i="1"/>
  <c r="Y19" i="1"/>
  <c r="W19" i="1"/>
  <c r="P19" i="1"/>
  <c r="T19" i="1"/>
  <c r="Z12" i="1"/>
  <c r="Y12" i="1"/>
  <c r="T12" i="1"/>
  <c r="H12" i="1"/>
  <c r="H14" i="1"/>
  <c r="N14" i="1" s="1"/>
  <c r="W18" i="1"/>
  <c r="O18" i="1"/>
  <c r="J18" i="1"/>
  <c r="N18" i="1"/>
  <c r="I18" i="1"/>
  <c r="M18" i="1"/>
  <c r="P18" i="1"/>
  <c r="X18" i="1"/>
  <c r="T18" i="1"/>
  <c r="Y14" i="1"/>
  <c r="O14" i="1"/>
  <c r="P14" i="1"/>
  <c r="T14" i="1"/>
  <c r="N13" i="1"/>
  <c r="M13" i="1"/>
  <c r="I13" i="1"/>
  <c r="W13" i="1"/>
  <c r="O13" i="1"/>
  <c r="J13" i="1"/>
  <c r="P13" i="1"/>
  <c r="X13" i="1"/>
  <c r="V13" i="1"/>
  <c r="I19" i="1" l="1"/>
  <c r="O19" i="1"/>
  <c r="N19" i="1"/>
  <c r="J19" i="1"/>
  <c r="M19" i="1"/>
  <c r="J14" i="1"/>
  <c r="I12" i="1"/>
  <c r="N12" i="1"/>
  <c r="J12" i="1"/>
  <c r="O12" i="1"/>
  <c r="W12" i="1"/>
  <c r="M12" i="1"/>
  <c r="M14" i="1"/>
  <c r="I14" i="1"/>
  <c r="W14" i="1"/>
  <c r="Z14" i="1"/>
  <c r="Z18" i="1"/>
  <c r="Y18" i="1"/>
  <c r="Z13" i="1"/>
  <c r="Y13" i="1"/>
  <c r="L10" i="1"/>
  <c r="G10" i="1"/>
  <c r="E10" i="1"/>
  <c r="X10" i="1" s="1"/>
  <c r="D10" i="1"/>
  <c r="V10" i="1" s="1"/>
  <c r="Y10" i="1" l="1"/>
  <c r="T10" i="1"/>
  <c r="P10" i="1"/>
  <c r="H10" i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25" i="5"/>
  <c r="B25" i="5"/>
  <c r="D25" i="5" s="1"/>
  <c r="T25" i="5" s="1"/>
  <c r="G15" i="1"/>
  <c r="E15" i="1"/>
  <c r="D15" i="1"/>
  <c r="T15" i="1" s="1"/>
  <c r="H15" i="1" l="1"/>
  <c r="X15" i="1"/>
  <c r="V15" i="1"/>
  <c r="P15" i="1"/>
  <c r="C23" i="5"/>
  <c r="B23" i="5"/>
  <c r="D23" i="5" s="1"/>
  <c r="T23" i="5" s="1"/>
  <c r="C17" i="5"/>
  <c r="B17" i="5"/>
  <c r="D17" i="5" s="1"/>
  <c r="T17" i="5" s="1"/>
  <c r="C16" i="5"/>
  <c r="B16" i="5"/>
  <c r="D16" i="5" s="1"/>
  <c r="T16" i="5" l="1"/>
  <c r="I16" i="5"/>
  <c r="U16" i="5"/>
  <c r="H16" i="5"/>
  <c r="K16" i="5"/>
  <c r="S16" i="5"/>
  <c r="J15" i="1"/>
  <c r="O15" i="1"/>
  <c r="W15" i="1"/>
  <c r="I15" i="1"/>
  <c r="N15" i="1"/>
  <c r="M15" i="1"/>
  <c r="Z15" i="1"/>
  <c r="Y15" i="1"/>
  <c r="B6" i="1"/>
  <c r="G17" i="1"/>
  <c r="E17" i="1"/>
  <c r="D17" i="1"/>
  <c r="V17" i="1" s="1"/>
  <c r="H17" i="1" l="1"/>
  <c r="X17" i="1"/>
  <c r="L17" i="1"/>
  <c r="P17" i="1"/>
  <c r="T17" i="1"/>
  <c r="C24" i="5"/>
  <c r="B24" i="5"/>
  <c r="D24" i="5" s="1"/>
  <c r="T24" i="5" s="1"/>
  <c r="C15" i="5"/>
  <c r="B15" i="5"/>
  <c r="D15" i="5" s="1"/>
  <c r="T15" i="5" s="1"/>
  <c r="G16" i="1"/>
  <c r="E16" i="1"/>
  <c r="D16" i="1"/>
  <c r="T16" i="1" s="1"/>
  <c r="U25" i="5" l="1"/>
  <c r="K25" i="5"/>
  <c r="G25" i="5"/>
  <c r="S25" i="5" s="1"/>
  <c r="I25" i="5"/>
  <c r="H25" i="5"/>
  <c r="L25" i="5"/>
  <c r="V25" i="5"/>
  <c r="M17" i="1"/>
  <c r="J17" i="1"/>
  <c r="O17" i="1"/>
  <c r="H16" i="1"/>
  <c r="I16" i="1" s="1"/>
  <c r="X16" i="1"/>
  <c r="I17" i="1"/>
  <c r="N17" i="1"/>
  <c r="W17" i="1"/>
  <c r="Z17" i="1"/>
  <c r="Y17" i="1"/>
  <c r="L16" i="1"/>
  <c r="P16" i="1"/>
  <c r="V16" i="1"/>
  <c r="G24" i="5" l="1"/>
  <c r="S24" i="5" s="1"/>
  <c r="U24" i="5"/>
  <c r="K24" i="5"/>
  <c r="H24" i="5"/>
  <c r="I24" i="5"/>
  <c r="M16" i="1"/>
  <c r="J16" i="1"/>
  <c r="V23" i="5"/>
  <c r="N16" i="1"/>
  <c r="W16" i="1"/>
  <c r="O16" i="1"/>
  <c r="Y16" i="1"/>
  <c r="Z16" i="1"/>
  <c r="C26" i="5"/>
  <c r="B26" i="5"/>
  <c r="D26" i="5" s="1"/>
  <c r="T26" i="5" s="1"/>
  <c r="G20" i="1"/>
  <c r="E20" i="1"/>
  <c r="D20" i="1"/>
  <c r="V20" i="1" s="1"/>
  <c r="L23" i="5" l="1"/>
  <c r="G23" i="5"/>
  <c r="S23" i="5" s="1"/>
  <c r="U23" i="5"/>
  <c r="I23" i="5"/>
  <c r="H23" i="5"/>
  <c r="K23" i="5"/>
  <c r="X20" i="1"/>
  <c r="H20" i="1"/>
  <c r="P20" i="1"/>
  <c r="T20" i="1"/>
  <c r="G9" i="1"/>
  <c r="F15" i="5" s="1"/>
  <c r="E9" i="1"/>
  <c r="D9" i="1"/>
  <c r="V9" i="1" s="1"/>
  <c r="O20" i="1" l="1"/>
  <c r="L26" i="5"/>
  <c r="Y20" i="1"/>
  <c r="Z20" i="1"/>
  <c r="M20" i="1"/>
  <c r="I20" i="1"/>
  <c r="H9" i="1"/>
  <c r="E15" i="5" s="1"/>
  <c r="U15" i="5" s="1"/>
  <c r="X9" i="1"/>
  <c r="J20" i="1"/>
  <c r="W20" i="1"/>
  <c r="N20" i="1"/>
  <c r="P9" i="1"/>
  <c r="T9" i="1"/>
  <c r="V26" i="5" l="1"/>
  <c r="U26" i="5"/>
  <c r="G26" i="5"/>
  <c r="S26" i="5" s="1"/>
  <c r="I26" i="5"/>
  <c r="H26" i="5"/>
  <c r="K26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F17" i="5" s="1"/>
  <c r="E11" i="1"/>
  <c r="D11" i="1"/>
  <c r="T11" i="1" s="1"/>
  <c r="H11" i="1" l="1"/>
  <c r="E17" i="5" s="1"/>
  <c r="X11" i="1"/>
  <c r="L24" i="5"/>
  <c r="V24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2" i="1"/>
  <c r="K12" i="5" l="1"/>
  <c r="H12" i="5"/>
  <c r="V12" i="5"/>
  <c r="T12" i="5"/>
  <c r="U12" i="5"/>
  <c r="I12" i="5"/>
  <c r="L12" i="5"/>
  <c r="S12" i="5"/>
  <c r="R3" i="1" l="1"/>
  <c r="D1" i="1"/>
  <c r="F6" i="1"/>
  <c r="T22" i="1"/>
  <c r="T13" i="5"/>
  <c r="T7" i="1" l="1"/>
  <c r="W22" i="1"/>
  <c r="G6" i="1" l="1"/>
  <c r="S13" i="5"/>
  <c r="K13" i="5"/>
  <c r="H13" i="5"/>
  <c r="L13" i="5"/>
  <c r="V13" i="5"/>
  <c r="I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0" i="1" l="1"/>
  <c r="L15" i="1"/>
  <c r="L9" i="1"/>
  <c r="L11" i="1"/>
  <c r="C7" i="1"/>
  <c r="J22" i="1"/>
  <c r="P22" i="1"/>
  <c r="O22" i="1"/>
  <c r="N22" i="1"/>
  <c r="I22" i="1"/>
  <c r="Q7" i="1" l="1"/>
  <c r="M68" i="3" s="1"/>
  <c r="L7" i="1"/>
  <c r="G68" i="3" s="1"/>
  <c r="K68" i="3"/>
  <c r="J68" i="3"/>
  <c r="K22" i="1"/>
  <c r="M2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<sst xmlns="http://schemas.openxmlformats.org/spreadsheetml/2006/main" count="485" uniqueCount="379">
  <si>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</si>
  <si>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</si>
  <si>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</si>
  <si>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</si>
  <si>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</si>
  <si>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</si>
  <si>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</si>
  <si>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</si>
  <si>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</si>
  <si>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</si>
  <si>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</si>
  <si>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</si>
  <si>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</si>
  <si>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</si>
  <si>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</si>
  <si>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</si>
  <si>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</si>
  <si>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</si>
  <si>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</si>
  <si>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</si>
  <si>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</si>
  <si>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</si>
  <si>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</si>
  <si>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</si>
  <si>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</si>
  <si>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</si>
  <si>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</si>
  <si>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</si>
  <si>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</si>
  <si>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</si>
  <si>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</si>
  <si>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</si>
  <si>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</si>
  <si>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</si>
  <si>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</si>
  <si>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</si>
  <si>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</si>
  <si>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</si>
  <si>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</si>
  <si>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</si>
  <si>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</si>
  <si>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</si>
  <si>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</si>
  <si>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</si>
  <si>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</si>
  <si>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</si>
  <si>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</si>
  <si>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</si>
  <si>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</si>
  <si>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</si>
  <si>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</si>
  <si>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</si>
  <si>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</si>
  <si>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</si>
  <si>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</si>
  <si>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</si>
  <si>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</si>
  <si>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</si>
  <si>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</si>
  <si>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</si>
  <si>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</si>
  <si>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</si>
  <si>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</si>
  <si>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</si>
  <si>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</si>
  <si>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</si>
  <si>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</si>
  <si>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</si>
  <si>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</si>
  <si>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</si>
  <si>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</si>
  <si>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</si>
  <si>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</si>
  <si>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</si>
  <si>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</si>
  <si>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</si>
  <si>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</si>
  <si>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</si>
  <si>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</si>
  <si>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</si>
  <si>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</si>
  <si>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</si>
  <si>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</si>
  <si>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</si>
  <si>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</si>
  <si>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</si>
  <si>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</si>
  <si>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</si>
  <si>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</si>
  <si>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</si>
  <si>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</si>
  <si>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</si>
  <si>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</si>
  <si>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</si>
  <si>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</si>
  <si>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</si>
  <si>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</si>
  <si>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</si>
  <si>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</si>
  <si>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</si>
  <si>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</si>
  <si>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</si>
  <si>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</si>
  <si>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</si>
  <si>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</si>
  <si>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</si>
  <si>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</si>
  <si>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</si>
  <si>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</si>
  <si>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</si>
  <si>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</si>
  <si>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</si>
  <si>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</si>
  <si>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</si>
  <si>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</si>
  <si>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</si>
  <si>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</si>
  <si>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</si>
  <si>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</si>
  <si>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</si>
  <si>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</si>
  <si>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</si>
  <si>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</si>
  <si>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</si>
  <si>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</si>
  <si>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</si>
  <si>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</si>
  <si>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</si>
  <si>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</si>
  <si>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</si>
  <si>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</si>
  <si>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</si>
  <si>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</si>
  <si>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</si>
  <si>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</si>
  <si>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</si>
  <si>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</si>
  <si>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</si>
  <si>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</si>
  <si>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</si>
  <si>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</si>
  <si>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</si>
  <si>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</si>
  <si>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</si>
  <si>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</si>
  <si>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</si>
  <si>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</si>
  <si>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</si>
  <si>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</si>
  <si>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</si>
  <si>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</si>
  <si>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</si>
  <si>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</si>
  <si>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</si>
  <si>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</si>
  <si>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</si>
  <si>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</si>
  <si>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</si>
  <si>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</si>
  <si>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</si>
  <si>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</si>
  <si>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</si>
  <si>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</si>
  <si>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</si>
  <si>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</si>
  <si>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</si>
  <si>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</si>
  <si>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</si>
  <si>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</si>
  <si>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</si>
  <si>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</si>
  <si>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</si>
  <si>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</si>
  <si>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</si>
  <si>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</si>
  <si>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</si>
  <si>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</si>
  <si>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</si>
  <si>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</si>
  <si>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</si>
  <si>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</si>
  <si>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</si>
  <si>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</si>
  <si>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</si>
  <si>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</si>
  <si>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</si>
  <si>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</si>
  <si>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</si>
  <si>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</si>
  <si>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</si>
  <si>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</si>
  <si>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</si>
  <si>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</si>
  <si>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</si>
  <si>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</si>
  <si>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</si>
  <si>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</si>
  <si>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</si>
  <si>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</si>
  <si>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</si>
  <si>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</si>
  <si>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</si>
  <si>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</si>
  <si>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</si>
  <si>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</si>
  <si>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</si>
  <si>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</si>
  <si>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</si>
  <si>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</si>
  <si>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</si>
  <si>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</si>
  <si>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</si>
  <si>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</si>
  <si>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</si>
  <si>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</si>
  <si>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</si>
  <si>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</si>
  <si>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</si>
  <si>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</si>
  <si>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</si>
  <si>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</si>
  <si>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</si>
  <si>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</si>
  <si>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</si>
  <si>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</si>
  <si>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</si>
  <si>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</si>
  <si>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</si>
  <si>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</si>
  <si>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</si>
  <si>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</si>
  <si>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</si>
  <si>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</si>
  <si>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</si>
  <si>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</si>
  <si>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</si>
  <si>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</si>
  <si>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</si>
  <si>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</si>
  <si>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</si>
  <si>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</si>
  <si>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</si>
  <si>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</si>
  <si>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</si>
  <si>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</si>
  <si>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</si>
  <si>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</si>
  <si>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</si>
  <si>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</si>
  <si>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</si>
  <si>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</si>
  <si>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</si>
  <si>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</si>
  <si>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</si>
  <si>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</si>
  <si>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</si>
  <si>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</si>
  <si>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</si>
  <si>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</si>
  <si>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</si>
  <si>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</si>
  <si>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</si>
  <si>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</si>
  <si>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</si>
  <si>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</si>
  <si>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</si>
  <si>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</si>
  <si>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</si>
  <si>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</si>
  <si>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</si>
  <si>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</si>
  <si>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</si>
  <si>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</si>
  <si>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</si>
  <si>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</si>
  <si>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</si>
  <si>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</si>
  <si>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</si>
  <si>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</si>
  <si>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</si>
  <si>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</si>
  <si>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</si>
  <si>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</si>
  <si>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</si>
  <si>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</si>
  <si>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</si>
  <si>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</si>
  <si>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</si>
  <si>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</si>
  <si>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</si>
  <si>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</si>
  <si>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</si>
  <si>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</si>
  <si>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</si>
  <si>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</si>
  <si>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</si>
  <si>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</si>
  <si>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</si>
  <si>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</si>
  <si>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</si>
  <si>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</si>
  <si>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</si>
  <si>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</si>
  <si>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</si>
  <si>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</si>
  <si>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</si>
  <si>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</si>
  <si>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</si>
  <si>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</si>
  <si>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</si>
  <si>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</si>
  <si>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</si>
  <si>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</si>
  <si>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</si>
  <si>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</si>
  <si>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</si>
  <si>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</si>
  <si>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</si>
  <si>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</si>
  <si>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</si>
  <si>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</si>
  <si>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</si>
  <si>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</si>
  <si>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</si>
  <si>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</si>
  <si>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</si>
  <si>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</si>
  <si>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</si>
  <si>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</si>
  <si>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</si>
  <si>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</si>
  <si>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</si>
  <si>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</si>
  <si>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</si>
  <si>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</si>
  <si>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</si>
  <si>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</si>
  <si>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</si>
  <si>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</si>
  <si>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</si>
  <si>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</si>
  <si>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</si>
  <si>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</si>
  <si>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</si>
  <si>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</si>
  <si>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</si>
  <si>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</si>
  <si>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</si>
  <si>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</si>
  <si>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</si>
  <si>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</si>
  <si>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</si>
  <si>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</si>
  <si>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</si>
  <si>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</si>
  <si>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</si>
  <si>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</si>
  <si>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</si>
  <si>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</si>
  <si>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PART_NAME</t>
  </si>
  <si>
    <t>COLOR_SFX</t>
  </si>
  <si>
    <t>Bigint</t>
  </si>
  <si>
    <t>PART_NO_NORMALIZED_S4</t>
  </si>
  <si>
    <t>MATERIAL_ID</t>
  </si>
  <si>
    <t>PART_LIST_ID</t>
  </si>
  <si>
    <t>decimal(6,4)</t>
  </si>
  <si>
    <t>InvCkdStockPart</t>
  </si>
  <si>
    <t>StockPart</t>
  </si>
  <si>
    <t>PART_NO_NORMALIZED</t>
  </si>
  <si>
    <t>varchar(12)</t>
  </si>
  <si>
    <t>QTY</t>
  </si>
  <si>
    <t>PERIOD_ID</t>
  </si>
  <si>
    <t>WORKING_DATE</t>
  </si>
  <si>
    <t>varchar(2)</t>
  </si>
  <si>
    <t>Y</t>
  </si>
  <si>
    <t>TMV Stock (General Warehouse)</t>
  </si>
  <si>
    <t>datetime2(7)</t>
  </si>
  <si>
    <t>varchar(300)</t>
  </si>
  <si>
    <t>LAST_CAL_DATETIME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</si>
</sst>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[Table("InvCkdStockPart")]
	[Index(nameof(PartNo), Name="IX_InvCkdStockPart_PartNo")]
	[Index(nameof(PartListId), Name="IX_InvCkdStockPart_PartListId")]
	[Index(nameof(MaterialId), Name="IX_InvCkdStockPart_MaterialId")]
	[Index(nameof(WorkingDate), Name="IX_InvCkdStockPart_WorkingDate")]
	[Index(nameof(PeriodId), Name="IX_InvCkdStockPart_PeriodId")]
	public class InvCkdStockPart: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[Column(TypeName="datetime2(7)")]
		public virtual DateTime? LastCalDatetime { get; set; }
		[StringLength(MaxIsActiveLength)]
		public virtual string IsActive { get; set; }
	}
}
</v>
      </c>
      <c r="D68" s="48" t="str">
        <f>A.Backend!O7</f>
        <v xml:space="preserve">		public const string Pages_Inventory_CKD_StockPart = "Pages.Inventory.CKD.StockPart";
		public const string Pages_Inventory_CKD_StockPart_CreateEdit = "Pages.Inventory.CKD.StockPart.CreateEdit";
		public const string Pages_Inventory_CKD_StockPart_Delete = "Pages.Inventory.CKD.StockPart.Delete";
</v>
      </c>
      <c r="E68" s="48" t="str">
        <f>A.Backend!N7</f>
        <v xml:space="preserve">		var perInvCkdStockPart = PARENTS.CreateChildPermission(AppPermissions.Pages_Inventory_CKD_StockPart, L( "InventoryCKDStockPart"), multiTenancySides: MultiTenancySides.Tenant);
		perInvCkdStockPart.CreateChildPermission(AppPermissions.Pages_Inventory_CKD_StockPart_CreateEdit, L( "InventoryCKDStockPartCreateEdit"), multiTenancySides: MultiTenancySides.Tenant);
		perInvCkdStockPart.CreateChildPermission(AppPermissions.Pages_Inventory_CKD_StockPart_Delete, L( "InventoryCKDStockPartDelete"), multiTenancySides: MultiTenancySides.Tenant);</v>
      </c>
      <c r="F68" s="48" t="str">
        <f>A.Backend!K7</f>
        <v>public virtual DbSet&lt;InvCkdStockPart&gt; InvCkdStockParts { get; set; }</v>
      </c>
      <c r="G68" s="48" t="str">
        <f ca="1">A.Backend!L7</f>
        <v xml:space="preserve">namespace prod.Inventory.CKD
{
	public class InvCkdStockPartConsts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InvCkdStockPartDto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public virtual string IsActive { get; set; }
	}
	public class CreateOrEditInvCkdStockPartDto : EntityDto&lt;long?&gt;	
	{
		[StringLength(InvCkdStockPartConsts.MaxPartNoLength)]
		public virtual string PartNo { get; set; }
		[StringLength(InvCkdStockPartConsts.MaxPartNoNormalizedLength)]
		public virtual string PartNoNormalized { get; set; }
		[StringLength(InvCkdStockPartConsts.MaxPartNameLength)]
		public virtual string PartName { get; set; }
		[StringLength(InvCkdStockPartConsts.MaxPartNoNormalizedS4Length)]
		public virtual string PartNoNormalizedS4 { get; set; }
		[StringLength(InvCkdStockPartConsts.MaxColorSfxLength)]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[StringLength(InvCkdStockPartConsts.MaxIsActiveLength)]
		public virtual string IsActive { get; set; }
	}
	public class GetInvCkdStockPartInput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InvCkdStockPartExportInput{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IInvCkdStockPartAppService : IApplicationService
	{
		Task&lt;PagedResultDto&lt;InvCkdStockPartDto&gt;&gt; GetAll(GetInvCkdStockPartInput input);
		Task CreateOrEdit(CreateOrEditInvCkdStockPartDto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IInvCkdStockPartExcelExporter : IApplicationService
	{
		FileDto ExportToFile(List&lt;InvCkdStockPartDto&gt; invckdstockpart);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InvCkdStockPartExcelExporter : NpoiExcelExporterBase, IInvCkdStockPartExcelExporter
    {
        public InvCkdStockPartExcelExporter(ITempFileCacheManager tempFileCacheManager) : base(tempFileCacheManager) { }
        public FileDto ExportToFile(List&lt;InvCkdStockPartDto&gt; stockpart)
        {
            return CreateExcelPackage(
				"InventoryCKDStockPart.xlsx",
				excelPackage =&gt;
				 {
					var sheet = excelPackage.CreateSheet("StockPart");
					AddHeader(
								sheet,
								("PartNo"),
								("PartNoNormalized"),
								("PartName"),
								("PartNoNormalizedS4"),
								("ColorSfx"),
								("PartListId"),
								("MaterialId"),
								("Qty"),
								("WorkingDate"),
								("PeriodId"),
								("LastCalDatetime"),
								("IsActive"),
							   );
					AddObjects(
						 sheet, 1, stockpart,                                       
								_ =&gt; _.PartNo,
								_ =&gt; _.PartNoNormalized,
								_ =&gt; _.PartName,
								_ =&gt; _.PartNoNormalizedS4,
								_ =&gt; _.ColorSfx,
								_ =&gt; _.PartListId,
								_ =&gt; _.MaterialId,
								_ =&gt; _.Qty,
								_ =&gt; _.WorkingDate,
								_ =&gt; _.PeriodId,
								_ =&gt; _.LastCalDatetime,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[AbpAuthorize(AppPermissions.Pages_Inventory_CKD_StockPart)]
    public class InvCkdStockPartAppService : vovinaAppServiceBase, IInvCkdStockPartAppService
    {
        private readonly IDapperRepository&lt;InvCkdStockPart, long&gt; _dapperRepo;
        private readonly IRepository&lt;InvCkdStockPart, long&gt; _repo;
        private readonly IInvCkdStockPartExcelExporter _calendarListExcelExporter;
        public InvCkdStockPartAppService(IRepository&lt;InvCkdStockPart,long&gt; repo, 
                                         IDapperRepository&lt;InvCkdStockPart,long&gt; dapperRepo,
                                        IInvCkdStockPartExcelExporter calendarListExcelExporter
            )
        {
            _repo = repo;
            _dapperRepo = dapperRepo;
            _calendarListExcelExporter = calendarListExcelExporter;
        }
        [AbpAuthorize(AppPermissions.Pages_Inventory_CKD_StockPart_CreateEdit)]
        public async Task CreateOrEdit(CreateOrEditInvCkdStockPartDto input)
        {
            if (input.Id == null) await Create(input);
            else await Update(input);
        }
        //CREATE
        private async Task Create(CreateOrEditInvCkdStockPartDto input)
        {          
            var mainObj = ObjectMapper.Map&lt;InvCkdStockPart&gt;(input);
            await CurrentUnitOfWork.GetDbContext&lt;vovinaDbContext&gt;().AddAsync(mainObj);
        }
        // EDIT
        private async Task Update(CreateOrEditInvCkdStockPartDto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[AbpAuthorize(AppPermissions.Pages_Inventory_CKD_StockPart_Delete)]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Task&lt;PagedResultDto&lt;InvCkdStockPartDto&gt;&gt; GetAll(GetInvCkdStockPartInput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InvCkdStockPartDto
                        {
							Id = o.Id,
							PartNo = o.PartNo,
							PartNoNormalized = o.PartNoNormalized,
							PartName = o.PartName,
							PartNoNormalizedS4 = o.PartNoNormalizedS4,
							ColorSfx = o.ColorSfx,
							PartListId = o.PartListId,
							MaterialId = o.MaterialId,
							Qty = o.Qty,
							WorkingDate = o.WorkingDate,
							PeriodId = o.PeriodId,
							LastCalDatetime = o.LastCalDatetime,
							IsActive = o.IsActive,
                        };
            var totalCount = await filtered.CountAsync();
			var paged = system.PageBy(input);
            return new PagedResultDto&lt;InvCkdStockPartDto&gt;(
                totalCount,
                 await paged.ToListAsync()
            );
        }
        public async Task&lt;FileDto&gt; GetStockPartToExcel(InvCkdStockPartExportInput input)
        {
            var query = from o in _repo.GetAll()
                        select new InvCkdStockPartDto
                        {
							Id = o.Id,
							PartNo = o.PartNo,
							PartNoNormalized = o.PartNoNormalized,
							PartName = o.PartName,
							PartNoNormalizedS4 = o.PartNoNormalizedS4,
							ColorSfx = o.ColorSfx,
							PartListId = o.PartListId,
							MaterialId = o.MaterialId,
							Qty = o.Qty,
							WorkingDate = o.WorkingDate,
							PeriodId = o.PeriodId,
							LastCalDatetime = o.LastCalDatetime,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_dapperRepo.ExecuteAsync(InvCkdStockPartConsts.SP_MST_WPT_CALENDAR_GENERATE);
       // }
    }
}</v>
      </c>
      <c r="N68" s="58" t="str">
        <f>A.Backend!U7</f>
        <v xml:space="preserve">  configuration.CreateMap&lt;InvCkdStockPartDto, InvCkdStockPart&gt;();
  configuration.CreateMap&lt;InvCkdStockPart, InvCkdStockPartDto&gt;();
  configuration.CreateMap&lt;CreateOrEditInvCkdStockPartDto, InvCkdStockPart&gt;();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stockpart</v>
      </c>
      <c r="C73" s="66" t="str">
        <f>"create folder " &amp;B73</f>
        <v>create folder stockpart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stockpart.component.ts</v>
      </c>
      <c r="D74" s="28" t="str">
        <f>B.Frontend!I14</f>
        <v>stockpart.component.html</v>
      </c>
      <c r="E74" s="28" t="str">
        <f>B.Frontend!J14</f>
        <v>stockpart.component.less</v>
      </c>
      <c r="F74" s="28" t="str">
        <f>B.Frontend!K14</f>
        <v>create-or-edit-stockpart-modal.component.html</v>
      </c>
      <c r="G74" s="28" t="str">
        <f>B.Frontend!L14</f>
        <v>create-or-edit-stockpart-modal.component.ts</v>
      </c>
      <c r="H74" s="28" t="str">
        <f>B.Frontend!M14</f>
        <v>create-or-edit-stockpart-modal.component.less</v>
      </c>
      <c r="I74" s="28" t="str">
        <f>B.Frontend!N14</f>
        <v>stockpart.module.ts</v>
      </c>
      <c r="J74" s="28" t="str">
        <f>B.Frontend!O14</f>
        <v>stockpart-routing.module.ts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InvCkdStockPartDto, InvCkdStockPartServiceProxy } from '@shared/service-proxies/service-proxies';
import { finalize } from 'rxjs/internal/operators/finalize';
import { CreateOrEditStockPartModalComponent } from './create-or-edit-stockpart-modal.component';
import { DatePipe } from '@angular/common';
import { FileDownloadService } from '@shared/utils/file-download.service';
import ceil from 'lodash-es/ceil';
import { Paginator } from 'primeng/paginator';
@Component({
    templateUrl: './stockpart.component.html',
    styleUrls: ['./stockpart.component.less'],
})
export class StockPartComponent extends AppComponentBase implements OnInit {
    @ViewChild('createOrEditModalStockPart', { static: true }) createOrEditModalStockPart:| CreateOrEditStockPartModalComponent|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InvCkdStockPartDto = new InvCkdStockPartDto();
    saveSelectedRow: InvCkdStockPartDto = new InvCkdStockPartDto();
    datas: InvCkdStockPartDto = new InvCkdStockPartDto();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materialId
	qty
	workingDate
	periodId
	lastCalDatetime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InvCkdStockPartServiceProxy,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this.materialId,
			this.qty,
			this.workingDate,
			this.periodId,
			this.lastCalDatetime,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this.materialId = '',
		this.qty = '',
		this.workingDate = '',
		this.periodId = '',
		this.lastCalDatetime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this.materialId,
			this.qty,
			this.workingDate,
			this.periodId,
			this.lastCalDatetime,
			this.isActive,
			'',
            this.paginationParams.skipCount,
            this.paginationParams.pageSize
        );
    }
    onChangeRowSelection(params: { api: { getSelectedRows: () =&gt; InvCkdStockPartDto[] } }) {
        this.saveSelectedRow = params.api.getSelectedRows()[0] ?? new InvCkdStockPartDto();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InvCkdStockPartDto):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this._service.getStockPartToExcel(
			this.partNo,
			this.partNoNormalized,
			this.partName,
			this.partNoNormalizedS4,
			this.colorSfx,
			this.partListId,
			this.materialId,
			this.qty,
			this.workingDate,
			this.periodId,
			this.lastCalDatetime,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Stock (General Warehouse)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&lt;create-or-edit-stockpart-modal
    #createOrEditModalStockPart
    (modalSave)="callBackDataGrid(dataParams)"
    (modalClose)="onChangeRowSelection(dataParams)"
&gt;
&lt;/create-or-edit-stockpart-modal&gt;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#createOrEditModalStockPart="bs-modal"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StockPart')}}&lt;/h3&gt;
                    &lt;h3 *ngIf="!rowdata.id"&gt;{{('Create New StockPart')}}&lt;/h3&gt;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CreateOrEditInvCkdStockPartDto, InvCkdStockPartServiceProxy } from '@shared/service-proxies/service-proxies';
import { BsDatepickerDirective } from 'ngx-bootstrap/datepicker';
@Component({
    selector: 'create-or-edit-stockpart-modal',
    templateUrl: './create-or-edit-stockpart-modal.component.html',
    styleUrls: ['./create-or-edit-stockpart-modal.component.less']
    })
export class CreateOrEditStockPartModalComponent extends AppComponentBase {
    @ViewChild('createOrEditModalStockPart',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CreateOrEditInvCkdStockPartDto = new CreateOrEditInvCkdStockPartDto();
    active: boolean = false;
    saving: boolean = false;
    _isActive: boolean;
    constructor(
        injector: Injector,
        private _mstwptStockPartService: InvCkdStockPartServiceProxy,
    ) 
    {
        super(injector);
    }
    show(rowdata?: CreateOrEditInvCkdStockPartDto): void {
        if (!rowdata) this.rowdata = new CreateOrEditInvCkdStockPartDto();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StockPartRoutingModule } from './stockpart-routing.module';
import { StockPartComponent } from './stockpart.component';
import { CreateOrEditStockPartModalComponent } from './create-or-edit-stockpart-modal.component';
@NgModule({
    declarations: [
       StockPartComponent, 
        CreateOrEditStockPartModalComponent
    ],
    imports: [
        AppSharedModule, StockPartRoutingModule]
})
export class StockPartModule {}</v>
      </c>
      <c r="J75" s="46" t="str">
        <f>B.Frontend!O10</f>
        <v>import {NgModule} from '@angular/core';
import {RouterModule, Routes} from '@angular/router';
import { StockPartComponent } from './stockpart.component';
const routes: Routes = [{
    path: '',
    component: StockPartComponent,
    pathMatch: 'full'
}];
@NgModule({
    imports: [RouterModule.forChild(routes)],
    exports: [RouterModule],
})
export class StockPartRoutingModule {}</v>
      </c>
      <c r="K75" s="46" t="str">
        <f>B.Frontend!P10</f>
        <v xml:space="preserve"> new AppMenuItem("StockPart", "Pages.Inventory.CKD.StockPart", "flaticon-book",   "/app/main/inventory/ckd/stockpart"),</v>
      </c>
      <c r="L75" s="47" t="str">
        <f>B.Frontend!Q10</f>
        <v>{
    path: 'inventory/ckd/stockpart',
    loadChildren: () =&gt; import('./inventory/ckd/stockpart/stockpart.module').then(m =&gt; m.StockPartModule),
    data: { permission: 'Pages.Inventory.CKD.StockPart' }
},</v>
      </c>
      <c r="M75" s="45" t="str">
        <f>B.Frontend!R10</f>
        <v>ApiServiceProxies.InvCkdStockPartServiceProxy,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2"/>
  <sheetViews>
    <sheetView workbookViewId="0">
      <pane xSplit="1" topLeftCell="B1" activePane="topRight" state="frozen"/>
      <selection pane="topRight" activeCell="A9" sqref="A9:A20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366</v>
      </c>
      <c r="C3" s="9" t="s">
        <v>41</v>
      </c>
      <c r="D3" s="9" t="s">
        <v>42</v>
      </c>
      <c r="E3" s="9" t="s">
        <v>37</v>
      </c>
      <c r="F3" s="10" t="str">
        <f>"J"&amp;COUNTA($A:$A)</f>
        <v>J20</v>
      </c>
      <c r="G3" s="4" t="s">
        <v>54</v>
      </c>
      <c r="H3" s="9" t="str">
        <f>"I"&amp;COUNTA($A:$A)</f>
        <v>I20</v>
      </c>
      <c r="I3" s="9" t="str">
        <f>REPT(CHAR(9),2)&amp;"[Required]"&amp;"
"</f>
        <v xml:space="preserve">		[Required]
</v>
      </c>
      <c r="J3" s="10" t="str">
        <f>"L"&amp;COUNTA($A:$A)</f>
        <v>L20</v>
      </c>
      <c r="K3" s="5" t="s">
        <v>53</v>
      </c>
      <c r="L3" s="10" t="str">
        <f>"M"&amp;COUNTA($A:$A)</f>
        <v>M20</v>
      </c>
      <c r="M3" s="10" t="str">
        <f>"N"&amp;COUNTA($A:$A)</f>
        <v>N20</v>
      </c>
      <c r="N3" s="10" t="str">
        <f>"O"&amp;COUNTA($A:$A)</f>
        <v>O20</v>
      </c>
      <c r="O3" s="10" t="str">
        <f>"P"&amp;COUNTA($A:$A)</f>
        <v>P20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InvCkdStockPartExportInput{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T20</v>
      </c>
      <c r="V3" s="10" t="str">
        <f>"V"&amp;COUNTA($A:$A)</f>
        <v>V20</v>
      </c>
      <c r="W3" s="9" t="str">
        <f>"W"&amp;COUNTA($A:$A)</f>
        <v>W20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367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InvCkdStockPart: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InvCkdStockPartConsts	
	{
</v>
      </c>
      <c r="F6" s="10" t="str">
        <f>REPT(CHAR(9),1)&amp;"public class "&amp;B3&amp;"Dto"&amp;K3&amp;REPT(CHAR(9),1)&amp;"
"&amp;REPT(CHAR(9),1)&amp;C3</f>
        <v xml:space="preserve">	public class InvCkdStockPartDto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CreateOrEditInvCkdStockPartDto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GetInvCkdStockPartInput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InvCkdStockPart</v>
      </c>
      <c r="C7" s="10" t="str">
        <f>REPT(CHAR(9),1)&amp;"[Table("""&amp;B7&amp;""")]"&amp;"
"</f>
        <v xml:space="preserve">	[Table("InvCkdStockPart")]
</v>
      </c>
      <c r="D7" s="10"/>
      <c r="E7" s="10"/>
      <c r="F7" s="10"/>
      <c r="G7" s="10"/>
      <c r="H7" s="10"/>
      <c r="I7" s="10"/>
      <c r="J7" t="str">
        <f ca="1">SUBSTITUTE(SUBSTITUTE((B1&amp;C6&amp;C7&amp;K22&amp;D6&amp;I22&amp;E3&amp;J22&amp;""&amp;REPT(CHAR(9),1)&amp;D3&amp;D3),"WorkingPattern",$Q$3),"Master",$B$4)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[Table("InvCkdStockPart")]
	[Index(nameof(PartNo), Name="IX_InvCkdStockPart_PartNo")]
	[Index(nameof(PartListId), Name="IX_InvCkdStockPart_PartListId")]
	[Index(nameof(MaterialId), Name="IX_InvCkdStockPart_MaterialId")]
	[Index(nameof(WorkingDate), Name="IX_InvCkdStockPart_WorkingDate")]
	[Index(nameof(PeriodId), Name="IX_InvCkdStockPart_PeriodId")]
	public class InvCkdStockPart: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[Column(TypeName="datetime2(7)")]
		public virtual DateTime? LastCalDatetime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DbSet&lt;InvCkdStockPart&gt; InvCkdStockParts { get; set; }</v>
      </c>
      <c r="L7" t="str">
        <f ca="1">SUBSTITUTE(SUBSTITUTE((C6&amp;E6&amp;I22&amp;"
"&amp;REPT(CHAR(9),2)&amp;"// Define Store Name: Format SP_ + &lt;Store Name&gt; = &lt;Store Name&gt;
"&amp;E3&amp;REPT(CHAR(9),1)&amp;D3&amp;D3),"WorkingPattern",$Q$3),"Master",$B$4)</f>
        <v xml:space="preserve">namespace prod.Inventory.CKD
{
	public class InvCkdStockPartConsts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// Define Store Name: Format SP_ + &lt;Store Name&gt; = &lt;Store Name&gt;
	}
}
</v>
      </c>
      <c r="M7" t="str">
        <f ca="1">SUBSTITUTE(SUBSTITUTE((C1&amp;"namespace "&amp;B6&amp;".Dto"&amp;E3&amp;C3&amp;F6&amp;M22&amp;E3&amp;REPT(CHAR(9),1)&amp;D3&amp;G6&amp;N22&amp;REPT(CHAR(9),1)&amp;D3&amp;H6&amp;O22&amp;"
"&amp;REPT(CHAR(9),1)&amp;D3&amp;D3),"WorkingPattern",$Q$3),"Master",$B$4)</f>
        <v xml:space="preserve">using Abp.Application.Services.Dto;
using System;
using System.ComponentModel.DataAnnotations;
namespace prod.Inventory.CKD.Dto
{
	public class InvCkdStockPartDto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public virtual string IsActive { get; set; }
	}
	public class CreateOrEditInvCkdStockPartDto : EntityDto&lt;long?&gt;	
	{
		[StringLength(InvCkdStockPartConsts.MaxPartNoLength)]
		public virtual string PartNo { get; set; }
		[StringLength(InvCkdStockPartConsts.MaxPartNoNormalizedLength)]
		public virtual string PartNoNormalized { get; set; }
		[StringLength(InvCkdStockPartConsts.MaxPartNameLength)]
		public virtual string PartName { get; set; }
		[StringLength(InvCkdStockPartConsts.MaxPartNoNormalizedS4Length)]
		public virtual string PartNoNormalizedS4 { get; set; }
		[StringLength(InvCkdStockPartConsts.MaxColorSfxLength)]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[StringLength(InvCkdStockPartConsts.MaxIsActiveLength)]
		public virtual string IsActive { get; set; }
	}
	public class GetInvCkdStockPartInput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perInvCkdStockPart = PARENTS.CreateChildPermission(AppPermissions.Pages_Inventory_CKD_StockPart, L( "InventoryCKDStockPart"), multiTenancySides: MultiTenancySides.Tenant);
		perInvCkdStockPart.CreateChildPermission(AppPermissions.Pages_Inventory_CKD_StockPart_CreateEdit, L( "InventoryCKDStockPartCreateEdit"), multiTenancySides: MultiTenancySides.Tenant);
		perInvCkdStockPart.CreateChildPermission(AppPermissions.Pages_Inventory_CKD_StockPart_Delete, L( "InventoryCKDStockPartDelete"),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Pages_Inventory_CKD_StockPart = "Pages.Inventory.CKD.StockPart";
		public const string Pages_Inventory_CKD_StockPart_CreateEdit = "Pages.Inventory.CKD.StockPart.CreateEdit";
		public const string Pages_Inventory_CKD_StockPart_Delete = "Pages.Inventory.CKD.StockPart.Delete";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IInvCkdStockPartAppService : IApplicationService
	{
		Task&lt;PagedResultDto&lt;InvCkdStockPartDto&gt;&gt; GetAll(GetInvCkdStockPartInput input);
		Task CreateOrEdit(CreateOrEditInvCkdStockPartDto input);
		Task Delete(EntityDto input);
	}
}
</v>
      </c>
      <c r="Q7" t="str">
        <f ca="1">SUBSTITUTE(SUBSTITUTE(SUBSTITUTE(SUBSTITUTE(SUBSTITUTE(SUBSTITUTE(E1,"MstWptCalendar",$B$3),"&lt;PROPERTIES&gt;",P22),"Calendar",$B$5),"WorkingPattern",$Q$3),"Master",$B$4),"&lt;PARAMS_SEARCH&gt;",$W$22)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[AbpAuthorize(AppPermissions.Pages_Inventory_CKD_StockPart)]
    public class InvCkdStockPartAppService : vovinaAppServiceBase, IInvCkdStockPartAppService
    {
        private readonly IDapperRepository&lt;InvCkdStockPart, long&gt; _dapperRepo;
        private readonly IRepository&lt;InvCkdStockPart, long&gt; _repo;
        private readonly IInvCkdStockPartExcelExporter _calendarListExcelExporter;
        public InvCkdStockPartAppService(IRepository&lt;InvCkdStockPart,long&gt; repo, 
                                         IDapperRepository&lt;InvCkdStockPart,long&gt; dapperRepo,
                                        IInvCkdStockPartExcelExporter calendarListExcelExporter
            )
        {
            _repo = repo;
            _dapperRepo = dapperRepo;
            _calendarListExcelExporter = calendarListExcelExporter;
        }
        [AbpAuthorize(AppPermissions.Pages_Inventory_CKD_StockPart_CreateEdit)]
        public async Task CreateOrEdit(CreateOrEditInvCkdStockPartDto input)
        {
            if (input.Id == null) await Create(input);
            else await Update(input);
        }
        //CREATE
        private async Task Create(CreateOrEditInvCkdStockPartDto input)
        {          
            var mainObj = ObjectMapper.Map&lt;InvCkdStockPart&gt;(input);
            await CurrentUnitOfWork.GetDbContext&lt;vovinaDbContext&gt;().AddAsync(mainObj);
        }
        // EDIT
        private async Task Update(CreateOrEditInvCkdStockPartDto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[AbpAuthorize(AppPermissions.Pages_Inventory_CKD_StockPart_Delete)]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Task&lt;PagedResultDto&lt;InvCkdStockPartDto&gt;&gt; GetAll(GetInvCkdStockPartInput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InvCkdStockPartDto
                        {
							Id = o.Id,
							PartNo = o.PartNo,
							PartNoNormalized = o.PartNoNormalized,
							PartName = o.PartName,
							PartNoNormalizedS4 = o.PartNoNormalizedS4,
							ColorSfx = o.ColorSfx,
							PartListId = o.PartListId,
							MaterialId = o.MaterialId,
							Qty = o.Qty,
							WorkingDate = o.WorkingDate,
							PeriodId = o.PeriodId,
							LastCalDatetime = o.LastCalDatetime,
							IsActive = o.IsActive,
                        };
            var totalCount = await filtered.CountAsync();
			var paged = system.PageBy(input);
            return new PagedResultDto&lt;InvCkdStockPartDto&gt;(
                totalCount,
                 await paged.ToListAsync()
            );
        }
        public async Task&lt;FileDto&gt; GetStockPartToExcel(InvCkdStockPartExportInput input)
        {
            var query = from o in _repo.GetAll()
                        select new InvCkdStockPartDto
                        {
							Id = o.Id,
							PartNo = o.PartNo,
							PartNoNormalized = o.PartNoNormalized,
							PartName = o.PartName,
							PartNoNormalizedS4 = o.PartNoNormalizedS4,
							ColorSfx = o.ColorSfx,
							PartListId = o.PartListId,
							MaterialId = o.MaterialId,
							Qty = o.Qty,
							WorkingDate = o.WorkingDate,
							PeriodId = o.PeriodId,
							LastCalDatetime = o.LastCalDatetime,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_dapperRepo.ExecuteAsync(InvCkdStockPartConsts.SP_MST_WPT_CALENDAR_GENERATE);
       // }
    }
}</v>
      </c>
      <c r="R7" t="str">
        <f ca="1">SUBSTITUTE(SUBSTITUTE((C1&amp;"namespace "&amp;B6&amp;".Dto"&amp;E3&amp;C3&amp;R3&amp;M22&amp;E3&amp;REPT(CHAR(9),1)&amp;D3&amp;D3),"WorkingPattern",$Q$3),"Master",$B$4)</f>
        <v xml:space="preserve">using Abp.Application.Services.Dto;
using System;
using System.ComponentModel.DataAnnotations;
namespace prod.Inventory.CKD.Dto
{
	public class InvCkdStockPartExportInput{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IInvCkdStockPartExcelExporter : IApplicationService
	{
		FileDto ExportToFile(List&lt;InvCkdStockPartDto&gt; invckdstockpart);
	}
}
</v>
      </c>
      <c r="T7" s="26" t="str">
        <f ca="1">SUBSTITUTE(SUBSTITUTE(SUBSTITUTE(SUBSTITUTE(SUBSTITUTE(SUBSTITUTE(SUBSTITUTE(T1,"MstWptCalendar",$B$3),"&lt;PROPERTIES1&gt;",V22),"&lt;PROPERTIES&gt;",T22),"Calendar",$B$5),"calendar",LOWER(B5)),"WorkingPattern",$Q$3),"Master",$B$4)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InvCkdStockPartExcelExporter : NpoiExcelExporterBase, IInvCkdStockPartExcelExporter
    {
        public InvCkdStockPartExcelExporter(ITempFileCacheManager tempFileCacheManager) : base(tempFileCacheManager) { }
        public FileDto ExportToFile(List&lt;InvCkdStockPartDto&gt; stockpart)
        {
            return CreateExcelPackage(
				"InventoryCKDStockPart.xlsx",
				excelPackage =&gt;
				 {
					var sheet = excelPackage.CreateSheet("StockPart");
					AddHeader(
								sheet,
								("PartNo"),
								("PartNoNormalized"),
								("PartName"),
								("PartNoNormalizedS4"),
								("ColorSfx"),
								("PartListId"),
								("MaterialId"),
								("Qty"),
								("WorkingDate"),
								("PeriodId"),
								("LastCalDatetime"),
								("IsActive"),
							   );
					AddObjects(
						 sheet, 1, stockpart,                                       
								_ =&gt; _.PartNo,
								_ =&gt; _.PartNoNormalized,
								_ =&gt; _.PartName,
								_ =&gt; _.PartNoNormalizedS4,
								_ =&gt; _.ColorSfx,
								_ =&gt; _.PartListId,
								_ =&gt; _.MaterialId,
								_ =&gt; _.Qty,
								_ =&gt; _.WorkingDate,
								_ =&gt; _.PeriodId,
								_ =&gt; _.LastCalDatetime,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configuration.CreateMap&lt;InvCkdStockPartDto, InvCkdStockPart&gt;();
  configuration.CreateMap&lt;InvCkdStockPart, InvCkdStockPartDto&gt;();
  configuration.CreateMap&lt;CreateOrEditInvCkdStockPartDto, InvCkdStockPart&gt;();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358</v>
      </c>
      <c r="B9" t="s">
        <v>369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12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12;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 t="s">
        <v>374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[Index(nameof(PartNo), Name="IX_InvCkdStockPart_PartNo")]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[StringLength(InvCkdStockPartConsts.MaxPartNoLength)]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368</v>
      </c>
      <c r="B10" t="s">
        <v>369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12</v>
      </c>
      <c r="H10" t="str">
        <f>+VLOOKUP(E10,'Data Type Mapping'!A:B,2,)</f>
        <v>string</v>
      </c>
      <c r="I10" t="str">
        <f t="shared" si="3"/>
        <v xml:space="preserve">		public const int MaxPartNoNormalizedLength = 12;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[StringLength(InvCkdStockPartConsts.MaxPartNoNormalizedLength)]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25">
      <c r="A11" t="s">
        <v>359</v>
      </c>
      <c r="B11" t="s">
        <v>377</v>
      </c>
      <c r="C11" t="s">
        <v>1</v>
      </c>
      <c r="D11" t="str">
        <f t="shared" ref="D11:D16" si="16">SUBSTITUTE(PROPER(A11),"_","")</f>
        <v>PartName</v>
      </c>
      <c r="E11" t="str">
        <f t="shared" ref="E11:E16" si="17">IFERROR(LEFT(B11, FIND("(",B11)-1),B11)</f>
        <v>varchar</v>
      </c>
      <c r="F11" s="6"/>
      <c r="G11" t="str">
        <f t="shared" ref="G11:G16" si="18">IFERROR(MID(B11,FIND("(",B11) +1, FIND(")",B11) - FIND("(",B11) - 1),"")</f>
        <v>300</v>
      </c>
      <c r="H11" t="str">
        <f>+VLOOKUP(E11,'Data Type Mapping'!A:B,2,)</f>
        <v>string</v>
      </c>
      <c r="I11" t="str">
        <f t="shared" ref="I11:I16" si="19">IF(H11="string",REPT(CHAR(9),2)&amp;"public const int Max"&amp;D11&amp;"Length = "&amp;G11&amp;";"&amp;$E$3,"" )</f>
        <v xml:space="preserve">		public const int MaxPartNameLength = 300;
</v>
      </c>
      <c r="J11" t="str">
        <f t="shared" ref="J11:J16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6" si="21">IF(K11="","",REPT(CHAR(9),1)&amp;"[Index(nameof("&amp;IF(D11="","",""&amp;D11)&amp;")"&amp;", Name="&amp;"""IX_"&amp;$B$7&amp;"_"&amp;D11&amp;""")]")</f>
        <v/>
      </c>
      <c r="M11" t="str">
        <f t="shared" ref="M11:M16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6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[StringLength(InvCkdStockPartConsts.MaxPartNameLength)]
		public virtual string PartName { get; set; }
</v>
      </c>
      <c r="O11" t="str">
        <f t="shared" ref="O11:O16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6" si="25">REPT(CHAR(9),7)&amp;D11&amp;" = o." &amp;D11 &amp;","</f>
        <v xml:space="preserve">							PartName = o.PartName,</v>
      </c>
      <c r="T11" s="64" t="str">
        <f t="shared" ref="T11:T16" si="26">REPT(CHAR(9),8)&amp;"("""&amp;D11&amp;"""),"</f>
        <v xml:space="preserve">								("PartName"),</v>
      </c>
      <c r="V11" s="65" t="str">
        <f t="shared" ref="V11:V16" si="27">REPT(CHAR(9),8)&amp;"_ =&gt; _."&amp;D11&amp;","</f>
        <v xml:space="preserve">								_ =&gt; _.PartName,</v>
      </c>
      <c r="W11" s="64" t="str">
        <f t="shared" ref="W11:W16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20" si="29">IF(E11="VARCHAR","Char",(IF(E11="DATE","Date","Number")))</f>
        <v>Char</v>
      </c>
      <c r="Y11" t="str">
        <f t="shared" ref="Y11:Y20" si="30">IF(X11="Char","Left",IF(X11="Date","Center","Right"))</f>
        <v>Left</v>
      </c>
      <c r="Z11" t="str">
        <f t="shared" ref="Z11:Z20" si="31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351</v>
      </c>
      <c r="C12" t="s">
        <v>1</v>
      </c>
      <c r="D12" t="str">
        <f t="shared" si="16"/>
        <v>PartNoNormalizedS4</v>
      </c>
      <c r="E12" t="str">
        <f t="shared" si="17"/>
        <v>varchar</v>
      </c>
      <c r="F12" s="6"/>
      <c r="G12" t="str">
        <f t="shared" si="18"/>
        <v>10</v>
      </c>
      <c r="H12" t="str">
        <f>+VLOOKUP(E12,'Data Type Mapping'!A:B,2,)</f>
        <v>string</v>
      </c>
      <c r="I12" t="str">
        <f t="shared" si="19"/>
        <v xml:space="preserve">		public const int MaxPartNoNormalizedS4Length = 10;
</v>
      </c>
      <c r="J12" t="str">
        <f t="shared" si="20"/>
        <v xml:space="preserve">		[StringLength(MaxPartNoNormalizedS4Length)]
		public virtual string PartNoNormalizedS4 { get; set; }
</v>
      </c>
      <c r="K12" s="6"/>
      <c r="L12" t="str">
        <f t="shared" si="21"/>
        <v/>
      </c>
      <c r="M12" t="str">
        <f t="shared" si="22"/>
        <v xml:space="preserve">		public virtual string PartNoNormalizedS4 { get; set; }
</v>
      </c>
      <c r="N12" t="str">
        <f t="shared" si="23"/>
        <v xml:space="preserve">		[StringLength(InvCkdStockPartConsts.MaxPartNoNormalizedS4Length)]
		public virtual string PartNoNormalizedS4 { get; set; }
</v>
      </c>
      <c r="O12" t="str">
        <f t="shared" si="24"/>
        <v xml:space="preserve">		public virtual string PartNoNormalizedS4 { get; set; }
</v>
      </c>
      <c r="P12" t="str">
        <f t="shared" si="25"/>
        <v xml:space="preserve">							PartNoNormalizedS4 = o.PartNoNormalizedS4,</v>
      </c>
      <c r="T12" s="64" t="str">
        <f t="shared" si="26"/>
        <v xml:space="preserve">								("PartNoNormalizedS4"),</v>
      </c>
      <c r="V12" s="65" t="str">
        <f t="shared" si="27"/>
        <v xml:space="preserve">								_ =&gt; _.PartNoNormalizedS4,</v>
      </c>
      <c r="W12" s="64" t="str">
        <f t="shared" si="28"/>
        <v xml:space="preserve">				.WhereIf(!string.IsNullOrWhiteSpace(input.PartNoNormalizedS4), e =&gt; e.PartNoNormalizedS4.Contains(input.PartNoNormalizedS4))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25">
      <c r="A13" t="s">
        <v>360</v>
      </c>
      <c r="B13" t="s">
        <v>373</v>
      </c>
      <c r="C13" t="s">
        <v>1</v>
      </c>
      <c r="D13" t="str">
        <f t="shared" si="16"/>
        <v>ColorSfx</v>
      </c>
      <c r="E13" t="str">
        <f t="shared" si="17"/>
        <v>varchar</v>
      </c>
      <c r="F13" s="6"/>
      <c r="G13" t="str">
        <f t="shared" si="18"/>
        <v>2</v>
      </c>
      <c r="H13" t="str">
        <f>+VLOOKUP(E13,'Data Type Mapping'!A:B,2,)</f>
        <v>string</v>
      </c>
      <c r="I13" t="str">
        <f t="shared" si="19"/>
        <v xml:space="preserve">		public const int MaxColorSfxLength = 2;
</v>
      </c>
      <c r="J13" t="str">
        <f t="shared" si="20"/>
        <v xml:space="preserve">		[StringLength(MaxColorSfxLength)]
		public virtual string ColorSfx { get; set; }
</v>
      </c>
      <c r="K13" s="6"/>
      <c r="L13" t="str">
        <f t="shared" si="21"/>
        <v/>
      </c>
      <c r="M13" t="str">
        <f t="shared" si="22"/>
        <v xml:space="preserve">		public virtual string ColorSfx { get; set; }
</v>
      </c>
      <c r="N13" t="str">
        <f t="shared" si="23"/>
        <v xml:space="preserve">		[StringLength(InvCkdStockPartConsts.MaxColorSfxLength)]
		public virtual string ColorSfx { get; set; }
</v>
      </c>
      <c r="O13" t="str">
        <f t="shared" si="24"/>
        <v xml:space="preserve">		public virtual string ColorSfx { get; set; }
</v>
      </c>
      <c r="P13" t="str">
        <f t="shared" si="25"/>
        <v xml:space="preserve">							ColorSfx = o.ColorSfx,</v>
      </c>
      <c r="T13" s="64" t="str">
        <f t="shared" si="26"/>
        <v xml:space="preserve">								("ColorSfx"),</v>
      </c>
      <c r="V13" s="65" t="str">
        <f t="shared" si="27"/>
        <v xml:space="preserve">								_ =&gt; _.ColorSfx,</v>
      </c>
      <c r="W13" s="64" t="str">
        <f t="shared" si="28"/>
        <v xml:space="preserve">				.WhereIf(!string.IsNullOrWhiteSpace(input.ColorSfx), e =&gt; e.ColorSfx.Contains(input.ColorSfx))</v>
      </c>
      <c r="X13" t="str">
        <f t="shared" ref="X13" si="32">IF(E13="VARCHAR","Char",(IF(E13="DATE","Date","Number")))</f>
        <v>Char</v>
      </c>
      <c r="Y13" t="str">
        <f t="shared" ref="Y13" si="33">IF(X13="Char","Left",IF(X13="Date","Center","Right"))</f>
        <v>Left</v>
      </c>
      <c r="Z13" t="str">
        <f t="shared" ref="Z13" si="34">IF(X13="Char","",IF(X13="Date","DD/MM/YYYY",IF(H13="decimal?","#,###.####","#,###")))</f>
        <v/>
      </c>
    </row>
    <row r="14" spans="1:26" customFormat="1" ht="18.75" customHeight="1" x14ac:dyDescent="0.25">
      <c r="A14" t="s">
        <v>364</v>
      </c>
      <c r="B14" t="s">
        <v>361</v>
      </c>
      <c r="C14" t="s">
        <v>1</v>
      </c>
      <c r="D14" t="str">
        <f>SUBSTITUTE(PROPER(A14),"_","")</f>
        <v>PartListId</v>
      </c>
      <c r="E14" t="str">
        <f>IFERROR(LEFT(B14, FIND("(",B14)-1),B14)</f>
        <v>Bigint</v>
      </c>
      <c r="F14" s="6"/>
      <c r="G14" t="str">
        <f>IFERROR(MID(B14,FIND("(",B14) +1, FIND(")",B14) - FIND("(",B14) - 1),"")</f>
        <v/>
      </c>
      <c r="H14" t="str">
        <f>+VLOOKUP(E14,'Data Type Mapping'!A:B,2,)</f>
        <v>long?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long? PartListId { get; set; }
</v>
      </c>
      <c r="K14" s="6" t="s">
        <v>374</v>
      </c>
      <c r="L14" t="str">
        <f>IF(K14="","",REPT(CHAR(9),1)&amp;"[Index(nameof("&amp;IF(D14="","",""&amp;D14)&amp;")"&amp;", Name="&amp;"""IX_"&amp;$B$7&amp;"_"&amp;D14&amp;""")]")</f>
        <v xml:space="preserve">	[Index(nameof(PartListId), Name="IX_InvCkdStockPart_PartListId")]</v>
      </c>
      <c r="M14" t="str">
        <f>REPT(CHAR(9),2)&amp;"public virtual "&amp;IF(OR(H14="DateTime",H14="TimeSpan"),H14&amp;"?",H14)&amp;IF(C14="?","? "," ")&amp;D14&amp;" { get; set; }" &amp; "
"</f>
        <v xml:space="preserve">		public virtual long? PartListId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long? PartListId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PartListId = o.PartListId,</v>
      </c>
      <c r="T14" s="64" t="str">
        <f>REPT(CHAR(9),8)&amp;"("""&amp;D14&amp;"""),"</f>
        <v xml:space="preserve">								("PartListId"),</v>
      </c>
      <c r="V14" s="65" t="str">
        <f>REPT(CHAR(9),8)&amp;"_ =&gt; _."&amp;D14&amp;","</f>
        <v xml:space="preserve">								_ =&gt; _.PartListId,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  <c r="X14" t="str">
        <f>IF(E14="VARCHAR","Char",(IF(E14="DATE","Date","Number")))</f>
        <v>Number</v>
      </c>
      <c r="Y14" t="str">
        <f>IF(X14="Char","Left",IF(X14="Date","Center","Right"))</f>
        <v>Right</v>
      </c>
      <c r="Z14" t="str">
        <f>IF(X14="Char","",IF(X14="Date","DD/MM/YYYY",IF(H14="decimal?","#,###.####","#,###")))</f>
        <v>#,###</v>
      </c>
    </row>
    <row r="15" spans="1:26" customFormat="1" ht="18.75" customHeight="1" x14ac:dyDescent="0.25">
      <c r="A15" t="s">
        <v>363</v>
      </c>
      <c r="B15" t="s">
        <v>361</v>
      </c>
      <c r="C15" t="s">
        <v>1</v>
      </c>
      <c r="D15" t="str">
        <f>SUBSTITUTE(PROPER(A15),"_","")</f>
        <v>MaterialId</v>
      </c>
      <c r="E15" t="str">
        <f>IFERROR(LEFT(B15, FIND("(",B15)-1),B15)</f>
        <v>Bigint</v>
      </c>
      <c r="F15" s="6"/>
      <c r="G15" t="str">
        <f>IFERROR(MID(B15,FIND("(",B15) +1, FIND(")",B15) - FIND("(",B15) - 1),"")</f>
        <v/>
      </c>
      <c r="H15" t="str">
        <f>+VLOOKUP(E15,'Data Type Mapping'!A:B,2,)</f>
        <v>long?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MaterialId { get; set; }
</v>
      </c>
      <c r="K15" s="6" t="s">
        <v>374</v>
      </c>
      <c r="L15" t="str">
        <f>IF(K15="","",REPT(CHAR(9),1)&amp;"[Index(nameof("&amp;IF(D15="","",""&amp;D15)&amp;")"&amp;", Name="&amp;"""IX_"&amp;$B$7&amp;"_"&amp;D15&amp;""")]")</f>
        <v xml:space="preserve">	[Index(nameof(MaterialId), Name="IX_InvCkdStockPart_MaterialId")]</v>
      </c>
      <c r="M15" t="str">
        <f>REPT(CHAR(9),2)&amp;"public virtual "&amp;IF(OR(H15="DateTime",H15="TimeSpan"),H15&amp;"?",H15)&amp;IF(C15="?","? "," ")&amp;D15&amp;" { get; set; }" &amp; "
"</f>
        <v xml:space="preserve">		public virtual long? MaterialId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MaterialId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MaterialId = o.MaterialId,</v>
      </c>
      <c r="T15" s="64" t="str">
        <f>REPT(CHAR(9),8)&amp;"("""&amp;D15&amp;"""),"</f>
        <v xml:space="preserve">								("MaterialId"),</v>
      </c>
      <c r="V15" s="65" t="str">
        <f>REPT(CHAR(9),8)&amp;"_ =&gt; _."&amp;D15&amp;","</f>
        <v xml:space="preserve">								_ =&gt; _.MaterialId,</v>
      </c>
      <c r="W15" s="64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>IF(E15="VARCHAR","Char",(IF(E15="DATE","Date","Number")))</f>
        <v>Number</v>
      </c>
      <c r="Y15" t="str">
        <f>IF(X15="Char","Left",IF(X15="Date","Center","Right"))</f>
        <v>Right</v>
      </c>
      <c r="Z15" t="str">
        <f>IF(X15="Char","",IF(X15="Date","DD/MM/YYYY",IF(H15="decimal?","#,###.####","#,###")))</f>
        <v>#,###</v>
      </c>
    </row>
    <row r="16" spans="1:26" customFormat="1" ht="18.75" customHeight="1" x14ac:dyDescent="0.25">
      <c r="A16" t="s">
        <v>370</v>
      </c>
      <c r="B16" t="s">
        <v>365</v>
      </c>
      <c r="C16" t="s">
        <v>1</v>
      </c>
      <c r="D16" t="str">
        <f t="shared" si="16"/>
        <v>Qty</v>
      </c>
      <c r="E16" t="str">
        <f t="shared" si="17"/>
        <v>decimal</v>
      </c>
      <c r="F16" s="6"/>
      <c r="G16" t="str">
        <f t="shared" si="18"/>
        <v>6,4</v>
      </c>
      <c r="H16" t="str">
        <f>+VLOOKUP(E16,'Data Type Mapping'!A:B,2,)</f>
        <v>decimal?</v>
      </c>
      <c r="I16" t="str">
        <f t="shared" si="19"/>
        <v/>
      </c>
      <c r="J16" t="str">
        <f t="shared" si="20"/>
        <v xml:space="preserve">		public virtual decimal? Qty { get; set; }
</v>
      </c>
      <c r="K16" s="6"/>
      <c r="L16" t="str">
        <f t="shared" si="21"/>
        <v/>
      </c>
      <c r="M16" t="str">
        <f t="shared" si="22"/>
        <v xml:space="preserve">		public virtual decimal? Qty { get; set; }
</v>
      </c>
      <c r="N16" t="str">
        <f t="shared" si="23"/>
        <v xml:space="preserve">		public virtual decimal? Qty { get; set; }
</v>
      </c>
      <c r="O16" t="str">
        <f t="shared" si="24"/>
        <v/>
      </c>
      <c r="P16" t="str">
        <f t="shared" si="25"/>
        <v xml:space="preserve">							Qty = o.Qty,</v>
      </c>
      <c r="T16" s="64" t="str">
        <f t="shared" si="26"/>
        <v xml:space="preserve">								("Qty"),</v>
      </c>
      <c r="V16" s="65" t="str">
        <f t="shared" si="27"/>
        <v xml:space="preserve">								_ =&gt; _.Qty,</v>
      </c>
      <c r="W16" s="64" t="str">
        <f t="shared" si="28"/>
        <v/>
      </c>
      <c r="X16" t="str">
        <f t="shared" si="29"/>
        <v>Number</v>
      </c>
      <c r="Y16" t="str">
        <f t="shared" si="30"/>
        <v>Right</v>
      </c>
      <c r="Z16" t="str">
        <f t="shared" si="31"/>
        <v>#,###.####</v>
      </c>
    </row>
    <row r="17" spans="1:26" customFormat="1" ht="18.75" customHeight="1" x14ac:dyDescent="0.25">
      <c r="A17" t="s">
        <v>372</v>
      </c>
      <c r="B17" t="s">
        <v>2</v>
      </c>
      <c r="C17" t="s">
        <v>1</v>
      </c>
      <c r="D17" t="str">
        <f t="shared" ref="D17" si="35">SUBSTITUTE(PROPER(A17),"_","")</f>
        <v>WorkingDate</v>
      </c>
      <c r="E17" t="str">
        <f t="shared" ref="E17" si="36">IFERROR(LEFT(B17, FIND("(",B17)-1),B17)</f>
        <v>date</v>
      </c>
      <c r="F17" s="6"/>
      <c r="G17" t="str">
        <f t="shared" ref="G17" si="37">IFERROR(MID(B17,FIND("(",B17) +1, FIND(")",B17) - FIND("(",B17) - 1),"")</f>
        <v/>
      </c>
      <c r="H17" t="str">
        <f>+VLOOKUP(E17,'Data Type Mapping'!A:B,2,)</f>
        <v>DateTime?</v>
      </c>
      <c r="I17" t="str">
        <f t="shared" ref="I17" si="38">IF(H17="string",REPT(CHAR(9),2)&amp;"public const int Max"&amp;D17&amp;"Length = "&amp;G17&amp;";"&amp;$E$3,"" )</f>
        <v/>
      </c>
      <c r="J17" t="str">
        <f t="shared" ref="J17" si="39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DateTime? WorkingDate { get; set; }
</v>
      </c>
      <c r="K17" s="6" t="s">
        <v>374</v>
      </c>
      <c r="L17" t="str">
        <f t="shared" ref="L17" si="40">IF(K17="","",REPT(CHAR(9),1)&amp;"[Index(nameof("&amp;IF(D17="","",""&amp;D17)&amp;")"&amp;", Name="&amp;"""IX_"&amp;$B$7&amp;"_"&amp;D17&amp;""")]")</f>
        <v xml:space="preserve">	[Index(nameof(WorkingDate), Name="IX_InvCkdStockPart_WorkingDate")]</v>
      </c>
      <c r="M17" t="str">
        <f t="shared" ref="M17" si="41">REPT(CHAR(9),2)&amp;"public virtual "&amp;IF(OR(H17="DateTime",H17="TimeSpan"),H17&amp;"?",H17)&amp;IF(C17="?","? "," ")&amp;D17&amp;" { get; set; }" &amp; "
"</f>
        <v xml:space="preserve">		public virtual DateTime? WorkingDate { get; set; }
</v>
      </c>
      <c r="N17" t="str">
        <f t="shared" ref="N17" si="42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WorkingDate { get; set; }
</v>
      </c>
      <c r="O17" t="str">
        <f t="shared" ref="O17" si="43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44">REPT(CHAR(9),7)&amp;D17&amp;" = o." &amp;D17 &amp;","</f>
        <v xml:space="preserve">							WorkingDate = o.WorkingDate,</v>
      </c>
      <c r="T17" s="64" t="str">
        <f t="shared" ref="T17" si="45">REPT(CHAR(9),8)&amp;"("""&amp;D17&amp;"""),"</f>
        <v xml:space="preserve">								("WorkingDate"),</v>
      </c>
      <c r="V17" s="65" t="str">
        <f t="shared" ref="V17" si="46">REPT(CHAR(9),8)&amp;"_ =&gt; _."&amp;D17&amp;","</f>
        <v xml:space="preserve">								_ =&gt; _.WorkingDate,</v>
      </c>
      <c r="W17" s="64" t="str">
        <f t="shared" ref="W17" si="47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  <c r="X17" t="str">
        <f t="shared" si="29"/>
        <v>Date</v>
      </c>
      <c r="Y17" t="str">
        <f t="shared" si="30"/>
        <v>Center</v>
      </c>
      <c r="Z17" t="str">
        <f t="shared" si="31"/>
        <v>DD/MM/YYYY</v>
      </c>
    </row>
    <row r="18" spans="1:26" customFormat="1" ht="18.75" customHeight="1" x14ac:dyDescent="0.25">
      <c r="A18" t="s">
        <v>371</v>
      </c>
      <c r="B18" t="s">
        <v>361</v>
      </c>
      <c r="C18" t="s">
        <v>1</v>
      </c>
      <c r="D18" t="str">
        <f>SUBSTITUTE(PROPER(A18),"_","")</f>
        <v>PeriodId</v>
      </c>
      <c r="E18" t="str">
        <f>IFERROR(LEFT(B18, FIND("(",B18)-1),B18)</f>
        <v>Bigint</v>
      </c>
      <c r="F18" s="6"/>
      <c r="G18" t="str">
        <f>IFERROR(MID(B18,FIND("(",B18) +1, FIND(")",B18) - FIND("(",B18) - 1),"")</f>
        <v/>
      </c>
      <c r="H18" t="str">
        <f>+VLOOKUP(E18,'Data Type Mapping'!A:B,2,)</f>
        <v>long?</v>
      </c>
      <c r="I18" t="str">
        <f>IF(H18="string",REPT(CHAR(9),2)&amp;"public const int Max"&amp;D18&amp;"Length = "&amp;G18&amp;";"&amp;$E$3,"" )</f>
        <v/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long? PeriodId { get; set; }
</v>
      </c>
      <c r="K18" s="6" t="s">
        <v>374</v>
      </c>
      <c r="L18" t="str">
        <f>IF(K18="","",REPT(CHAR(9),1)&amp;"[Index(nameof("&amp;IF(D18="","",""&amp;D18)&amp;")"&amp;", Name="&amp;"""IX_"&amp;$B$7&amp;"_"&amp;D18&amp;""")]")</f>
        <v xml:space="preserve">	[Index(nameof(PeriodId), Name="IX_InvCkdStockPart_PeriodId")]</v>
      </c>
      <c r="M18" t="str">
        <f>REPT(CHAR(9),2)&amp;"public virtual "&amp;IF(OR(H18="DateTime",H18="TimeSpan"),H18&amp;"?",H18)&amp;IF(C18="?","? "," ")&amp;D18&amp;" { get; set; }" &amp; "
"</f>
        <v xml:space="preserve">		public virtual long? PeriodId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long? PeriodId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/>
      </c>
      <c r="P18" t="str">
        <f>REPT(CHAR(9),7)&amp;D18&amp;" = o." &amp;D18 &amp;","</f>
        <v xml:space="preserve">							PeriodId = o.PeriodId,</v>
      </c>
      <c r="T18" s="64" t="str">
        <f>REPT(CHAR(9),8)&amp;"("""&amp;D18&amp;"""),"</f>
        <v xml:space="preserve">								("PeriodId"),</v>
      </c>
      <c r="V18" s="65" t="str">
        <f>REPT(CHAR(9),8)&amp;"_ =&gt; _."&amp;D18&amp;","</f>
        <v xml:space="preserve">								_ =&gt; _.PeriodId,</v>
      </c>
      <c r="W18" s="64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  <c r="X18" t="str">
        <f>IF(E18="VARCHAR","Char",(IF(E18="DATE","Date","Number")))</f>
        <v>Number</v>
      </c>
      <c r="Y18" t="str">
        <f>IF(X18="Char","Left",IF(X18="Date","Center","Right"))</f>
        <v>Right</v>
      </c>
      <c r="Z18" t="str">
        <f>IF(X18="Char","",IF(X18="Date","DD/MM/YYYY",IF(H18="decimal?","#,###.####","#,###")))</f>
        <v>#,###</v>
      </c>
    </row>
    <row r="19" spans="1:26" customFormat="1" ht="18.75" customHeight="1" x14ac:dyDescent="0.25">
      <c r="A19" t="s">
        <v>378</v>
      </c>
      <c r="B19" t="s">
        <v>376</v>
      </c>
      <c r="C19" t="s">
        <v>1</v>
      </c>
      <c r="D19" t="str">
        <f t="shared" ref="D19" si="48">SUBSTITUTE(PROPER(A19),"_","")</f>
        <v>LastCalDatetime</v>
      </c>
      <c r="E19" t="str">
        <f t="shared" ref="E19" si="49">IFERROR(LEFT(B19, FIND("(",B19)-1),B19)</f>
        <v>datetime2</v>
      </c>
      <c r="F19" s="6" t="s">
        <v>376</v>
      </c>
      <c r="G19" t="str">
        <f t="shared" ref="G19" si="50">IFERROR(MID(B19,FIND("(",B19) +1, FIND(")",B19) - FIND("(",B19) - 1),"")</f>
        <v>7</v>
      </c>
      <c r="H19" t="str">
        <f>+VLOOKUP(E19,'Data Type Mapping'!A:B,2,)</f>
        <v>DateTime?</v>
      </c>
      <c r="I19" t="str">
        <f t="shared" ref="I19" si="51">IF(H19="string",REPT(CHAR(9),2)&amp;"public const int Max"&amp;D19&amp;"Length = "&amp;G19&amp;";"&amp;$E$3,"" )</f>
        <v/>
      </c>
      <c r="J19" t="str">
        <f t="shared" ref="J19" si="52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[Column(TypeName="datetime2(7)")]
		public virtual DateTime? LastCalDatetime { get; set; }
</v>
      </c>
      <c r="K19" s="6"/>
      <c r="L19" t="str">
        <f t="shared" ref="L19" si="53">IF(K19="","",REPT(CHAR(9),1)&amp;"[Index(nameof("&amp;IF(D19="","",""&amp;D19)&amp;")"&amp;", Name="&amp;"""IX_"&amp;$B$7&amp;"_"&amp;D19&amp;""")]")</f>
        <v/>
      </c>
      <c r="M19" t="str">
        <f t="shared" ref="M19" si="54">REPT(CHAR(9),2)&amp;"public virtual "&amp;IF(OR(H19="DateTime",H19="TimeSpan"),H19&amp;"?",H19)&amp;IF(C19="?","? "," ")&amp;D19&amp;" { get; set; }" &amp; "
"</f>
        <v xml:space="preserve">		public virtual DateTime? LastCalDatetime { get; set; }
</v>
      </c>
      <c r="N19" t="str">
        <f t="shared" ref="N19" si="55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LastCalDatetime { get; set; }
</v>
      </c>
      <c r="O19" t="str">
        <f t="shared" ref="O19" si="56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" si="57">REPT(CHAR(9),7)&amp;D19&amp;" = o." &amp;D19 &amp;","</f>
        <v xml:space="preserve">							LastCalDatetime = o.LastCalDatetime,</v>
      </c>
      <c r="T19" s="64" t="str">
        <f t="shared" ref="T19" si="58">REPT(CHAR(9),8)&amp;"("""&amp;D19&amp;"""),"</f>
        <v xml:space="preserve">								("LastCalDatetime"),</v>
      </c>
      <c r="V19" s="65" t="str">
        <f t="shared" ref="V19" si="59">REPT(CHAR(9),8)&amp;"_ =&gt; _."&amp;D19&amp;","</f>
        <v xml:space="preserve">								_ =&gt; _.LastCalDatetime,</v>
      </c>
      <c r="W19" s="64" t="str">
        <f t="shared" ref="W19" si="60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  <c r="X19" t="str">
        <f t="shared" ref="X19" si="61">IF(E19="VARCHAR","Char",(IF(E19="DATE","Date","Number")))</f>
        <v>Number</v>
      </c>
      <c r="Y19" t="str">
        <f t="shared" ref="Y19" si="62">IF(X19="Char","Left",IF(X19="Date","Center","Right"))</f>
        <v>Right</v>
      </c>
      <c r="Z19" t="str">
        <f t="shared" ref="Z19" si="63">IF(X19="Char","",IF(X19="Date","DD/MM/YYYY",IF(H19="decimal?","#,###.####","#,###")))</f>
        <v>#,###</v>
      </c>
    </row>
    <row r="20" spans="1:26" customFormat="1" ht="22.5" customHeight="1" x14ac:dyDescent="0.25">
      <c r="A20" t="s">
        <v>319</v>
      </c>
      <c r="B20" t="s">
        <v>320</v>
      </c>
      <c r="C20" t="s">
        <v>1</v>
      </c>
      <c r="D20" t="str">
        <f>SUBSTITUTE(PROPER(A20),"_","")</f>
        <v>IsActive</v>
      </c>
      <c r="E20" t="str">
        <f t="shared" ref="E20" si="64">IFERROR(LEFT(B20, FIND("(",B20)-1),B20)</f>
        <v>varchar</v>
      </c>
      <c r="F20" s="6"/>
      <c r="G20" t="str">
        <f t="shared" ref="G20" si="65">IFERROR(MID(B20,FIND("(",B20) +1, FIND(")",B20) - FIND("(",B20) - 1),"")</f>
        <v>1</v>
      </c>
      <c r="H20" t="str">
        <f>+VLOOKUP(E20,'Data Type Mapping'!A:B,2,)</f>
        <v>string</v>
      </c>
      <c r="I20" t="str">
        <f t="shared" ref="I20" si="66">IF(H20="string",REPT(CHAR(9),2)&amp;"public const int Max"&amp;D20&amp;"Length = "&amp;G20&amp;";"&amp;$E$3,"" )</f>
        <v xml:space="preserve">		public const int MaxIsActiveLength = 1;
</v>
      </c>
      <c r="J20" t="str">
        <f t="shared" ref="J20" si="67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[StringLength(MaxIsActiveLength)]
		public virtual string IsActive { get; set; }
</v>
      </c>
      <c r="K20" s="6"/>
      <c r="L20" t="str">
        <f>IF(K20="","",REPT(CHAR(9),1)&amp;"[Index(nameof("&amp;IF(D20="","",""&amp;D20)&amp;")"&amp;", Name="&amp;"""IX_"&amp;$B$7&amp;"_"&amp;D20&amp;""")]")</f>
        <v/>
      </c>
      <c r="M20" t="str">
        <f t="shared" ref="M20" si="68">REPT(CHAR(9),2)&amp;"public virtual "&amp;IF(OR(H20="DateTime",H20="TimeSpan"),H20&amp;"?",H20)&amp;IF(C20="?","? "," ")&amp;D20&amp;" { get; set; }" &amp; "
"</f>
        <v xml:space="preserve">		public virtual string IsActive { get; set; }
</v>
      </c>
      <c r="N20" t="str">
        <f t="shared" ref="N20" si="69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[StringLength(InvCkdStockPartConsts.MaxIsActiveLength)]
		public virtual string IsActive { get; set; }
</v>
      </c>
      <c r="O20" t="str">
        <f t="shared" ref="O20" si="70">IF(OR(H20="string",H20="DateTime",H20="int"),REPT(CHAR(9),2)&amp;"public virtual "&amp;IF(OR(H20="DateTime",H20="TimeSpan"),H20&amp;"?",H20)&amp;IF(C20="?","? "," ")&amp;D20&amp;" { get; set; }"&amp;$E$3,"")</f>
        <v xml:space="preserve">		public virtual string IsActive { get; set; }
</v>
      </c>
      <c r="P20" t="str">
        <f t="shared" ref="P20" si="71">REPT(CHAR(9),7)&amp;D20&amp;" = o." &amp;D20 &amp;","</f>
        <v xml:space="preserve">							IsActive = o.IsActive,</v>
      </c>
      <c r="T20" s="64" t="str">
        <f t="shared" ref="T20" si="72">REPT(CHAR(9),8)&amp;"("""&amp;D20&amp;"""),"</f>
        <v xml:space="preserve">								("IsActive"),</v>
      </c>
      <c r="V20" s="65" t="str">
        <f t="shared" ref="V20" si="73">REPT(CHAR(9),8)&amp;"_ =&gt; _."&amp;D20&amp;","</f>
        <v xml:space="preserve">								_ =&gt; _.IsActive,</v>
      </c>
      <c r="W20" s="64" t="str">
        <f t="shared" ref="W20" si="74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.WhereIf(!string.IsNullOrWhiteSpace(input.IsActive), e =&gt; e.IsActive.Contains(input.IsActive))</v>
      </c>
      <c r="X20" t="str">
        <f t="shared" si="29"/>
        <v>Char</v>
      </c>
      <c r="Y20" t="str">
        <f t="shared" si="30"/>
        <v>Left</v>
      </c>
      <c r="Z20" t="str">
        <f t="shared" si="31"/>
        <v/>
      </c>
    </row>
    <row r="22" spans="1:26" ht="45.75" customHeight="1" x14ac:dyDescent="0.25">
      <c r="H22" s="11"/>
      <c r="I22" s="31" t="str">
        <f ca="1">TEXTJOIN2("
", TRUE,INDIRECT( $H$1):INDIRECT( $H$3))</f>
        <v xml:space="preserve">		public const int MaxPartNoLength = 12;
		public const int MaxPartNoNormalizedLength = 12;
		public const int MaxPartNameLength = 300;
		public const int MaxPartNoNormalizedS4Length = 10;
		public const int MaxColorSfxLength = 2;
		public const int MaxIsActiveLength = 1;
</v>
      </c>
      <c r="J22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[Column(TypeName="datetime2(7)")]
		public virtual DateTime? LastCalDatetime { get; set; }
		[StringLength(MaxIsActiveLength)]
		public virtual string IsActive { get; set; }
</v>
      </c>
      <c r="K22" s="32" t="str">
        <f ca="1">TEXTJOIN2("
", TRUE,INDIRECT( $J$1):INDIRECT( $J$3))</f>
        <v xml:space="preserve">	[Index(nameof(PartNo), Name="IX_InvCkdStockPart_PartNo")]
	[Index(nameof(PartListId), Name="IX_InvCkdStockPart_PartListId")]
	[Index(nameof(MaterialId), Name="IX_InvCkdStockPart_MaterialId")]
	[Index(nameof(WorkingDate), Name="IX_InvCkdStockPart_WorkingDate")]
	[Index(nameof(PeriodId), Name="IX_InvCkdStockPart_PeriodId")]
</v>
      </c>
      <c r="L22" s="12" t="s">
        <v>57</v>
      </c>
      <c r="M22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public virtual string IsActive { get; set; }
</v>
      </c>
      <c r="N22" s="30" t="str">
        <f ca="1">TEXTJOIN2("
",TRUE,INDIRECT( $M$1):INDIRECT($M$3))</f>
        <v xml:space="preserve">		[StringLength(InvCkdStockPartConsts.MaxPartNoLength)]
		public virtual string PartNo { get; set; }
		[StringLength(InvCkdStockPartConsts.MaxPartNoNormalizedLength)]
		public virtual string PartNoNormalized { get; set; }
		[StringLength(InvCkdStockPartConsts.MaxPartNameLength)]
		public virtual string PartName { get; set; }
		[StringLength(InvCkdStockPartConsts.MaxPartNoNormalizedS4Length)]
		public virtual string PartNoNormalizedS4 { get; set; }
		[StringLength(InvCkdStockPartConsts.MaxColorSfxLength)]
		public virtual string ColorSfx { get; set; }
		public virtual long? PartListId { get; set; }
		public virtual long? MaterialId { get; set; }
		public virtual decimal? Qty { get; set; }
		public virtual DateTime? WorkingDate { get; set; }
		public virtual long? PeriodId { get; set; }
		public virtual DateTime? LastCalDatetime { get; set; }
		[StringLength(InvCkdStockPartConsts.MaxIsActiveLength)]
		public virtual string IsActive { get; set; }
</v>
      </c>
      <c r="O22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</v>
      </c>
      <c r="P22" s="8" t="str">
        <f ca="1">TEXTJOIN2("
",TRUE,INDIRECT( $O$1):INDIRECT($O$3))</f>
        <v xml:space="preserve">							PartNo = o.PartNo,
							PartNoNormalized = o.PartNoNormalized,
							PartName = o.PartName,
							PartNoNormalizedS4 = o.PartNoNormalizedS4,
							ColorSfx = o.ColorSfx,
							PartListId = o.PartListId,
							MaterialId = o.MaterialId,
							Qty = o.Qty,
							WorkingDate = o.WorkingDate,
							PeriodId = o.PeriodId,
							LastCalDatetime = o.LastCalDatetime,
							IsActive = o.IsActive,</v>
      </c>
      <c r="T22" s="8" t="str">
        <f ca="1">TEXTJOIN2("
",TRUE,INDIRECT( $T$2):INDIRECT($T$3))</f>
        <v xml:space="preserve">								("PartNo"),
								("PartNoNormalized"),
								("PartName"),
								("PartNoNormalizedS4"),
								("ColorSfx"),
								("PartListId"),
								("MaterialId"),
								("Qty"),
								("WorkingDate"),
								("PeriodId"),
								("LastCalDatetime"),
								("IsActive"),</v>
      </c>
      <c r="V22" s="8" t="str">
        <f ca="1">TEXTJOIN2("
",TRUE,INDIRECT( $V$2):INDIRECT($V$3))</f>
        <v xml:space="preserve">								_ =&gt; _.PartNo,
								_ =&gt; _.PartNoNormalized,
								_ =&gt; _.PartName,
								_ =&gt; _.PartNoNormalizedS4,
								_ =&gt; _.ColorSfx,
								_ =&gt; _.PartListId,
								_ =&gt; _.MaterialId,
								_ =&gt; _.Qty,
								_ =&gt; _.WorkingDate,
								_ =&gt; _.PeriodId,
								_ =&gt; _.LastCalDatetime,
								_ =&gt; _.IsActive,</v>
      </c>
      <c r="W22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tabSelected="1"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208</v>
      </c>
      <c r="B1" s="39" t="s">
        <v>375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InvCkdStockPart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StockPart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stockpart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InvCkdStockPartDto, InvCkdStockPartServiceProxy } from '@shared/service-proxies/service-proxies';
import { finalize } from 'rxjs/internal/operators/finalize';
import { CreateOrEditStockPartModalComponent } from './create-or-edit-stockpart-modal.component';
import { DatePipe } from '@angular/common';
import { FileDownloadService } from '@shared/utils/file-download.service';
import ceil from 'lodash-es/ceil';
import { Paginator } from 'primeng/paginator';
@Component({
    templateUrl: './stockpart.component.html',
    styleUrls: ['./stockpart.component.less'],
})
export class StockPartComponent extends AppComponentBase implements OnInit {
    @ViewChild('createOrEditModalStockPart', { static: true }) createOrEditModalStockPart:| CreateOrEditStockPartModalComponent|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InvCkdStockPartDto = new InvCkdStockPartDto();
    saveSelectedRow: InvCkdStockPartDto = new InvCkdStockPartDto();
    datas: InvCkdStockPartDto = new InvCkdStockPartDto();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materialId
	qty
	workingDate
	periodId
	lastCalDatetime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InvCkdStockPartServiceProxy,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this.materialId,
			this.qty,
			this.workingDate,
			this.periodId,
			this.lastCalDatetime,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this.materialId = '',
		this.qty = '',
		this.workingDate = '',
		this.periodId = '',
		this.lastCalDatetime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this.materialId,
			this.qty,
			this.workingDate,
			this.periodId,
			this.lastCalDatetime,
			this.isActive,
			'',
            this.paginationParams.skipCount,
            this.paginationParams.pageSize
        );
    }
    onChangeRowSelection(params: { api: { getSelectedRows: () =&gt; InvCkdStockPartDto[] } }) {
        this.saveSelectedRow = params.api.getSelectedRows()[0] ?? new InvCkdStockPartDto();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InvCkdStockPartDto):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this._service.getStockPartToExcel(
			this.partNo,
			this.partNoNormalized,
			this.partName,
			this.partNoNormalizedS4,
			this.colorSfx,
			this.partListId,
			this.materialId,
			this.qty,
			this.workingDate,
			this.periodId,
			this.lastCalDatetime,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Stock (General Warehouse)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&lt;create-or-edit-stockpart-modal
    #createOrEditModalStockPart
    (modalSave)="callBackDataGrid(dataParams)"
    (modalClose)="onChangeRowSelection(dataParams)"
&gt;
&lt;/create-or-edit-stockpart-modal&gt;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#createOrEditModalStockPart="bs-modal"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StockPart')}}&lt;/h3&gt;
                    &lt;h3 *ngIf="!rowdata.id"&gt;{{('Create New StockPart')}}&lt;/h3&gt;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CreateOrEditInvCkdStockPartDto, InvCkdStockPartServiceProxy } from '@shared/service-proxies/service-proxies';
import { BsDatepickerDirective } from 'ngx-bootstrap/datepicker';
@Component({
    selector: 'create-or-edit-stockpart-modal',
    templateUrl: './create-or-edit-stockpart-modal.component.html',
    styleUrls: ['./create-or-edit-stockpart-modal.component.less']
    })
export class CreateOrEditStockPartModalComponent extends AppComponentBase {
    @ViewChild('createOrEditModalStockPart',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CreateOrEditInvCkdStockPartDto = new CreateOrEditInvCkdStockPartDto();
    active: boolean = false;
    saving: boolean = false;
    _isActive: boolean;
    constructor(
        injector: Injector,
        private _mstwptStockPartService: InvCkdStockPartServiceProxy,
    ) 
    {
        super(injector);
    }
    show(rowdata?: CreateOrEditInvCkdStockPartDto): void {
        if (!rowdata) this.rowdata = new CreateOrEditInvCkdStockPartDto();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StockPartRoutingModule } from './stockpart-routing.module';
import { StockPartComponent } from './stockpart.component';
import { CreateOrEditStockPartModalComponent } from './create-or-edit-stockpart-modal.component';
@NgModule({
    declarations: [
       StockPartComponent, 
        CreateOrEditStockPartModalComponent
    ],
    imports: [
        AppSharedModule, StockPartRoutingModule]
})
export class StockPartModule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StockPartComponent } from './stockpart.component';
const routes: Routes = [{
    path: '',
    component: StockPartComponent,
    pathMatch: 'full'
}];
@NgModule({
    imports: [RouterModule.forChild(routes)],
    exports: [RouterModule],
})
export class StockPartRoutingModule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AppMenuItem("StockPart", "Pages.Inventory.CKD.StockPart", "flaticon-book",   "/app/main/inventory/ckd/stockpart"),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'inventory/ckd/stockpart',
    loadChildren: () =&gt; import('./inventory/ckd/stockpart/stockpart.module').then(m =&gt; m.StockPartModule),
    data: { permission: 'Pages.Inventory.CKD.StockPart' }
},</v>
      </c>
      <c r="R10" s="47" t="str">
        <f>SUBSTITUTE(R9,"MstWptCalendar",$B$6)</f>
        <v>ApiServiceProxies.InvCkdStockPartServiceProxy,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H26</v>
      </c>
      <c r="I12" s="28" t="str">
        <f>"I"&amp;COUNTA($A:$A)</f>
        <v>I26</v>
      </c>
      <c r="J12" s="28"/>
      <c r="K12" s="28" t="str">
        <f>"K"&amp;COUNTA($A:$A)</f>
        <v>K26</v>
      </c>
      <c r="L12" s="28" t="str">
        <f>"L"&amp;COUNTA($A:$A)</f>
        <v>L26</v>
      </c>
      <c r="M12" s="28"/>
      <c r="N12" s="28"/>
      <c r="O12" s="28"/>
      <c r="P12" s="28"/>
      <c r="Q12" s="28"/>
      <c r="R12" s="28"/>
      <c r="S12" s="28" t="str">
        <f>"S"&amp;COUNTA($A:$A)</f>
        <v>S26</v>
      </c>
      <c r="T12" s="28" t="str">
        <f>"T"&amp;COUNTA($A:$A)</f>
        <v>T26</v>
      </c>
      <c r="U12" s="28" t="str">
        <f>"U"&amp;COUNTA($A:$A)</f>
        <v>U26</v>
      </c>
      <c r="V12" s="28" t="str">
        <f>"V"&amp;COUNTA($A:$A)</f>
        <v>V26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partNoNormalized : string = '' ; 
	partName : string = '' ; 
	partNoNormalizedS4 : string = '' ; 
	colorSfx : string = '' ; 
	partListId
	materialId
	qty
	workingDate
	periodId
	lastCalDatetime
	isActive : string = '' ; </v>
      </c>
      <c r="T13" s="63" t="str">
        <f ca="1">TEXTJOIN2("
",TRUE,INDIRECT(T11):INDIRECT(T12))</f>
        <v xml:space="preserve">			this.partNo,
			this.partNoNormalized,
			this.partName,
			this.partNoNormalizedS4,
			this.colorSfx,
			this.partListId,
			this.materialId,
			this.qty,
			this.workingDate,
			this.periodId,
			this.lastCalDatetime,
			this.isActive,</v>
      </c>
      <c r="U13" s="63" t="str">
        <f ca="1">TEXTJOIN2("
",TRUE,INDIRECT(U11):INDIRECT(U12))</f>
        <v xml:space="preserve">		this.partNo = '',
		this.partNoNormalized = '',
		this.partName = '',
		this.partNoNormalizedS4 = '',
		this.colorSfx = '',
		this.partListId = '',
		this.materialId = '',
		this.qty = '',
		this.workingDate = '',
		this.periodId = '',
		this.lastCalDatetime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stockpart.component.ts</v>
      </c>
      <c r="I14" s="37" t="str">
        <f>B8&amp;".component.html"</f>
        <v>stockpart.component.html</v>
      </c>
      <c r="J14" s="36" t="str">
        <f>B8&amp;".component.less"</f>
        <v>stockpart.component.less</v>
      </c>
      <c r="K14" s="37" t="str">
        <f>"create-or-edit-"&amp;B8&amp;"-modal.component.html"</f>
        <v>create-or-edit-stockpart-modal.component.html</v>
      </c>
      <c r="L14" s="37" t="str">
        <f>"create-or-edit-"&amp;B8&amp;"-modal.component.ts"</f>
        <v>create-or-edit-stockpart-modal.component.ts</v>
      </c>
      <c r="M14" s="37" t="str">
        <f>"create-or-edit-"&amp;B8&amp;"-modal.component.less"</f>
        <v>create-or-edit-stockpart-modal.component.less</v>
      </c>
      <c r="N14" s="37" t="str">
        <f>B8&amp;".module.ts"</f>
        <v>stockpart.module.ts</v>
      </c>
      <c r="O14" s="37" t="str">
        <f>B8&amp;"-routing.module.ts"</f>
        <v>stockpart-routing.module.ts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24" si="0">SUBSTITUTE(PROPER(A15),"_","")</f>
        <v>PartNo</v>
      </c>
      <c r="C15" s="28" t="str">
        <f t="shared" ref="C15:C24" si="1">SUBSTITUTE(PROPER(A15),"_"," ")</f>
        <v>Part No</v>
      </c>
      <c r="D15" s="28" t="str">
        <f t="shared" ref="D15:D26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26" si="3">IF(E15="string"," : string = '' ; ",IF(OR(E15="DateTime",E15="TimeSpan")," : any ;",IF(E15="int"," : number = 0 ;","")))</f>
        <v xml:space="preserve"> : string = '' ; </v>
      </c>
      <c r="H15" s="35" t="str">
        <f t="shared" ref="H15:H2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24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4" si="8">IF(AND(E15="string",F15="1"),D15,"")</f>
        <v/>
      </c>
    </row>
    <row r="16" spans="1:22" ht="18" customHeight="1" x14ac:dyDescent="0.25">
      <c r="A16" t="s">
        <v>368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6" si="12">REPT(CHAR(9),1)&amp;D16&amp;G16</f>
        <v xml:space="preserve">	partNoNormalized : string = '' ; </v>
      </c>
      <c r="T16" s="28" t="str">
        <f t="shared" ref="T16:T26" si="13">REPT(CHAR(9),3)&amp;"this."&amp;D16&amp;","</f>
        <v xml:space="preserve">			this.partNoNormalized,</v>
      </c>
      <c r="U16" s="28" t="str">
        <f t="shared" ref="U16:U26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359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300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2" si="16">SUBSTITUTE(PROPER(A18),"_","")</f>
        <v>PartNoNormalizedS4</v>
      </c>
      <c r="C18" s="28" t="str">
        <f t="shared" ref="C18:C22" si="17">SUBSTITUTE(PROPER(A18),"_"," ")</f>
        <v>Part No Normalized S4</v>
      </c>
      <c r="D18" s="28" t="str">
        <f t="shared" ref="D18:D22" si="18">LOWER(LEFT(B18,1))&amp;RIGHT(B18,LEN(B18) - 1)</f>
        <v>partNoNormalizedS4</v>
      </c>
      <c r="E18" s="28" t="str">
        <f>A.Backend!H12</f>
        <v>string</v>
      </c>
      <c r="F18" s="28" t="str">
        <f>A.Backend!G12</f>
        <v>10</v>
      </c>
      <c r="G18" s="28" t="str">
        <f t="shared" ref="G18:G22" si="19">IF(E18="string"," : string = '' ; ",IF(OR(E18="DateTime",E18="TimeSpan")," : any ;",IF(E18="int"," : number = 0 ;","")))</f>
        <v xml:space="preserve"> : string = '' ; </v>
      </c>
      <c r="H18" s="35" t="str">
        <f t="shared" ref="H18:H22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 Normalized S4'),headerTooltip: this.l('Part No Normalized S4'),field: 'partNoNormalizedS4',flex: 1},</v>
      </c>
      <c r="I18" s="35" t="str">
        <f t="shared" ref="I18:I22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[(ngModel)]='partNoNormalizedS4' name='partNoNormalizedS4'
									class='form-control' [placeholder]="l('Part No Normalized S4')"
									type='text' (keyup.enter)='searchDatas()'&gt;
								&lt;/div&gt;</v>
      </c>
      <c r="J18" s="28"/>
      <c r="K18" s="35" t="str">
        <f t="shared" ref="K18:K22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</v>
      </c>
      <c r="L18" s="56" t="str">
        <f t="shared" ref="L18:L22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2" si="24">REPT(CHAR(9),1)&amp;D18&amp;G18</f>
        <v xml:space="preserve">	partNoNormalizedS4 : string = '' ; </v>
      </c>
      <c r="T18" s="28" t="str">
        <f t="shared" ref="T18:T22" si="25">REPT(CHAR(9),3)&amp;"this."&amp;D18&amp;","</f>
        <v xml:space="preserve">			this.partNoNormalizedS4,</v>
      </c>
      <c r="U18" s="28" t="str">
        <f t="shared" ref="U18:U22" si="26">IF(E18="int",REPT(CHAR(9),2)&amp;"this."&amp;D18&amp;" = 0,",REPT(CHAR(9),2)&amp;"this."&amp;D18&amp;" = '',")</f>
        <v xml:space="preserve">		this.partNoNormalizedS4 = '',</v>
      </c>
      <c r="V18" s="28" t="str">
        <f t="shared" ref="V18:V22" si="27">IF(AND(E18="string",F18="1"),D18,"")</f>
        <v/>
      </c>
    </row>
    <row r="19" spans="1:22" ht="18" customHeight="1" x14ac:dyDescent="0.25">
      <c r="A19" t="s">
        <v>360</v>
      </c>
      <c r="B19" s="28" t="str">
        <f t="shared" si="16"/>
        <v>ColorSfx</v>
      </c>
      <c r="C19" s="28" t="str">
        <f t="shared" si="17"/>
        <v>Color Sfx</v>
      </c>
      <c r="D19" s="28" t="str">
        <f t="shared" si="18"/>
        <v>colorSfx</v>
      </c>
      <c r="E19" s="28" t="str">
        <f>A.Backend!H13</f>
        <v>string</v>
      </c>
      <c r="F19" s="28" t="str">
        <f>A.Backend!G13</f>
        <v>2</v>
      </c>
      <c r="G19" s="28" t="str">
        <f t="shared" si="19"/>
        <v xml:space="preserve"> : string = '' ; </v>
      </c>
      <c r="H19" s="35" t="str">
        <f t="shared" si="20"/>
        <v xml:space="preserve">			{headerName: this.l('Color Sfx'),headerTooltip: this.l('Color Sfx'),field: 'colorSfx',flex: 1},</v>
      </c>
      <c r="I19" s="35" t="str">
        <f t="shared" si="21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9" s="28"/>
      <c r="K19" s="35" t="str">
        <f t="shared" si="22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colorSfx : string = '' ; </v>
      </c>
      <c r="T19" s="28" t="str">
        <f t="shared" si="25"/>
        <v xml:space="preserve">			this.colorSfx,</v>
      </c>
      <c r="U19" s="28" t="str">
        <f t="shared" si="26"/>
        <v xml:space="preserve">		this.colorSfx = '',</v>
      </c>
      <c r="V19" s="28" t="str">
        <f t="shared" si="27"/>
        <v/>
      </c>
    </row>
    <row r="20" spans="1:22" ht="15" customHeight="1" x14ac:dyDescent="0.25">
      <c r="A20" t="s">
        <v>364</v>
      </c>
      <c r="B20" s="28" t="str">
        <f t="shared" si="16"/>
        <v>PartListId</v>
      </c>
      <c r="C20" s="28" t="str">
        <f t="shared" si="17"/>
        <v>Part List Id</v>
      </c>
      <c r="D20" s="28" t="str">
        <f t="shared" si="18"/>
        <v>partListId</v>
      </c>
      <c r="E20" s="28" t="str">
        <f>A.Backend!H14</f>
        <v>long?</v>
      </c>
      <c r="F20" s="28" t="str">
        <f>A.Backend!G14</f>
        <v/>
      </c>
      <c r="G20" s="28" t="str">
        <f t="shared" si="19"/>
        <v/>
      </c>
      <c r="H20" s="35" t="str">
        <f t="shared" si="20"/>
        <v xml:space="preserve">			{headerName: this.l('Part List Id'),headerTooltip: this.l('Part List Id'),field: 'partListId',flex: 1},</v>
      </c>
      <c r="I20" s="35" t="str">
        <f t="shared" si="21"/>
        <v/>
      </c>
      <c r="J20" s="28"/>
      <c r="K20" s="35" t="str">
        <f t="shared" si="22"/>
        <v/>
      </c>
      <c r="L20" s="56" t="str">
        <f t="shared" si="23"/>
        <v/>
      </c>
      <c r="M20" s="28"/>
      <c r="N20" s="28"/>
      <c r="O20" s="28"/>
      <c r="P20" s="28"/>
      <c r="Q20" s="28"/>
      <c r="R20" s="28"/>
      <c r="S20" s="28" t="str">
        <f t="shared" si="24"/>
        <v xml:space="preserve">	partListId</v>
      </c>
      <c r="T20" s="28" t="str">
        <f t="shared" si="25"/>
        <v xml:space="preserve">			this.partListId,</v>
      </c>
      <c r="U20" s="28" t="str">
        <f t="shared" si="26"/>
        <v xml:space="preserve">		this.partListId = '',</v>
      </c>
      <c r="V20" s="28" t="str">
        <f t="shared" si="27"/>
        <v/>
      </c>
    </row>
    <row r="21" spans="1:22" ht="18" customHeight="1" x14ac:dyDescent="0.25">
      <c r="A21" t="s">
        <v>363</v>
      </c>
      <c r="B21" s="28" t="str">
        <f t="shared" si="16"/>
        <v>MaterialId</v>
      </c>
      <c r="C21" s="28" t="str">
        <f t="shared" si="17"/>
        <v>Material Id</v>
      </c>
      <c r="D21" s="28" t="str">
        <f t="shared" si="18"/>
        <v>materialId</v>
      </c>
      <c r="E21" s="28" t="str">
        <f>A.Backend!H15</f>
        <v>long?</v>
      </c>
      <c r="F21" s="28" t="str">
        <f>A.Backend!G15</f>
        <v/>
      </c>
      <c r="G21" s="28" t="str">
        <f t="shared" si="19"/>
        <v/>
      </c>
      <c r="H21" s="35" t="str">
        <f t="shared" si="20"/>
        <v xml:space="preserve">			{headerName: this.l('Material Id'),headerTooltip: this.l('Material Id'),field: 'materialId',flex: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24"/>
        <v xml:space="preserve">	materialId</v>
      </c>
      <c r="T21" s="28" t="str">
        <f t="shared" si="25"/>
        <v xml:space="preserve">			this.materialId,</v>
      </c>
      <c r="U21" s="28" t="str">
        <f t="shared" si="26"/>
        <v xml:space="preserve">		this.materialId = '',</v>
      </c>
      <c r="V21" s="28" t="str">
        <f t="shared" si="27"/>
        <v/>
      </c>
    </row>
    <row r="22" spans="1:22" ht="18" customHeight="1" x14ac:dyDescent="0.25">
      <c r="A22" t="s">
        <v>370</v>
      </c>
      <c r="B22" s="28" t="str">
        <f t="shared" si="16"/>
        <v>Qty</v>
      </c>
      <c r="C22" s="28" t="str">
        <f t="shared" si="17"/>
        <v>Qty</v>
      </c>
      <c r="D22" s="28" t="str">
        <f t="shared" si="18"/>
        <v>qty</v>
      </c>
      <c r="E22" s="28" t="str">
        <f>A.Backend!H16</f>
        <v>decimal?</v>
      </c>
      <c r="F22" s="28" t="str">
        <f>A.Backend!G16</f>
        <v>6,4</v>
      </c>
      <c r="G22" s="28" t="str">
        <f t="shared" si="19"/>
        <v/>
      </c>
      <c r="H22" s="35" t="str">
        <f t="shared" si="20"/>
        <v xml:space="preserve">			{headerName: this.l('Qty'),headerTooltip: this.l('Qty'),field: 'qty',flex: 1},</v>
      </c>
      <c r="I22" s="35" t="str">
        <f t="shared" si="21"/>
        <v/>
      </c>
      <c r="J22" s="28"/>
      <c r="K22" s="35" t="str">
        <f t="shared" si="22"/>
        <v/>
      </c>
      <c r="L22" s="56" t="str">
        <f t="shared" si="23"/>
        <v/>
      </c>
      <c r="M22" s="28"/>
      <c r="N22" s="28"/>
      <c r="O22" s="28"/>
      <c r="P22" s="28"/>
      <c r="Q22" s="28"/>
      <c r="R22" s="28"/>
      <c r="S22" s="28" t="str">
        <f t="shared" si="24"/>
        <v xml:space="preserve">	qty</v>
      </c>
      <c r="T22" s="28" t="str">
        <f t="shared" si="25"/>
        <v xml:space="preserve">			this.qty,</v>
      </c>
      <c r="U22" s="28" t="str">
        <f t="shared" si="26"/>
        <v xml:space="preserve">		this.qty = '',</v>
      </c>
      <c r="V22" s="28" t="str">
        <f t="shared" si="27"/>
        <v/>
      </c>
    </row>
    <row r="23" spans="1:22" ht="15" customHeight="1" x14ac:dyDescent="0.25">
      <c r="A23" t="s">
        <v>372</v>
      </c>
      <c r="B23" s="28" t="str">
        <f t="shared" ref="B23" si="28">SUBSTITUTE(PROPER(A23),"_","")</f>
        <v>WorkingDate</v>
      </c>
      <c r="C23" s="28" t="str">
        <f t="shared" ref="C23" si="29">SUBSTITUTE(PROPER(A23),"_"," ")</f>
        <v>Working Date</v>
      </c>
      <c r="D23" s="28" t="str">
        <f t="shared" si="2"/>
        <v>workingDate</v>
      </c>
      <c r="E23" s="28" t="str">
        <f>A.Backend!H17</f>
        <v>DateTime?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this.l('Working Date'),headerTooltip: this.l('Working Date'),field: 'workingDate',flex: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30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workingDate</v>
      </c>
      <c r="T23" s="28" t="str">
        <f t="shared" si="13"/>
        <v xml:space="preserve">			this.workingDate,</v>
      </c>
      <c r="U23" s="28" t="str">
        <f t="shared" si="14"/>
        <v xml:space="preserve">		this.workingDate = '',</v>
      </c>
      <c r="V23" s="28" t="str">
        <f t="shared" ref="V23" si="31">IF(AND(E23="string",F23="1"),D23,"")</f>
        <v/>
      </c>
    </row>
    <row r="24" spans="1:22" ht="18" customHeight="1" x14ac:dyDescent="0.25">
      <c r="A24" t="s">
        <v>371</v>
      </c>
      <c r="B24" s="28" t="str">
        <f t="shared" si="0"/>
        <v>PeriodId</v>
      </c>
      <c r="C24" s="28" t="str">
        <f t="shared" si="1"/>
        <v>Period Id</v>
      </c>
      <c r="D24" s="28" t="str">
        <f t="shared" si="2"/>
        <v>periodId</v>
      </c>
      <c r="E24" s="28" t="str">
        <f>A.Backend!H18</f>
        <v>long?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this.l('Period Id'),headerTooltip: this.l('Period Id'),field: 'periodId',flex: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7"/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periodId</v>
      </c>
      <c r="T24" s="28" t="str">
        <f t="shared" si="13"/>
        <v xml:space="preserve">			this.periodId,</v>
      </c>
      <c r="U24" s="28" t="str">
        <f t="shared" si="14"/>
        <v xml:space="preserve">		this.periodId = '',</v>
      </c>
      <c r="V24" s="28" t="str">
        <f t="shared" si="8"/>
        <v/>
      </c>
    </row>
    <row r="25" spans="1:22" ht="15" customHeight="1" x14ac:dyDescent="0.25">
      <c r="A25" t="s">
        <v>378</v>
      </c>
      <c r="B25" s="28" t="str">
        <f t="shared" ref="B25" si="32">SUBSTITUTE(PROPER(A25),"_","")</f>
        <v>LastCalDatetime</v>
      </c>
      <c r="C25" s="28" t="str">
        <f t="shared" ref="C25" si="33">SUBSTITUTE(PROPER(A25),"_"," ")</f>
        <v>Last Cal Datetime</v>
      </c>
      <c r="D25" s="28" t="str">
        <f t="shared" si="2"/>
        <v>lastCalDatetime</v>
      </c>
      <c r="E25" s="28" t="str">
        <f>A.Backend!H19</f>
        <v>DateTime?</v>
      </c>
      <c r="F25" s="28" t="str">
        <f>A.Backend!G19</f>
        <v>7</v>
      </c>
      <c r="G25" s="28" t="str">
        <f t="shared" si="3"/>
        <v/>
      </c>
      <c r="H25" s="35" t="str">
        <f t="shared" si="4"/>
        <v xml:space="preserve">			{headerName: this.l('Last Cal Datetime'),headerTooltip: this.l('Last Cal Datetime'),field: 'lastCalDatetime',flex: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ref="L25" si="34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12"/>
        <v xml:space="preserve">	lastCalDatetime</v>
      </c>
      <c r="T25" s="28" t="str">
        <f t="shared" si="13"/>
        <v xml:space="preserve">			this.lastCalDatetime,</v>
      </c>
      <c r="U25" s="28" t="str">
        <f t="shared" si="14"/>
        <v xml:space="preserve">		this.lastCalDatetime = '',</v>
      </c>
      <c r="V25" s="28" t="str">
        <f t="shared" ref="V25" si="35">IF(AND(E25="string",F25="1"),D25,"")</f>
        <v/>
      </c>
    </row>
    <row r="26" spans="1:22" ht="18" customHeight="1" x14ac:dyDescent="0.25">
      <c r="A26" s="28" t="s">
        <v>319</v>
      </c>
      <c r="B26" s="28" t="str">
        <f t="shared" ref="B26" si="36">SUBSTITUTE(PROPER(A26),"_","")</f>
        <v>IsActive</v>
      </c>
      <c r="C26" s="28" t="str">
        <f t="shared" ref="C26" si="37">SUBSTITUTE(PROPER(A26),"_"," ")</f>
        <v>Is Active</v>
      </c>
      <c r="D26" s="28" t="str">
        <f t="shared" si="2"/>
        <v>isActive</v>
      </c>
      <c r="E26" s="28" t="str">
        <f>A.Backend!H20</f>
        <v>string</v>
      </c>
      <c r="F26" s="28" t="str">
        <f>A.Backend!G20</f>
        <v>1</v>
      </c>
      <c r="G26" s="28" t="str">
        <f t="shared" si="3"/>
        <v xml:space="preserve"> : string = '' ; </v>
      </c>
      <c r="H26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6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6" s="56" t="str">
        <f t="shared" ref="L26" si="38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isActive : string = '' ; </v>
      </c>
      <c r="T26" s="28" t="str">
        <f t="shared" si="13"/>
        <v xml:space="preserve">			this.isActive,</v>
      </c>
      <c r="U26" s="28" t="str">
        <f t="shared" si="14"/>
        <v xml:space="preserve">		this.isActive = '',</v>
      </c>
      <c r="V26" s="28" t="str">
        <f t="shared" ref="V26" si="39">IF(AND(E26="string",F26="1"),D26,"")</f>
        <v>isActive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2023-06-11T03:42:04Z</dcterms:modified>
</cp:coreProperties>
</file>
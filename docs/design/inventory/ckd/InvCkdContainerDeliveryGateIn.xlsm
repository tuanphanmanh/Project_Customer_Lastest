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inventory\ckd\"/>
    </mc:Choice>
  </mc:AlternateContent>
  <xr:revisionPtr revIDLastSave="0" documentId="13_ncr:1_{18E45F3E-6004-4F12-AA96-BB973B5AFD0F}" xr6:coauthVersionLast="47" xr6:coauthVersionMax="47" xr10:uidLastSave="{00000000-0000-0000-0000-000000000000}"/>
  <bookViews>
    <workbookView xWindow="19080" yWindow="-120" windowWidth="19440" windowHeight="1500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5" l="1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15" i="5"/>
  <c r="K25" i="5"/>
  <c r="K26" i="5"/>
  <c r="K27" i="5"/>
  <c r="K28" i="5"/>
  <c r="K29" i="5"/>
  <c r="K30" i="5"/>
  <c r="K31" i="5"/>
  <c r="K16" i="5"/>
  <c r="K17" i="5"/>
  <c r="K18" i="5"/>
  <c r="K19" i="5"/>
  <c r="K20" i="5"/>
  <c r="K21" i="5"/>
  <c r="K22" i="5"/>
  <c r="K23" i="5"/>
  <c r="K24" i="5"/>
  <c r="K15" i="5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25" i="1"/>
  <c r="G25" i="1"/>
  <c r="F31" i="5" s="1"/>
  <c r="E25" i="1"/>
  <c r="H25" i="1" s="1"/>
  <c r="W25" i="1" s="1"/>
  <c r="D25" i="1"/>
  <c r="L24" i="1"/>
  <c r="G24" i="1"/>
  <c r="F30" i="5" s="1"/>
  <c r="E24" i="1"/>
  <c r="H24" i="1" s="1"/>
  <c r="E30" i="5" s="1"/>
  <c r="G30" i="5" s="1"/>
  <c r="S30" i="5" s="1"/>
  <c r="D24" i="1"/>
  <c r="V24" i="1" s="1"/>
  <c r="U30" i="5" l="1"/>
  <c r="V30" i="5"/>
  <c r="H30" i="5"/>
  <c r="L30" i="5"/>
  <c r="E31" i="5"/>
  <c r="M25" i="1"/>
  <c r="W24" i="1"/>
  <c r="J24" i="1"/>
  <c r="I24" i="1"/>
  <c r="O24" i="1"/>
  <c r="N24" i="1"/>
  <c r="M24" i="1"/>
  <c r="O25" i="1"/>
  <c r="P25" i="1"/>
  <c r="T25" i="1"/>
  <c r="P24" i="1"/>
  <c r="I25" i="1"/>
  <c r="V25" i="1"/>
  <c r="T24" i="1"/>
  <c r="J25" i="1"/>
  <c r="N25" i="1"/>
  <c r="B7" i="5"/>
  <c r="B6" i="5"/>
  <c r="B2" i="5"/>
  <c r="G31" i="5" l="1"/>
  <c r="B8" i="5"/>
  <c r="B3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H20" i="5" l="1"/>
  <c r="U20" i="5"/>
  <c r="G20" i="5"/>
  <c r="S20" i="5" s="1"/>
  <c r="L20" i="5"/>
  <c r="V20" i="5"/>
  <c r="L29" i="5"/>
  <c r="H29" i="5"/>
  <c r="V29" i="5"/>
  <c r="G29" i="5"/>
  <c r="S29" i="5" s="1"/>
  <c r="U29" i="5"/>
  <c r="G25" i="5"/>
  <c r="S25" i="5" s="1"/>
  <c r="V25" i="5"/>
  <c r="U25" i="5"/>
  <c r="L25" i="5"/>
  <c r="H25" i="5"/>
  <c r="H27" i="5"/>
  <c r="G27" i="5"/>
  <c r="S27" i="5" s="1"/>
  <c r="V27" i="5"/>
  <c r="U27" i="5"/>
  <c r="L27" i="5"/>
  <c r="U23" i="5"/>
  <c r="H23" i="5"/>
  <c r="G23" i="5"/>
  <c r="S23" i="5" s="1"/>
  <c r="V23" i="5"/>
  <c r="L23" i="5"/>
  <c r="I20" i="1"/>
  <c r="E26" i="5"/>
  <c r="H28" i="5"/>
  <c r="U28" i="5"/>
  <c r="G28" i="5"/>
  <c r="S28" i="5" s="1"/>
  <c r="V28" i="5"/>
  <c r="L28" i="5"/>
  <c r="L21" i="5"/>
  <c r="V21" i="5"/>
  <c r="H21" i="5"/>
  <c r="G21" i="5"/>
  <c r="S21" i="5" s="1"/>
  <c r="U21" i="5"/>
  <c r="G22" i="5"/>
  <c r="S22" i="5" s="1"/>
  <c r="L22" i="5"/>
  <c r="H22" i="5"/>
  <c r="V22" i="5"/>
  <c r="U22" i="5"/>
  <c r="L24" i="5"/>
  <c r="V24" i="5"/>
  <c r="U24" i="5"/>
  <c r="H24" i="5"/>
  <c r="G24" i="5"/>
  <c r="S24" i="5" s="1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C17" i="5"/>
  <c r="B17" i="5"/>
  <c r="D17" i="5" s="1"/>
  <c r="T17" i="5" s="1"/>
  <c r="C16" i="5"/>
  <c r="B16" i="5"/>
  <c r="D16" i="5" s="1"/>
  <c r="T16" i="5" s="1"/>
  <c r="H31" i="5" l="1"/>
  <c r="T31" i="5"/>
  <c r="U31" i="5"/>
  <c r="V31" i="5"/>
  <c r="S31" i="5"/>
  <c r="L26" i="5"/>
  <c r="H26" i="5"/>
  <c r="G26" i="5"/>
  <c r="S26" i="5" s="1"/>
  <c r="V26" i="5"/>
  <c r="U26" i="5"/>
  <c r="B6" i="1"/>
  <c r="G13" i="1"/>
  <c r="F19" i="5" s="1"/>
  <c r="E13" i="1"/>
  <c r="H13" i="1" s="1"/>
  <c r="E19" i="5" s="1"/>
  <c r="D13" i="1"/>
  <c r="V13" i="1" s="1"/>
  <c r="H19" i="5" l="1"/>
  <c r="G19" i="5"/>
  <c r="S19" i="5" s="1"/>
  <c r="V19" i="5"/>
  <c r="U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H18" i="5" l="1"/>
  <c r="G18" i="5"/>
  <c r="S18" i="5" s="1"/>
  <c r="V18" i="5"/>
  <c r="U18" i="5"/>
  <c r="L18" i="5"/>
  <c r="G17" i="5"/>
  <c r="S17" i="5" s="1"/>
  <c r="V17" i="5"/>
  <c r="U17" i="5"/>
  <c r="H17" i="5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7" i="1"/>
  <c r="T7" i="1" l="1"/>
  <c r="W27" i="1"/>
  <c r="G6" i="1" l="1"/>
  <c r="H13" i="5"/>
  <c r="I13" i="5"/>
  <c r="U13" i="5"/>
  <c r="K13" i="5"/>
  <c r="L13" i="5"/>
  <c r="V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J27" i="1"/>
  <c r="I27" i="1"/>
  <c r="P27" i="1"/>
  <c r="N27" i="1"/>
  <c r="O27" i="1"/>
  <c r="Q7" i="1" l="1"/>
  <c r="M68" i="3" s="1"/>
  <c r="L7" i="1"/>
  <c r="G68" i="3" s="1"/>
  <c r="K68" i="3"/>
  <c r="J68" i="3"/>
  <c r="K27" i="1"/>
  <c r="M2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<sst xmlns="http://schemas.openxmlformats.org/spreadsheetml/2006/main" count="499" uniqueCount="383">
  <si>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</si>
  <si>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</si>
  <si>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</si>
  <si>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</si>
  <si>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</si>
  <si>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</si>
  <si>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</si>
  <si>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</si>
  <si>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</si>
  <si>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</si>
  <si>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</si>
  <si>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</si>
  <si>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</si>
  <si>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</si>
  <si>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</si>
  <si>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</si>
  <si>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</si>
  <si>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</si>
  <si>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</si>
  <si>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</si>
  <si>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</si>
  <si>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</si>
  <si>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</si>
  <si>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</si>
  <si>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</si>
  <si>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</si>
  <si>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</si>
  <si>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</si>
  <si>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</si>
  <si>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</si>
  <si>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</si>
  <si>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</si>
  <si>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</si>
  <si>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</si>
  <si>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</si>
  <si>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</si>
  <si>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</si>
  <si>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</si>
  <si>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</si>
  <si>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</si>
  <si>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</si>
  <si>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</si>
  <si>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</si>
  <si>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</si>
  <si>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</si>
  <si>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</si>
  <si>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</si>
  <si>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</si>
  <si>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</si>
  <si>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</si>
  <si>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</si>
  <si>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</si>
  <si>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</si>
  <si>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</si>
  <si>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</si>
  <si>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</si>
  <si>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</si>
  <si>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</si>
  <si>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</si>
  <si>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</si>
  <si>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</si>
  <si>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</si>
  <si>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</si>
  <si>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</si>
  <si>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</si>
  <si>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</si>
  <si>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</si>
  <si>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</si>
  <si>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</si>
  <si>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</si>
  <si>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</si>
  <si>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</si>
  <si>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</si>
  <si>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</si>
  <si>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</si>
  <si>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</si>
  <si>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</si>
  <si>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</si>
  <si>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</si>
  <si>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</si>
  <si>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</si>
  <si>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</si>
  <si>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</si>
  <si>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</si>
  <si>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</si>
  <si>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</si>
  <si>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</si>
  <si>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</si>
  <si>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</si>
  <si>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</si>
  <si>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</si>
  <si>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</si>
  <si>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</si>
  <si>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</si>
  <si>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</si>
  <si>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</si>
  <si>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</si>
  <si>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</si>
  <si>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</si>
  <si>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</si>
  <si>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</si>
  <si>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</si>
  <si>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</si>
  <si>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</si>
  <si>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</si>
  <si>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</si>
  <si>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</si>
  <si>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</si>
  <si>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</si>
  <si>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</si>
  <si>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</si>
  <si>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</si>
  <si>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</si>
  <si>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</si>
  <si>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</si>
  <si>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</si>
  <si>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</si>
  <si>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</si>
  <si>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</si>
  <si>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</si>
  <si>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</si>
  <si>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</si>
  <si>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</si>
  <si>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</si>
  <si>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</si>
  <si>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</si>
  <si>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</si>
  <si>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</si>
  <si>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</si>
  <si>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</si>
  <si>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</si>
  <si>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</si>
  <si>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</si>
  <si>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</si>
  <si>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</si>
  <si>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</si>
  <si>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</si>
  <si>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</si>
  <si>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</si>
  <si>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</si>
  <si>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</si>
  <si>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</si>
  <si>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</si>
  <si>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</si>
  <si>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</si>
  <si>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</si>
  <si>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</si>
  <si>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</si>
  <si>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</si>
  <si>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</si>
  <si>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</si>
  <si>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</si>
  <si>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</si>
  <si>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</si>
  <si>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</si>
  <si>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</si>
  <si>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</si>
  <si>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</si>
  <si>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</si>
  <si>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</si>
  <si>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</si>
  <si>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</si>
  <si>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</si>
  <si>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</si>
  <si>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</si>
  <si>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</si>
  <si>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</si>
  <si>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</si>
  <si>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</si>
  <si>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</si>
  <si>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</si>
  <si>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</si>
  <si>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</si>
  <si>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</si>
  <si>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</si>
  <si>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</si>
  <si>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</si>
  <si>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</si>
  <si>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</si>
  <si>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</si>
  <si>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</si>
  <si>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</si>
  <si>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</si>
  <si>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</si>
  <si>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</si>
  <si>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</si>
  <si>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</si>
  <si>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</si>
  <si>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</si>
  <si>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</si>
  <si>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</si>
  <si>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</si>
  <si>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</si>
  <si>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</si>
  <si>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</si>
  <si>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</si>
  <si>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</si>
  <si>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</si>
  <si>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</si>
  <si>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</si>
  <si>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</si>
  <si>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</si>
  <si>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</si>
  <si>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</si>
  <si>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</si>
  <si>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</si>
  <si>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</si>
  <si>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</si>
  <si>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</si>
  <si>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</si>
  <si>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</si>
  <si>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</si>
  <si>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</si>
  <si>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</si>
  <si>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</si>
  <si>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</si>
  <si>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</si>
  <si>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</si>
  <si>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</si>
  <si>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</si>
  <si>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</si>
  <si>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</si>
  <si>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</si>
  <si>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</si>
  <si>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</si>
  <si>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</si>
  <si>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</si>
  <si>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</si>
  <si>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</si>
  <si>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</si>
  <si>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</si>
  <si>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</si>
  <si>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</si>
  <si>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</si>
  <si>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</si>
  <si>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</si>
  <si>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</si>
  <si>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</si>
  <si>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</si>
  <si>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</si>
  <si>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</si>
  <si>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</si>
  <si>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</si>
  <si>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</si>
  <si>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</si>
  <si>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</si>
  <si>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</si>
  <si>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</si>
  <si>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</si>
  <si>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</si>
  <si>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</si>
  <si>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</si>
  <si>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</si>
  <si>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</si>
  <si>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</si>
  <si>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</si>
  <si>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</si>
  <si>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</si>
  <si>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</si>
  <si>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</si>
  <si>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</si>
  <si>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</si>
  <si>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</si>
  <si>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</si>
  <si>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</si>
  <si>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</si>
  <si>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</si>
  <si>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</si>
  <si>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</si>
  <si>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</si>
  <si>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</si>
  <si>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</si>
  <si>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</si>
  <si>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</si>
  <si>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</si>
  <si>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</si>
  <si>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</si>
  <si>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</si>
  <si>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</si>
  <si>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</si>
  <si>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</si>
  <si>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</si>
  <si>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</si>
  <si>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</si>
  <si>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</si>
  <si>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</si>
  <si>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</si>
  <si>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</si>
  <si>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</si>
  <si>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</si>
  <si>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</si>
  <si>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</si>
  <si>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</si>
  <si>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</si>
  <si>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</si>
  <si>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</si>
  <si>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</si>
  <si>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</si>
  <si>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</si>
  <si>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</si>
  <si>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</si>
  <si>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</si>
  <si>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</si>
  <si>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</si>
  <si>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</si>
  <si>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</si>
  <si>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</si>
  <si>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</si>
  <si>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</si>
  <si>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</si>
  <si>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</si>
  <si>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</si>
  <si>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</si>
  <si>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</si>
  <si>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</si>
  <si>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</si>
  <si>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</si>
  <si>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</si>
  <si>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</si>
  <si>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</si>
  <si>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</si>
  <si>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</si>
  <si>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</si>
  <si>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</si>
  <si>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</si>
  <si>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</si>
  <si>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</si>
  <si>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</si>
  <si>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</si>
  <si>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</si>
  <si>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</si>
  <si>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</si>
  <si>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</si>
  <si>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</si>
  <si>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</si>
  <si>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</si>
  <si>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</si>
  <si>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</si>
  <si>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</si>
  <si>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</si>
  <si>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</si>
  <si>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</si>
  <si>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</si>
  <si>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</si>
  <si>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</si>
  <si>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</si>
  <si>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</si>
  <si>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</si>
  <si>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</si>
  <si>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</si>
  <si>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</si>
  <si>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</si>
  <si>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</si>
  <si>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</si>
  <si>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</si>
  <si>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</si>
  <si>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VARCHAR(10)</t>
  </si>
  <si>
    <t>CONTAINER_NO</t>
  </si>
  <si>
    <t>VARCHAR(15)</t>
  </si>
  <si>
    <t>DATE</t>
  </si>
  <si>
    <t>VARCHAR(20)</t>
  </si>
  <si>
    <t>VARCHAR(1)</t>
  </si>
  <si>
    <t>PLATE_NO</t>
  </si>
  <si>
    <t>RENBAN</t>
  </si>
  <si>
    <t>DATE_IN</t>
  </si>
  <si>
    <t>DRIVER_NAME</t>
  </si>
  <si>
    <t>VARCHAR(50)</t>
  </si>
  <si>
    <t>FORWARDER</t>
  </si>
  <si>
    <t>VARCHAR(100)</t>
  </si>
  <si>
    <t>TIME_IN</t>
  </si>
  <si>
    <t>TIME_OUT</t>
  </si>
  <si>
    <t>CKD_REQ_ID</t>
  </si>
  <si>
    <t>CARD_NO</t>
  </si>
  <si>
    <t>MOBILE</t>
  </si>
  <si>
    <t>CALL_TIME</t>
  </si>
  <si>
    <t>CANCEL_TIME</t>
  </si>
  <si>
    <t>START_TIME</t>
  </si>
  <si>
    <t>DATETIME2</t>
  </si>
  <si>
    <t>FINISH_TIME</t>
  </si>
  <si>
    <t>ID_NO</t>
  </si>
  <si>
    <t>InvCkdContainerDeliveryGateIn</t>
  </si>
  <si>
    <t>ContainerDeliveryGateIn</t>
  </si>
  <si>
    <t>Container Gate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</si>
</sst>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1" zoomScaleNormal="100" workbookViewId="0">
      <selection activeCell="F75" sqref="F7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346</v>
      </c>
      <c r="F18" s="1" t="s">
        <v>348</v>
      </c>
      <c r="G18" t="s">
        <v>347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320</v>
      </c>
      <c r="F42" s="1" t="s">
        <v>333</v>
      </c>
      <c r="G42" t="s">
        <v>333</v>
      </c>
    </row>
    <row r="43" spans="1:8" x14ac:dyDescent="0.25">
      <c r="A43" s="1"/>
      <c r="D43" t="s">
        <v>321</v>
      </c>
      <c r="F43" s="1" t="s">
        <v>327</v>
      </c>
      <c r="G43" t="s">
        <v>334</v>
      </c>
    </row>
    <row r="44" spans="1:8" x14ac:dyDescent="0.25">
      <c r="A44" s="1"/>
      <c r="D44" t="s">
        <v>323</v>
      </c>
      <c r="F44" s="1" t="s">
        <v>328</v>
      </c>
      <c r="G44" t="s">
        <v>335</v>
      </c>
    </row>
    <row r="45" spans="1:8" x14ac:dyDescent="0.25">
      <c r="A45" s="1"/>
      <c r="D45" t="s">
        <v>322</v>
      </c>
      <c r="F45" s="1" t="s">
        <v>329</v>
      </c>
      <c r="G45" t="s">
        <v>336</v>
      </c>
    </row>
    <row r="46" spans="1:8" x14ac:dyDescent="0.25">
      <c r="A46" s="1"/>
      <c r="D46" t="s">
        <v>325</v>
      </c>
      <c r="F46" s="1" t="s">
        <v>330</v>
      </c>
      <c r="G46" t="s">
        <v>337</v>
      </c>
    </row>
    <row r="47" spans="1:8" x14ac:dyDescent="0.25">
      <c r="A47" s="1"/>
      <c r="D47" t="s">
        <v>343</v>
      </c>
      <c r="F47" s="1" t="s">
        <v>344</v>
      </c>
      <c r="G47" t="s">
        <v>345</v>
      </c>
    </row>
    <row r="48" spans="1:8" x14ac:dyDescent="0.25">
      <c r="A48" s="1"/>
      <c r="D48" t="s">
        <v>326</v>
      </c>
      <c r="F48" s="1" t="s">
        <v>331</v>
      </c>
      <c r="G48" t="s">
        <v>338</v>
      </c>
    </row>
    <row r="49" spans="1:7" x14ac:dyDescent="0.25">
      <c r="A49" s="1"/>
      <c r="D49" t="s">
        <v>324</v>
      </c>
      <c r="F49" s="1" t="s">
        <v>332</v>
      </c>
      <c r="G49" t="s">
        <v>339</v>
      </c>
    </row>
    <row r="50" spans="1:7" x14ac:dyDescent="0.25">
      <c r="A50" s="1"/>
      <c r="D50" t="s">
        <v>340</v>
      </c>
      <c r="F50" s="1" t="s">
        <v>341</v>
      </c>
      <c r="G50" t="s">
        <v>342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[Table("InvCkdContainerDeliveryGateIn")]
	public class InvCkdContainerDeliveryGateIn: FullAuditedEntity&lt;long&gt;, IEntity&lt;long&gt;	
	{
		public const int MaxPlateNoLength = 20;
		public const int MaxContainerNoLength = 15;
		public const int MaxRenbanLength = 20;
		public const int MaxDriverNameLength = 50;
		public const int MaxForwarderLength = 100;
		public const int MaxCardNoLength = 10;
		public const int MaxMobileLength = 50;
		public const int MaxIdNoLength = 100;
		public const int MaxIsActiveLength = 1;
		[StringLength(MaxPlateNoLength)]
		public virtual string PlateNo { get; set; }
		[StringLength(MaxContainerNoLength)]
		public virtual string ContainerNo { get; set; }
		[StringLength(MaxRenbanLength)]
		public virtual string Renban { get; set; }
		public virtual DateTime? DateIn { get; set; }
		[StringLength(MaxDriverNameLength)]
		public virtual string DriverName { get; set; }
		[StringLength(MaxForwarderLength)]
		public virtual string Forwarder { get; set; }
		public virtual int? TimeIn { get; set; }
		public virtual int? TimeOut { get; set; }
		public virtual long? CkdReqId { get; set; }
		[StringLength(MaxCardNoLength)]
		public virtual string CardNo { get; set; }
		[StringLength(MaxMobileLength)]
		public virtual string Mobile { get; set; }
		public virtual DateTime? CallTime { get; set; }
		public virtual DateTime? CancelTime { get; set; }
		public virtual DateTime? StartTime { get; set; }
		public virtual DateTime? FinishTime { get; set; }
		[StringLength(MaxIdNoLength)]
		public virtual string IdNo { get; set; }
		[StringLength(MaxIsActiveLength)]
		public virtual string IsActive { get; set; }
	}
}
</v>
      </c>
      <c r="D68" s="48" t="str">
        <f>A.Backend!O7</f>
        <v xml:space="preserve">		public const string Pages_Inventory_CKD_ContainerDeliveryGateIn = "Pages.Inventory.CKD.ContainerDeliveryGateIn";
		public const string Pages_Inventory_CKD_ContainerDeliveryGateIn_CreateEdit = "Pages.Inventory.CKD.ContainerDeliveryGateIn.CreateEdit";
		public const string Pages_Inventory_CKD_ContainerDeliveryGateIn_Delete = "Pages.Inventory.CKD.ContainerDeliveryGateIn.Delete";
</v>
      </c>
      <c r="E68" s="48" t="str">
        <f>A.Backend!N7</f>
        <v xml:space="preserve">		var perInvCkdContainerDeliveryGateIn = PARENTS.CreateChildPermission(AppPermissions.Pages_Inventory_CKD_ContainerDeliveryGateIn, L( "InventoryCKDContainerDeliveryGateIn"), multiTenancySides: MultiTenancySides.Tenant);
		perInvCkdContainerDeliveryGateIn.CreateChildPermission(AppPermissions.Pages_Inventory_CKD_ContainerDeliveryGateIn_CreateEdit, L( "InventoryCKDContainerDeliveryGateInCreateEdit"), multiTenancySides: MultiTenancySides.Tenant);
		perInvCkdContainerDeliveryGateIn.CreateChildPermission(AppPermissions.Pages_Inventory_CKD_ContainerDeliveryGateIn_Delete, L( "InventoryCKDContainerDeliveryGateInDelete"), multiTenancySides: MultiTenancySides.Tenant);</v>
      </c>
      <c r="F68" s="48" t="str">
        <f>A.Backend!K7</f>
        <v>public virtual DbSet&lt;InvCkdContainerDeliveryGateIn&gt; InvCkdContainerDeliveryGateIns { get; set; }</v>
      </c>
      <c r="G68" s="48" t="str">
        <f ca="1">A.Backend!L7</f>
        <v xml:space="preserve">namespace prod.Inventory.CKD
{
	public class InvCkdContainerDeliveryGateInConsts	
	{
		public const int MaxPlateNoLength = 20;
		public const int MaxContainerNoLength = 15;
		public const int MaxRenbanLength = 20;
		public const int MaxDriverNameLength = 50;
		public const int MaxForwarderLength = 100;
		public const int MaxCardNoLength = 10;
		public const int MaxMobileLength = 50;
		public const int MaxIdNoLength = 100;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InvCkdContainerDeliveryGateInDto : EntityDto&lt;long?&gt;	
	{
		public virtual string PlateNo { get; set; }
		public virtual string ContainerNo { get; set; }
		public virtual string Renban { get; set; }
		public virtual DateTime? DateIn { get; set; }
		public virtual string DriverName { get; set; }
		public virtual string Forwarder { get; set; }
		public virtual int? TimeIn { get; set; }
		public virtual int? TimeOut { get; set; }
		public virtual long? CkdReqId { get; set; }
		public virtual string CardNo { get; set; }
		public virtual string Mobile { get; set; }
		public virtual DateTime? CallTime { get; set; }
		public virtual DateTime? CancelTime { get; set; }
		public virtual DateTime? StartTime { get; set; }
		public virtual DateTime? FinishTime { get; set; }
		public virtual string IdNo { get; set; }
		public virtual string IsActive { get; set; }
	}
	public class CreateOrEditInvCkdContainerDeliveryGateInDto : EntityDto&lt;long?&gt;	
	{
		[StringLength(InvCkdContainerDeliveryGateInConsts.MaxPlateNoLength)]
		public virtual string PlateNo { get; set; }
		[StringLength(InvCkdContainerDeliveryGateInConsts.MaxContainerNoLength)]
		public virtual string ContainerNo { get; set; }
		[StringLength(InvCkdContainerDeliveryGateInConsts.MaxRenbanLength)]
		public virtual string Renban { get; set; }
		public virtual DateTime? DateIn { get; set; }
		[StringLength(InvCkdContainerDeliveryGateInConsts.MaxDriverNameLength)]
		public virtual string DriverName { get; set; }
		[StringLength(InvCkdContainerDeliveryGateInConsts.MaxForwarderLength)]
		public virtual string Forwarder { get; set; }
		public virtual int? TimeIn { get; set; }
		public virtual int? TimeOut { get; set; }
		public virtual long? CkdReqId { get; set; }
		[StringLength(InvCkdContainerDeliveryGateInConsts.MaxCardNoLength)]
		public virtual string CardNo { get; set; }
		[StringLength(InvCkdContainerDeliveryGateInConsts.MaxMobileLength)]
		public virtual string Mobile { get; set; }
		public virtual DateTime? CallTime { get; set; }
		public virtual DateTime? CancelTime { get; set; }
		public virtual DateTime? StartTime { get; set; }
		public virtual DateTime? FinishTime { get; set; }
		[StringLength(InvCkdContainerDeliveryGateInConsts.MaxIdNoLength)]
		public virtual string IdNo { get; set; }
		[StringLength(InvCkdContainerDeliveryGateInConsts.MaxIsActiveLength)]
		public virtual string IsActive { get; set; }
	}
	public class GetInvCkdContainerDeliveryGateInInput : PagedAndSortedResultRequestDto	
	{
		public virtual string PlateNo { get; set; }
		public virtual string ContainerNo { get; set; }
		public virtual string Renban { get; set; }
		public virtual string DriverName { get; set; }
		public virtual string Forwarder { get; set; }
		public virtual string CardNo { get; set; }
		public virtual string Mobile { get; set; }
		public virtual string IdNo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InvCkdContainerDeliveryGateInExportInput{
		public virtual string PlateNo { get; set; }
		public virtual string ContainerNo { get; set; }
		public virtual string Renban { get; set; }
		public virtual DateTime? DateIn { get; set; }
		public virtual string DriverName { get; set; }
		public virtual string Forwarder { get; set; }
		public virtual int? TimeIn { get; set; }
		public virtual int? TimeOut { get; set; }
		public virtual long? CkdReqId { get; set; }
		public virtual string CardNo { get; set; }
		public virtual string Mobile { get; set; }
		public virtual DateTime? CallTime { get; set; }
		public virtual DateTime? CancelTime { get; set; }
		public virtual DateTime? StartTime { get; set; }
		public virtual DateTime? FinishTime { get; set; }
		public virtual string IdNo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IInvCkdContainerDeliveryGateInAppService : IApplicationService
	{
		Task&lt;PagedResultDto&lt;InvCkdContainerDeliveryGateInDto&gt;&gt; GetAll(GetInvCkdContainerDeliveryGateInInput input);
		Task CreateOrEdit(CreateOrEditInvCkdContainerDeliveryGateInDto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IInvCkdContainerDeliveryGateInExcelExporter : IApplicationService
	{
		FileDto ExportToFile(List&lt;InvCkdContainerDeliveryGateInDto&gt; invckdcontainerdeliverygatein);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InvCkdContainerDeliveryGateInExcelExporter : NpoiExcelExporterBase, IInvCkdContainerDeliveryGateInExcelExporter
    {
        public InvCkdContainerDeliveryGateInExcelExporter(ITempFileCacheManager tempFileCacheManager) : base(tempFileCacheManager) { }
        public FileDto ExportToFile(List&lt;InvCkdContainerDeliveryGateInDto&gt; containerdeliverygatein)
        {
            return CreateExcelPackage(
				"InventoryCKDContainerDeliveryGateIn.xlsx",
				excelPackage =&gt;
				 {
					var sheet = excelPackage.CreateSheet("ContainerDeliveryGateIn");
					AddHeader(
								sheet,
								("PlateNo"),
								("ContainerNo"),
								("Renban"),
								("DateIn"),
								("DriverName"),
								("Forwarder"),
								("TimeIn"),
								("TimeOut"),
								("CkdReqId"),
								("CardNo"),
								("Mobile"),
								("CallTime"),
								("CancelTime"),
								("StartTime"),
								("FinishTime"),
								("IdNo"),
								("IsActive"),
							   );
					AddObjects(
						 sheet, 1, containerdeliverygatein,                                       
								_ =&gt; _.PlateNo,
								_ =&gt; _.ContainerNo,
								_ =&gt; _.Renban,
								_ =&gt; _.DateIn,
								_ =&gt; _.DriverName,
								_ =&gt; _.Forwarder,
								_ =&gt; _.TimeIn,
								_ =&gt; _.TimeOut,
								_ =&gt; _.CkdReqId,
								_ =&gt; _.CardNo,
								_ =&gt; _.Mobile,
								_ =&gt; _.CallTime,
								_ =&gt; _.CancelTime,
								_ =&gt; _.StartTime,
								_ =&gt; _.FinishTime,
								_ =&gt; _.IdNo,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[AbpAuthorize(AppPermissions.Pages_Inventory_CKD_ContainerDeliveryGateIn)]
    public class InvCkdContainerDeliveryGateInAppService : vovinaAppServiceBase, IInvCkdContainerDeliveryGateInAppService
    {
        private readonly IDapperRepository&lt;InvCkdContainerDeliveryGateIn, long&gt; _dapperRepo;
        private readonly IRepository&lt;InvCkdContainerDeliveryGateIn, long&gt; _repo;
        private readonly IInvCkdContainerDeliveryGateInExcelExporter _calendarListExcelExporter;
        public InvCkdContainerDeliveryGateInAppService(IRepository&lt;InvCkdContainerDeliveryGateIn,long&gt; repo, 
                                         IDapperRepository&lt;InvCkdContainerDeliveryGateIn,long&gt; dapperRepo,
                                        IInvCkdContainerDeliveryGateInExcelExporter calendarListExcelExporter
            )
        {
            _repo = repo;
            _dapperRepo = dapperRepo;
            _calendarListExcelExporter = calendarListExcelExporter;
        }
        [AbpAuthorize(AppPermissions.Pages_Inventory_CKD_ContainerDeliveryGateIn_CreateEdit)]
        public async Task CreateOrEdit(CreateOrEditInvCkdContainerDeliveryGateInDto input)
        {
            if (input.Id == null) await Create(input);
            else await Update(input);
        }
        //CREATE
        private async Task Create(CreateOrEditInvCkdContainerDeliveryGateInDto input)
        {          
            var mainObj = ObjectMapper.Map&lt;InvCkdContainerDeliveryGateIn&gt;(input);
            await CurrentUnitOfWork.GetDbContext&lt;vovinaDbContext&gt;().AddAsync(mainObj);
        }
        // EDIT
        private async Task Update(CreateOrEditInvCkdContainerDeliveryGateInDto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[AbpAuthorize(AppPermissions.Pages_Inventory_CKD_ContainerDeliveryGateIn_Delete)]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Task&lt;PagedResultDto&lt;InvCkdContainerDeliveryGateInDto&gt;&gt; GetAll(GetInvCkdContainerDeliveryGateInInput input)
        {
            var filtered = _repo.GetAll()
				.WhereIf(!string.IsNullOrWhiteSpace(input.PlateNo), e =&gt; e.PlateNo.Contains(input.PlateNo))
				.WhereIf(!string.IsNullOrWhiteSpace(input.ContainerNo), e =&gt; e.ContainerNo.Contains(input.ContainerNo))
				.WhereIf(!string.IsNullOrWhiteSpace(input.Renban), e =&gt; e.Renban.Contains(input.Renban))
				.WhereIf(!string.IsNullOrWhiteSpace(input.DriverName), e =&gt; e.DriverName.Contains(input.DriverName))
				.WhereIf(!string.IsNullOrWhiteSpace(input.Forwarder), e =&gt; e.Forwarder.Contains(input.Forwarder))
				.WhereIf(!string.IsNullOrWhiteSpace(input.CardNo), e =&gt; e.CardNo.Contains(input.CardNo))
				.WhereIf(!string.IsNullOrWhiteSpace(input.Mobile), e =&gt; e.Mobile.Contains(input.Mobile))
				.WhereIf(!string.IsNullOrWhiteSpace(input.IdNo), e =&gt; e.IdNo.Contains(input.IdNo))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InvCkdContainerDeliveryGateInDto
                        {
							Id = o.Id,
							PlateNo = o.PlateNo,
							ContainerNo = o.ContainerNo,
							Renban = o.Renban,
							DateIn = o.DateIn,
							DriverName = o.DriverName,
							Forwarder = o.Forwarder,
							TimeIn = o.TimeIn,
							TimeOut = o.TimeOut,
							CkdReqId = o.CkdReqId,
							CardNo = o.CardNo,
							Mobile = o.Mobile,
							CallTime = o.CallTime,
							CancelTime = o.CancelTime,
							StartTime = o.StartTime,
							FinishTime = o.FinishTime,
							IdNo = o.IdNo,
							IsActive = o.IsActive,
                        };
            var totalCount = await filtered.CountAsync();
			var paged = system.PageBy(input);
            return new PagedResultDto&lt;InvCkdContainerDeliveryGateInDto&gt;(
                totalCount,
                 await paged.ToListAsync()
            );
        }
        public async Task&lt;FileDto&gt; GetContainerDeliveryGateInToExcel(InvCkdContainerDeliveryGateInExportInput input)
        {
            var query = from o in _repo.GetAll()
                        select new InvCkdContainerDeliveryGateInDto
                        {
							Id = o.Id,
							PlateNo = o.PlateNo,
							ContainerNo = o.ContainerNo,
							Renban = o.Renban,
							DateIn = o.DateIn,
							DriverName = o.DriverName,
							Forwarder = o.Forwarder,
							TimeIn = o.TimeIn,
							TimeOut = o.TimeOut,
							CkdReqId = o.CkdReqId,
							CardNo = o.CardNo,
							Mobile = o.Mobile,
							CallTime = o.CallTime,
							CancelTime = o.CancelTime,
							StartTime = o.StartTime,
							FinishTime = o.FinishTime,
							IdNo = o.IdNo,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_dapperRepo.ExecuteAsync(InvCkdContainerDeliveryGateInConsts.SP_MST_WPT_CALENDAR_GENERATE);
       // }
    }
}</v>
      </c>
      <c r="N68" s="58" t="str">
        <f>A.Backend!U7</f>
        <v xml:space="preserve">  configuration.CreateMap&lt;InvCkdContainerDeliveryGateInDto, InvCkdContainerDeliveryGateIn&gt;();
  configuration.CreateMap&lt;InvCkdContainerDeliveryGateIn, InvCkdContainerDeliveryGateInDto&gt;();
  configuration.CreateMap&lt;CreateOrEditInvCkdContainerDeliveryGateInDto, InvCkdContainerDeliveryGateIn&gt;();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containerdeliverygatein</v>
      </c>
      <c r="C73" s="66" t="str">
        <f>"create folder " &amp;B73</f>
        <v>create folder containerdeliverygatein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containerdeliverygatein.component.ts</v>
      </c>
      <c r="D74" s="28" t="str">
        <f>B.Frontend!I14</f>
        <v>containerdeliverygatein.component.html</v>
      </c>
      <c r="E74" s="28" t="str">
        <f>B.Frontend!J14</f>
        <v>containerdeliverygatein.component.less</v>
      </c>
      <c r="F74" s="28" t="str">
        <f>B.Frontend!K14</f>
        <v>create-or-edit-containerdeliverygatein-modal.component.html</v>
      </c>
      <c r="G74" s="28" t="str">
        <f>B.Frontend!L14</f>
        <v>create-or-edit-containerdeliverygatein-modal.component.ts</v>
      </c>
      <c r="H74" s="28" t="str">
        <f>B.Frontend!M14</f>
        <v>create-or-edit-containerdeliverygatein-modal.component.less</v>
      </c>
      <c r="I74" s="28" t="str">
        <f>B.Frontend!N14</f>
        <v>containerdeliverygatein.module.ts</v>
      </c>
      <c r="J74" s="28" t="str">
        <f>B.Frontend!O14</f>
        <v>containerdeliverygatein-routing.module.ts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InvCkdContainerDeliveryGateInDto, InvCkdContainerDeliveryGateInServiceProxy } from '@shared/service-proxies/service-proxies';
import { finalize } from 'rxjs/internal/operators/finalize';
import { CreateOrEditContainerDeliveryGateInModalComponent } from './create-or-edit-containerdeliverygatein-modal.component';
import { DatePipe } from '@angular/common';
import { FileDownloadService } from '@shared/utils/file-download.service';
import ceil from 'lodash-es/ceil';
import { Paginator } from 'primeng/paginator';
@Component({
    templateUrl: './containerdeliverygatein.component.html',
    styleUrls: ['./containerdeliverygatein.component.less'],
})
export class ContainerDeliveryGateInComponent extends AppComponentBase implements OnInit {
    @ViewChild('createOrEditModalContainerDeliveryGateIn', { static: true }) createOrEditModalContainerDeliveryGateIn:| CreateOrEditContainerDeliveryGateInModalComponent|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InvCkdContainerDeliveryGateInDto = new InvCkdContainerDeliveryGateInDto();
    saveSelectedRow: InvCkdContainerDeliveryGateInDto = new InvCkdContainerDeliveryGateInDto();
    datas: InvCkdContainerDeliveryGateInDto = new InvCkdContainerDeliveryGateInDto();
    isLoading: boolean = false;
    dataParams: GridParams | undefined;
    rowData: any[] = [];
    gridApi!: GridApi;
    rowSelection = 'multiple';
    filter: string = '';
	pipe = new DatePipe('en-US');
	frameworkComponents: FrameworkComponent;
    	plateNo : string = '' ; 
	containerNo : string = '' ; 
	renban : string = '' ; 
	dateIn
	driverName : string = '' ; 
	forwarder : string = '' ; 
	timeIn
	timeOut
	ckdReqId
	cardNo : string = '' ; 
	mobile : string = '' ; 
	callTime
	cancelTime
	startTime
	finishTime
	idNo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InvCkdContainerDeliveryGateInServiceProxy,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this.l('Plate No'),headerTooltip: this.l('Plate No'),field: 'plateNo',flex: 1},
			{headerName: this.l('Container No'),headerTooltip: this.l('Container No'),field: 'containerNo',flex: 1},
			{headerName: this.l('Renban'),headerTooltip: this.l('Renban'),field: 'renban',flex: 1},
			{headerName: this.l('Date In'),headerTooltip: this.l('Date In'),field: 'dateIn',flex: 1},
			{headerName: this.l('Driver Name'),headerTooltip: this.l('Driver Name'),field: 'driverName',flex: 1},
			{headerName: this.l('Forwarder'),headerTooltip: this.l('Forwarder'),field: 'forwarder',flex: 1},
			{headerName: this.l('Time In'),headerTooltip: this.l('Time In'),field: 'timeIn',flex: 1},
			{headerName: this.l('Time Out'),headerTooltip: this.l('Time Out'),field: 'timeOut',flex: 1},
			{headerName: this.l('Ckd Req Id'),headerTooltip: this.l('Ckd Req Id'),field: 'ckdReqId',flex: 1},
			{headerName: this.l('Card No'),headerTooltip: this.l('Card No'),field: 'cardNo',flex: 1},
			{headerName: this.l('Mobile'),headerTooltip: this.l('Mobile'),field: 'mobile',flex: 1},
			{headerName: this.l('Call Time'),headerTooltip: this.l('Call Time'),field: 'callTime',flex: 1},
			{headerName: this.l('Cancel Time'),headerTooltip: this.l('Cancel Time'),field: 'cancelTime',flex: 1},
			{headerName: this.l('Start Time'),headerTooltip: this.l('Start Time'),field: 'startTime',flex: 1},
			{headerName: this.l('Finish Time'),headerTooltip: this.l('Finish Time'),field: 'finishTime',flex: 1},
			{headerName: this.l('Id No'),headerTooltip: this.l('Id No'),field: 'idNo',flex: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this.plateNo,
			this.containerNo,
			this.renban,
			this.dateIn,
			this.driverName,
			this.forwarder,
			this.timeIn,
			this.timeOut,
			this.ckdReqId,
			this.cardNo,
			this.mobile,
			this.callTime,
			this.cancelTime,
			this.startTime,
			this.finishTime,
			this.idNo,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this.plateNo = '',
		this.containerNo = '',
		this.renban = '',
		this.dateIn = '',
		this.driverName = '',
		this.forwarder = '',
		this.timeIn = '',
		this.timeOut = '',
		this.ckdReqId = '',
		this.cardNo = '',
		this.mobile = '',
		this.callTime = '',
		this.cancelTime = '',
		this.startTime = '',
		this.finishTime = '',
		this.idNo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this.plateNo,
			this.containerNo,
			this.renban,
			this.dateIn,
			this.driverName,
			this.forwarder,
			this.timeIn,
			this.timeOut,
			this.ckdReqId,
			this.cardNo,
			this.mobile,
			this.callTime,
			this.cancelTime,
			this.startTime,
			this.finishTime,
			this.idNo,
			this.isActive,
			'',
            this.paginationParams.skipCount,
            this.paginationParams.pageSize
        );
    }
    onChangeRowSelection(params: { api: { getSelectedRows: () =&gt; InvCkdContainerDeliveryGateInDto[] } }) {
        this.saveSelectedRow = params.api.getSelectedRows()[0] ?? new InvCkdContainerDeliveryGateInDto();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InvCkdContainerDeliveryGateInDto):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this._service.getContainerDeliveryGateInToExcel(
			this.plateNo,
			this.containerNo,
			this.renban,
			this.dateIn,
			this.driverName,
			this.forwarder,
			this.timeIn,
			this.timeOut,
			this.ckdReqId,
			this.cardNo,
			this.mobile,
			this.callTime,
			this.cancelTime,
			this.startTime,
			this.finishTime,
			this.idNo,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Gate In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[(ngModel)]='plateNo' name='plateNo'
									class='form-control' [placeholder]="l('Plate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[(ngModel)]='driverName' name='driverName'
									class='form-control' [placeholder]="l('Driver Name')"
									type='text' (keyup.enter)='searchDatas()'&gt;
								&lt;/div&gt;
								&lt;div class='input-search'&gt;
									&lt;input [(ngModel)]='forwarder' name='forwarder'
									class='form-control' [placeholder]="l('Forwarder')"
									type='text' (keyup.enter)='searchDatas()'&gt;
								&lt;/div&gt;
								&lt;div class='input-search'&gt;
									&lt;input [(ngModel)]='cardNo' name='cardNo'
									class='form-control' [placeholder]="l('Card No')"
									type='text' (keyup.enter)='searchDatas()'&gt;
								&lt;/div&gt;
								&lt;div class='input-search'&gt;
									&lt;input [(ngModel)]='mobile' name='mobile'
									class='form-control' [placeholder]="l('Mobile')"
									type='text' (keyup.enter)='searchDatas()'&gt;
								&lt;/div&gt;
								&lt;div class='input-search'&gt;
									&lt;input [(ngModel)]='idNo' name='idNo'
									class='form-control' [placeholder]="l('Id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(click)="createOrEditModalContainerDeliveryGateIn.show()"&gt;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(click)="createOrEditModalContainerDeliveryGateIn.show(selectedRow)"&gt;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&lt;create-or-edit-containerdeliverygatein-modal
    #createOrEditModalContainerDeliveryGateIn
    (modalSave)="callBackDataGrid(dataParams)"
    (modalClose)="onChangeRowSelection(dataParams)"
&gt;
&lt;/create-or-edit-containerdeliverygatein-modal&gt;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#createOrEditModalContainerDeliveryGateIn="bs-modal"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ContainerDeliveryGateIn')}}&lt;/h3&gt;
                    &lt;h3 *ngIf="!rowdata.id"&gt;{{('Create New ContainerDeliveryGateIn')}}&lt;/h3&gt;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title'&gt;Plate No&lt;/label&gt;
						&lt;input type='text' class='col-md-10 form-control input-text' name='PlateNo' [(ngModel)]='rowdata.plateNo'&gt;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title'&gt;Driver Name&lt;/label&gt;
						&lt;input type='text' class='col-md-10 form-control input-text' name='DriverName' [(ngModel)]='rowdata.driverName'&gt;
					&lt;/div&gt;
					&lt;div class='col-md-12 form-group row'&gt;
						&lt;label class='col-md-2 form-control title'&gt;Forwarder&lt;/label&gt;
						&lt;input type='text' class='col-md-10 form-control input-text' name='Forwarder' [(ngModel)]='rowdata.forwarder'&gt;
					&lt;/div&gt;
					&lt;div class='col-md-12 form-group row'&gt;
						&lt;label class='col-md-2 form-control title'&gt;Time In&lt;/label&gt;
						&lt;input type='number' class='col-md-10 form-control input-text' name='TimeIn' [(ngModel)]='rowdata.timeIn'&gt;
					&lt;/div&gt;
					&lt;div class='col-md-12 form-group row'&gt;
						&lt;label class='col-md-2 form-control title'&gt;Time Out&lt;/label&gt;
						&lt;input type='number' class='col-md-10 form-control input-text' name='TimeOut' [(ngModel)]='rowdata.timeOut'&gt;
					&lt;/div&gt;
					&lt;div class='col-md-12 form-group row'&gt;
						&lt;label class='col-md-2 form-control title'&gt;Ckd Req Id&lt;/label&gt;
						&lt;input type='number' class='col-md-10 form-control input-text' name='CkdReqId' [(ngModel)]='rowdata.ckdReqId'&gt;
					&lt;/div&gt;
					&lt;div class='col-md-12 form-group row'&gt;
						&lt;label class='col-md-2 form-control title'&gt;Card No&lt;/label&gt;
						&lt;input type='text' class='col-md-10 form-control input-text' name='CardNo' [(ngModel)]='rowdata.cardNo'&gt;
					&lt;/div&gt;
					&lt;div class='col-md-12 form-group row'&gt;
						&lt;label class='col-md-2 form-control title'&gt;Mobile&lt;/label&gt;
						&lt;input type='text' class='col-md-10 form-control input-text' name='Mobile' [(ngModel)]='rowdata.mobile'&gt;
					&lt;/div&gt;
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
					&lt;div class='col-md-12 form-group row'&gt;
						&lt;label class='col-md-2 form-control title'&gt;Cancel Time&lt;/label&gt;
						&lt;input type='text' class='col-md-10 form-control input-text' name='cancelTime' 
						#datepicker='bsDatepicker' [(ngModel)]='rowdata.cancelTime'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
					&lt;div class='col-md-12 form-group row'&gt;
						&lt;label class='col-md-2 form-control title'&gt;Id No&lt;/label&gt;
						&lt;input type='text' class='col-md-10 form-control input-text' name='IdNo' [(ngModel)]='rowdata.idNo'&gt;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CreateOrEditInvCkdContainerDeliveryGateInDto, InvCkdContainerDeliveryGateInServiceProxy } from '@shared/service-proxies/service-proxies';
import { BsDatepickerDirective } from 'ngx-bootstrap/datepicker';
@Component({
    selector: 'create-or-edit-containerdeliverygatein-modal',
    templateUrl: './create-or-edit-containerdeliverygatein-modal.component.html',
    styleUrls: ['./create-or-edit-containerdeliverygatein-modal.component.less']
    })
export class CreateOrEditContainerDeliveryGateInModalComponent extends AppComponentBase {
    @ViewChild('createOrEditModalContainerDeliveryGateIn',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CreateOrEditInvCkdContainerDeliveryGateInDto = new CreateOrEditInvCkdContainerDeliveryGateInDto();
    active: boolean = false;
    saving: boolean = false;
    _isActive: boolean;
    constructor(
        injector: Injector,
        private _mstwptContainerDeliveryGateInService: InvCkdContainerDeliveryGateInServiceProxy,
    ) 
    {
        super(injector);
    }
    show(rowdata?: CreateOrEditInvCkdContainerDeliveryGateInDto): void {
        if (!rowdata) this.rowdata = new CreateOrEditInvCkdContainerDeliveryGateInDto();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this._mstwptContainerDeliveryGateInService.createOrEdit(this.rowdata)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ContainerDeliveryGateInRoutingModule } from './containerdeliverygatein-routing.module';
import { ContainerDeliveryGateInComponent } from './containerdeliverygatein.component';
import { CreateOrEditContainerDeliveryGateInModalComponent } from './create-or-edit-containerdeliverygatein-modal.component';
@NgModule({
    declarations: [
       ContainerDeliveryGateInComponent, 
        CreateOrEditContainerDeliveryGateInModalComponent
    ],
    imports: [
        AppSharedModule, ContainerDeliveryGateInRoutingModule]
})
export class ContainerDeliveryGateInModule {}</v>
      </c>
      <c r="J75" s="46" t="str">
        <f>B.Frontend!O10</f>
        <v>import {NgModule} from '@angular/core';
import {RouterModule, Routes} from '@angular/router';
import { ContainerDeliveryGateInComponent } from './containerdeliverygatein.component';
const routes: Routes = [{
    path: '',
    component: ContainerDeliveryGateInComponent,
    pathMatch: 'full'
}];
@NgModule({
    imports: [RouterModule.forChild(routes)],
    exports: [RouterModule],
})
export class ContainerDeliveryGateInRoutingModule {}</v>
      </c>
      <c r="K75" s="46" t="str">
        <f>B.Frontend!P10</f>
        <v xml:space="preserve"> new AppMenuItem("ContainerDeliveryGateIn", "Pages.Inventory.CKD.ContainerDeliveryGateIn", "flaticon-book",   "/app/main/inventory/ckd/containerdeliverygatein"),</v>
      </c>
      <c r="L75" s="47" t="str">
        <f>B.Frontend!Q10</f>
        <v>{
    path: 'inventory/ckd/containerdeliverygatein',
    loadChildren: () =&gt; import('./inventory/ckd/containerdeliverygatein/containerdeliverygatein.module').then(m =&gt; m.ContainerDeliveryGateInModule),
    data: { permission: 'Pages.Inventory.CKD.ContainerDeliveryGateIn' }
},</v>
      </c>
      <c r="M75" s="45" t="str">
        <f>B.Frontend!R10</f>
        <v>ApiServiceProxies.InvCkdContainerDeliveryGateInServiceProxy,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7"/>
  <sheetViews>
    <sheetView topLeftCell="A7" workbookViewId="0">
      <pane xSplit="1" topLeftCell="B1" activePane="topRight" state="frozen"/>
      <selection pane="topRight" activeCell="B20" sqref="B20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380</v>
      </c>
      <c r="C3" s="9" t="s">
        <v>41</v>
      </c>
      <c r="D3" s="9" t="s">
        <v>42</v>
      </c>
      <c r="E3" s="9" t="s">
        <v>37</v>
      </c>
      <c r="F3" s="10" t="str">
        <f>"J"&amp;COUNTA($A:$A)</f>
        <v>J25</v>
      </c>
      <c r="G3" s="4" t="s">
        <v>54</v>
      </c>
      <c r="H3" s="9" t="str">
        <f>"I"&amp;COUNTA($A:$A)</f>
        <v>I25</v>
      </c>
      <c r="I3" s="9" t="str">
        <f>REPT(CHAR(9),2)&amp;"[Required]"&amp;"
"</f>
        <v xml:space="preserve">		[Required]
</v>
      </c>
      <c r="J3" s="10" t="str">
        <f>"L"&amp;COUNTA($A:$A)</f>
        <v>L25</v>
      </c>
      <c r="K3" s="5" t="s">
        <v>53</v>
      </c>
      <c r="L3" s="10" t="str">
        <f>"M"&amp;COUNTA($A:$A)</f>
        <v>M25</v>
      </c>
      <c r="M3" s="10" t="str">
        <f>"N"&amp;COUNTA($A:$A)</f>
        <v>N25</v>
      </c>
      <c r="N3" s="10" t="str">
        <f>"O"&amp;COUNTA($A:$A)</f>
        <v>O25</v>
      </c>
      <c r="O3" s="10" t="str">
        <f>"P"&amp;COUNTA($A:$A)</f>
        <v>P25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InvCkdContainerDeliveryGateInExportInput{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T25</v>
      </c>
      <c r="V3" s="10" t="str">
        <f>"V"&amp;COUNTA($A:$A)</f>
        <v>V25</v>
      </c>
      <c r="W3" s="9" t="str">
        <f>"W"&amp;COUNTA($A:$A)</f>
        <v>W25</v>
      </c>
    </row>
    <row r="4" spans="1:23" s="10" customFormat="1" ht="33" customHeight="1" x14ac:dyDescent="0.2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381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InvCkdContainerDeliveryGateIn: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InvCkdContainerDeliveryGateInConsts	
	{
</v>
      </c>
      <c r="F6" s="10" t="str">
        <f>REPT(CHAR(9),1)&amp;"public class "&amp;B3&amp;"Dto"&amp;K3&amp;REPT(CHAR(9),1)&amp;"
"&amp;REPT(CHAR(9),1)&amp;C3</f>
        <v xml:space="preserve">	public class InvCkdContainerDeliveryGateInDto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CreateOrEditInvCkdContainerDeliveryGateInDto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GetInvCkdContainerDeliveryGateInInput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InvCkdContainerDeliveryGateIn</v>
      </c>
      <c r="C7" s="10" t="str">
        <f>REPT(CHAR(9),1)&amp;"[Table("""&amp;B7&amp;""")]"&amp;"
"</f>
        <v xml:space="preserve">	[Table("InvCkdContainerDeliveryGateIn")]
</v>
      </c>
      <c r="D7" s="10"/>
      <c r="E7" s="10"/>
      <c r="F7" s="10"/>
      <c r="G7" s="10"/>
      <c r="H7" s="10"/>
      <c r="I7" s="10"/>
      <c r="J7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[Table("InvCkdContainerDeliveryGateIn")]
	public class InvCkdContainerDeliveryGateIn: FullAuditedEntity&lt;long&gt;, IEntity&lt;long&gt;	
	{
		public const int MaxPlateNoLength = 20;
		public const int MaxContainerNoLength = 15;
		public const int MaxRenbanLength = 20;
		public const int MaxDriverNameLength = 50;
		public const int MaxForwarderLength = 100;
		public const int MaxCardNoLength = 10;
		public const int MaxMobileLength = 50;
		public const int MaxIdNoLength = 100;
		public const int MaxIsActiveLength = 1;
		[StringLength(MaxPlateNoLength)]
		public virtual string PlateNo { get; set; }
		[StringLength(MaxContainerNoLength)]
		public virtual string ContainerNo { get; set; }
		[StringLength(MaxRenbanLength)]
		public virtual string Renban { get; set; }
		public virtual DateTime? DateIn { get; set; }
		[StringLength(MaxDriverNameLength)]
		public virtual string DriverName { get; set; }
		[StringLength(MaxForwarderLength)]
		public virtual string Forwarder { get; set; }
		public virtual int? TimeIn { get; set; }
		public virtual int? TimeOut { get; set; }
		public virtual long? CkdReqId { get; set; }
		[StringLength(MaxCardNoLength)]
		public virtual string CardNo { get; set; }
		[StringLength(MaxMobileLength)]
		public virtual string Mobile { get; set; }
		public virtual DateTime? CallTime { get; set; }
		public virtual DateTime? CancelTime { get; set; }
		public virtual DateTime? StartTime { get; set; }
		public virtual DateTime? FinishTime { get; set; }
		[StringLength(MaxIdNoLength)]
		public virtual string IdNo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DbSet&lt;InvCkdContainerDeliveryGateIn&gt; InvCkdContainerDeliveryGateIns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prod.Inventory.CKD
{
	public class InvCkdContainerDeliveryGateInConsts	
	{
		public const int MaxPlateNoLength = 20;
		public const int MaxContainerNoLength = 15;
		public const int MaxRenbanLength = 20;
		public const int MaxDriverNameLength = 50;
		public const int MaxForwarderLength = 100;
		public const int MaxCardNoLength = 10;
		public const int MaxMobileLength = 50;
		public const int MaxIdNoLength = 100;
		public const int MaxIsActiveLength = 1;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prod.Inventory.CKD.Dto
{
	public class InvCkdContainerDeliveryGateInDto : EntityDto&lt;long?&gt;	
	{
		public virtual string PlateNo { get; set; }
		public virtual string ContainerNo { get; set; }
		public virtual string Renban { get; set; }
		public virtual DateTime? DateIn { get; set; }
		public virtual string DriverName { get; set; }
		public virtual string Forwarder { get; set; }
		public virtual int? TimeIn { get; set; }
		public virtual int? TimeOut { get; set; }
		public virtual long? CkdReqId { get; set; }
		public virtual string CardNo { get; set; }
		public virtual string Mobile { get; set; }
		public virtual DateTime? CallTime { get; set; }
		public virtual DateTime? CancelTime { get; set; }
		public virtual DateTime? StartTime { get; set; }
		public virtual DateTime? FinishTime { get; set; }
		public virtual string IdNo { get; set; }
		public virtual string IsActive { get; set; }
	}
	public class CreateOrEditInvCkdContainerDeliveryGateInDto : EntityDto&lt;long?&gt;	
	{
		[StringLength(InvCkdContainerDeliveryGateInConsts.MaxPlateNoLength)]
		public virtual string PlateNo { get; set; }
		[StringLength(InvCkdContainerDeliveryGateInConsts.MaxContainerNoLength)]
		public virtual string ContainerNo { get; set; }
		[StringLength(InvCkdContainerDeliveryGateInConsts.MaxRenbanLength)]
		public virtual string Renban { get; set; }
		public virtual DateTime? DateIn { get; set; }
		[StringLength(InvCkdContainerDeliveryGateInConsts.MaxDriverNameLength)]
		public virtual string DriverName { get; set; }
		[StringLength(InvCkdContainerDeliveryGateInConsts.MaxForwarderLength)]
		public virtual string Forwarder { get; set; }
		public virtual int? TimeIn { get; set; }
		public virtual int? TimeOut { get; set; }
		public virtual long? CkdReqId { get; set; }
		[StringLength(InvCkdContainerDeliveryGateInConsts.MaxCardNoLength)]
		public virtual string CardNo { get; set; }
		[StringLength(InvCkdContainerDeliveryGateInConsts.MaxMobileLength)]
		public virtual string Mobile { get; set; }
		public virtual DateTime? CallTime { get; set; }
		public virtual DateTime? CancelTime { get; set; }
		public virtual DateTime? StartTime { get; set; }
		public virtual DateTime? FinishTime { get; set; }
		[StringLength(InvCkdContainerDeliveryGateInConsts.MaxIdNoLength)]
		public virtual string IdNo { get; set; }
		[StringLength(InvCkdContainerDeliveryGateInConsts.MaxIsActiveLength)]
		public virtual string IsActive { get; set; }
	}
	public class GetInvCkdContainerDeliveryGateInInput : PagedAndSortedResultRequestDto	
	{
		public virtual string PlateNo { get; set; }
		public virtual string ContainerNo { get; set; }
		public virtual string Renban { get; set; }
		public virtual string DriverName { get; set; }
		public virtual string Forwarder { get; set; }
		public virtual string CardNo { get; set; }
		public virtual string Mobile { get; set; }
		public virtual string IdNo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perInvCkdContainerDeliveryGateIn = PARENTS.CreateChildPermission(AppPermissions.Pages_Inventory_CKD_ContainerDeliveryGateIn, L( "InventoryCKDContainerDeliveryGateIn"), multiTenancySides: MultiTenancySides.Tenant);
		perInvCkdContainerDeliveryGateIn.CreateChildPermission(AppPermissions.Pages_Inventory_CKD_ContainerDeliveryGateIn_CreateEdit, L( "InventoryCKDContainerDeliveryGateInCreateEdit"), multiTenancySides: MultiTenancySides.Tenant);
		perInvCkdContainerDeliveryGateIn.CreateChildPermission(AppPermissions.Pages_Inventory_CKD_ContainerDeliveryGateIn_Delete, L( "InventoryCKDContainerDeliveryGateInDelete"),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Pages_Inventory_CKD_ContainerDeliveryGateIn = "Pages.Inventory.CKD.ContainerDeliveryGateIn";
		public const string Pages_Inventory_CKD_ContainerDeliveryGateIn_CreateEdit = "Pages.Inventory.CKD.ContainerDeliveryGateIn.CreateEdit";
		public const string Pages_Inventory_CKD_ContainerDeliveryGateIn_Delete = "Pages.Inventory.CKD.ContainerDeliveryGateIn.Delete";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IInvCkdContainerDeliveryGateInAppService : IApplicationService
	{
		Task&lt;PagedResultDto&lt;InvCkdContainerDeliveryGateInDto&gt;&gt; GetAll(GetInvCkdContainerDeliveryGateInInput input);
		Task CreateOrEdit(CreateOrEditInvCkdContainerDeliveryGateInDto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[AbpAuthorize(AppPermissions.Pages_Inventory_CKD_ContainerDeliveryGateIn)]
    public class InvCkdContainerDeliveryGateInAppService : vovinaAppServiceBase, IInvCkdContainerDeliveryGateInAppService
    {
        private readonly IDapperRepository&lt;InvCkdContainerDeliveryGateIn, long&gt; _dapperRepo;
        private readonly IRepository&lt;InvCkdContainerDeliveryGateIn, long&gt; _repo;
        private readonly IInvCkdContainerDeliveryGateInExcelExporter _calendarListExcelExporter;
        public InvCkdContainerDeliveryGateInAppService(IRepository&lt;InvCkdContainerDeliveryGateIn,long&gt; repo, 
                                         IDapperRepository&lt;InvCkdContainerDeliveryGateIn,long&gt; dapperRepo,
                                        IInvCkdContainerDeliveryGateInExcelExporter calendarListExcelExporter
            )
        {
            _repo = repo;
            _dapperRepo = dapperRepo;
            _calendarListExcelExporter = calendarListExcelExporter;
        }
        [AbpAuthorize(AppPermissions.Pages_Inventory_CKD_ContainerDeliveryGateIn_CreateEdit)]
        public async Task CreateOrEdit(CreateOrEditInvCkdContainerDeliveryGateInDto input)
        {
            if (input.Id == null) await Create(input);
            else await Update(input);
        }
        //CREATE
        private async Task Create(CreateOrEditInvCkdContainerDeliveryGateInDto input)
        {          
            var mainObj = ObjectMapper.Map&lt;InvCkdContainerDeliveryGateIn&gt;(input);
            await CurrentUnitOfWork.GetDbContext&lt;vovinaDbContext&gt;().AddAsync(mainObj);
        }
        // EDIT
        private async Task Update(CreateOrEditInvCkdContainerDeliveryGateInDto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[AbpAuthorize(AppPermissions.Pages_Inventory_CKD_ContainerDeliveryGateIn_Delete)]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Task&lt;PagedResultDto&lt;InvCkdContainerDeliveryGateInDto&gt;&gt; GetAll(GetInvCkdContainerDeliveryGateInInput input)
        {
            var filtered = _repo.GetAll()
				.WhereIf(!string.IsNullOrWhiteSpace(input.PlateNo), e =&gt; e.PlateNo.Contains(input.PlateNo))
				.WhereIf(!string.IsNullOrWhiteSpace(input.ContainerNo), e =&gt; e.ContainerNo.Contains(input.ContainerNo))
				.WhereIf(!string.IsNullOrWhiteSpace(input.Renban), e =&gt; e.Renban.Contains(input.Renban))
				.WhereIf(!string.IsNullOrWhiteSpace(input.DriverName), e =&gt; e.DriverName.Contains(input.DriverName))
				.WhereIf(!string.IsNullOrWhiteSpace(input.Forwarder), e =&gt; e.Forwarder.Contains(input.Forwarder))
				.WhereIf(!string.IsNullOrWhiteSpace(input.CardNo), e =&gt; e.CardNo.Contains(input.CardNo))
				.WhereIf(!string.IsNullOrWhiteSpace(input.Mobile), e =&gt; e.Mobile.Contains(input.Mobile))
				.WhereIf(!string.IsNullOrWhiteSpace(input.IdNo), e =&gt; e.IdNo.Contains(input.IdNo))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InvCkdContainerDeliveryGateInDto
                        {
							Id = o.Id,
							PlateNo = o.PlateNo,
							ContainerNo = o.ContainerNo,
							Renban = o.Renban,
							DateIn = o.DateIn,
							DriverName = o.DriverName,
							Forwarder = o.Forwarder,
							TimeIn = o.TimeIn,
							TimeOut = o.TimeOut,
							CkdReqId = o.CkdReqId,
							CardNo = o.CardNo,
							Mobile = o.Mobile,
							CallTime = o.CallTime,
							CancelTime = o.CancelTime,
							StartTime = o.StartTime,
							FinishTime = o.FinishTime,
							IdNo = o.IdNo,
							IsActive = o.IsActive,
                        };
            var totalCount = await filtered.CountAsync();
			var paged = system.PageBy(input);
            return new PagedResultDto&lt;InvCkdContainerDeliveryGateInDto&gt;(
                totalCount,
                 await paged.ToListAsync()
            );
        }
        public async Task&lt;FileDto&gt; GetContainerDeliveryGateInToExcel(InvCkdContainerDeliveryGateInExportInput input)
        {
            var query = from o in _repo.GetAll()
                        select new InvCkdContainerDeliveryGateInDto
                        {
							Id = o.Id,
							PlateNo = o.PlateNo,
							ContainerNo = o.ContainerNo,
							Renban = o.Renban,
							DateIn = o.DateIn,
							DriverName = o.DriverName,
							Forwarder = o.Forwarder,
							TimeIn = o.TimeIn,
							TimeOut = o.TimeOut,
							CkdReqId = o.CkdReqId,
							CardNo = o.CardNo,
							Mobile = o.Mobile,
							CallTime = o.CallTime,
							CancelTime = o.CancelTime,
							StartTime = o.StartTime,
							FinishTime = o.FinishTime,
							IdNo = o.IdNo,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_dapperRepo.ExecuteAsync(InvCkdContainerDeliveryGateInConsts.SP_MST_WPT_CALENDAR_GENERATE);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prod.Inventory.CKD.Dto
{
	public class InvCkdContainerDeliveryGateInExportInput{
		public virtual string PlateNo { get; set; }
		public virtual string ContainerNo { get; set; }
		public virtual string Renban { get; set; }
		public virtual DateTime? DateIn { get; set; }
		public virtual string DriverName { get; set; }
		public virtual string Forwarder { get; set; }
		public virtual int? TimeIn { get; set; }
		public virtual int? TimeOut { get; set; }
		public virtual long? CkdReqId { get; set; }
		public virtual string CardNo { get; set; }
		public virtual string Mobile { get; set; }
		public virtual DateTime? CallTime { get; set; }
		public virtual DateTime? CancelTime { get; set; }
		public virtual DateTime? StartTime { get; set; }
		public virtual DateTime? FinishTime { get; set; }
		public virtual string IdNo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IInvCkdContainerDeliveryGateInExcelExporter : IApplicationService
	{
		FileDto ExportToFile(List&lt;InvCkdContainerDeliveryGateInDto&gt; invckdcontainerdeliverygatein);
	}
}
</v>
      </c>
      <c r="T7" s="26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InvCkdContainerDeliveryGateInExcelExporter : NpoiExcelExporterBase, IInvCkdContainerDeliveryGateInExcelExporter
    {
        public InvCkdContainerDeliveryGateInExcelExporter(ITempFileCacheManager tempFileCacheManager) : base(tempFileCacheManager) { }
        public FileDto ExportToFile(List&lt;InvCkdContainerDeliveryGateInDto&gt; containerdeliverygatein)
        {
            return CreateExcelPackage(
				"InventoryCKDContainerDeliveryGateIn.xlsx",
				excelPackage =&gt;
				 {
					var sheet = excelPackage.CreateSheet("ContainerDeliveryGateIn");
					AddHeader(
								sheet,
								("PlateNo"),
								("ContainerNo"),
								("Renban"),
								("DateIn"),
								("DriverName"),
								("Forwarder"),
								("TimeIn"),
								("TimeOut"),
								("CkdReqId"),
								("CardNo"),
								("Mobile"),
								("CallTime"),
								("CancelTime"),
								("StartTime"),
								("FinishTime"),
								("IdNo"),
								("IsActive"),
							   );
					AddObjects(
						 sheet, 1, containerdeliverygatein,                                       
								_ =&gt; _.PlateNo,
								_ =&gt; _.ContainerNo,
								_ =&gt; _.Renban,
								_ =&gt; _.DateIn,
								_ =&gt; _.DriverName,
								_ =&gt; _.Forwarder,
								_ =&gt; _.TimeIn,
								_ =&gt; _.TimeOut,
								_ =&gt; _.CkdReqId,
								_ =&gt; _.CardNo,
								_ =&gt; _.Mobile,
								_ =&gt; _.CallTime,
								_ =&gt; _.CancelTime,
								_ =&gt; _.StartTime,
								_ =&gt; _.FinishTime,
								_ =&gt; _.IdNo,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configuration.CreateMap&lt;InvCkdContainerDeliveryGateInDto, InvCkdContainerDeliveryGateIn&gt;();
  configuration.CreateMap&lt;InvCkdContainerDeliveryGateIn, InvCkdContainerDeliveryGateInDto&gt;();
  configuration.CreateMap&lt;CreateOrEditInvCkdContainerDeliveryGateInDto, InvCkdContainerDeliveryGateIn&gt;();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362</v>
      </c>
      <c r="B9" t="s">
        <v>360</v>
      </c>
      <c r="C9" t="s">
        <v>1</v>
      </c>
      <c r="D9" t="str">
        <f t="shared" ref="D9" si="0">SUBSTITUTE(PROPER(A9),"_","")</f>
        <v>PlateNo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MaxPlateNoLength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[StringLength(MaxPlateNoLength)]
		public virtual string PlateNo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PlateNo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[StringLength(InvCkdContainerDeliveryGateInConsts.MaxPlateNoLength)]
		public virtual string PlateNo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PlateNo { get; set; }
</v>
      </c>
      <c r="P9" t="str">
        <f t="shared" ref="P9" si="9">REPT(CHAR(9),7)&amp;D9&amp;" = o." &amp;D9 &amp;","</f>
        <v xml:space="preserve">							PlateNo = o.PlateNo,</v>
      </c>
      <c r="T9" s="63" t="str">
        <f t="shared" ref="T9" si="10">REPT(CHAR(9),8)&amp;"("""&amp;D9&amp;"""),"</f>
        <v xml:space="preserve">								("PlateNo"),</v>
      </c>
      <c r="V9" s="64" t="str">
        <f t="shared" ref="V9" si="11">REPT(CHAR(9),8)&amp;"_ =&gt; _."&amp;D9&amp;","</f>
        <v xml:space="preserve">								_ =&gt; _.PlateNo,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.WhereIf(!string.IsNullOrWhiteSpace(input.PlateNo), e =&gt; e.PlateNo.Contains(input.PlateNo))</v>
      </c>
    </row>
    <row r="10" spans="1:23" customFormat="1" ht="18.75" customHeight="1" x14ac:dyDescent="0.25">
      <c r="A10" t="s">
        <v>357</v>
      </c>
      <c r="B10" t="s">
        <v>358</v>
      </c>
      <c r="C10" t="s">
        <v>1</v>
      </c>
      <c r="D10" t="str">
        <f t="shared" ref="D10:D11" si="13">SUBSTITUTE(PROPER(A10),"_","")</f>
        <v>ContainerNo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15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MaxContainerNoLength = 15;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[StringLength(MaxContainerNoLength)]
		public virtual string ContainerNo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ContainerNo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[StringLength(InvCkdContainerDeliveryGateInConsts.MaxContainerNoLength)]
		public virtual string ContainerNo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ContainerNo { get; set; }
</v>
      </c>
      <c r="P10" t="str">
        <f t="shared" ref="P10:P11" si="22">REPT(CHAR(9),7)&amp;D10&amp;" = o." &amp;D10 &amp;","</f>
        <v xml:space="preserve">							ContainerNo = o.ContainerNo,</v>
      </c>
      <c r="T10" s="63" t="str">
        <f t="shared" ref="T10:T11" si="23">REPT(CHAR(9),8)&amp;"("""&amp;D10&amp;"""),"</f>
        <v xml:space="preserve">								("ContainerNo"),</v>
      </c>
      <c r="V10" s="64" t="str">
        <f t="shared" ref="V10:V11" si="24">REPT(CHAR(9),8)&amp;"_ =&gt; _."&amp;D10&amp;","</f>
        <v xml:space="preserve">								_ =&gt; _.ContainerNo,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.WhereIf(!string.IsNullOrWhiteSpace(input.ContainerNo), e =&gt; e.ContainerNo.Contains(input.ContainerNo))</v>
      </c>
    </row>
    <row r="11" spans="1:23" customFormat="1" ht="18.75" customHeight="1" x14ac:dyDescent="0.25">
      <c r="A11" t="s">
        <v>363</v>
      </c>
      <c r="B11" t="s">
        <v>360</v>
      </c>
      <c r="C11" t="s">
        <v>1</v>
      </c>
      <c r="D11" t="str">
        <f t="shared" si="13"/>
        <v>Renban</v>
      </c>
      <c r="E11" t="str">
        <f t="shared" si="14"/>
        <v>VARCHAR</v>
      </c>
      <c r="F11" s="6"/>
      <c r="G11" t="str">
        <f t="shared" si="15"/>
        <v>20</v>
      </c>
      <c r="H11" t="str">
        <f>+VLOOKUP(E11,'Data Type Mapping'!A:B,2,)</f>
        <v>string</v>
      </c>
      <c r="I11" t="str">
        <f t="shared" si="16"/>
        <v xml:space="preserve">		public const int MaxRenbanLength = 20;
</v>
      </c>
      <c r="J11" t="str">
        <f t="shared" si="17"/>
        <v xml:space="preserve">		[StringLength(MaxRenbanLength)]
		public virtual string Renban { get; set; }
</v>
      </c>
      <c r="K11" s="6"/>
      <c r="L11" t="str">
        <f t="shared" si="18"/>
        <v/>
      </c>
      <c r="M11" t="str">
        <f t="shared" si="19"/>
        <v xml:space="preserve">		public virtual string Renban { get; set; }
</v>
      </c>
      <c r="N11" t="str">
        <f t="shared" si="20"/>
        <v xml:space="preserve">		[StringLength(InvCkdContainerDeliveryGateInConsts.MaxRenbanLength)]
		public virtual string Renban { get; set; }
</v>
      </c>
      <c r="O11" t="str">
        <f t="shared" si="21"/>
        <v xml:space="preserve">		public virtual string Renban { get; set; }
</v>
      </c>
      <c r="P11" t="str">
        <f t="shared" si="22"/>
        <v xml:space="preserve">							Renban = o.Renban,</v>
      </c>
      <c r="T11" s="63" t="str">
        <f t="shared" si="23"/>
        <v xml:space="preserve">								("Renban"),</v>
      </c>
      <c r="V11" s="64" t="str">
        <f t="shared" si="24"/>
        <v xml:space="preserve">								_ =&gt; _.Renban,</v>
      </c>
      <c r="W11" s="63" t="str">
        <f t="shared" si="25"/>
        <v xml:space="preserve">				.WhereIf(!string.IsNullOrWhiteSpace(input.Renban), e =&gt; e.Renban.Contains(input.Renban))</v>
      </c>
    </row>
    <row r="12" spans="1:23" customFormat="1" ht="18.75" customHeight="1" x14ac:dyDescent="0.25">
      <c r="A12" t="s">
        <v>364</v>
      </c>
      <c r="B12" t="s">
        <v>359</v>
      </c>
      <c r="C12" t="s">
        <v>1</v>
      </c>
      <c r="D12" t="str">
        <f t="shared" ref="D12:D15" si="26">SUBSTITUTE(PROPER(A12),"_","")</f>
        <v>DateIn</v>
      </c>
      <c r="E12" t="str">
        <f t="shared" ref="E12:E15" si="27">IFERROR(LEFT(B12, FIND("(",B12)-1),B12)</f>
        <v>DATE</v>
      </c>
      <c r="F12" s="6"/>
      <c r="G12" t="str">
        <f t="shared" ref="G12:G15" si="28">IFERROR(MID(B12,FIND("(",B12) +1, FIND(")",B12) - FIND("(",B12) - 1),"")</f>
        <v/>
      </c>
      <c r="H12" t="str">
        <f>+VLOOKUP(E12,'Data Type Mapping'!A:B,2,)</f>
        <v>DateTime?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DateTime? DateIn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DateTime? DateIn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DateTime? DateIn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DateIn = o.DateIn,</v>
      </c>
      <c r="T12" s="63" t="str">
        <f t="shared" ref="T12:T15" si="36">REPT(CHAR(9),8)&amp;"("""&amp;D12&amp;"""),"</f>
        <v xml:space="preserve">								("DateIn"),</v>
      </c>
      <c r="V12" s="64" t="str">
        <f t="shared" ref="V12:V15" si="37">REPT(CHAR(9),8)&amp;"_ =&gt; _."&amp;D12&amp;","</f>
        <v xml:space="preserve">								_ =&gt; _.DateIn,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365</v>
      </c>
      <c r="B13" t="s">
        <v>366</v>
      </c>
      <c r="C13" t="s">
        <v>1</v>
      </c>
      <c r="D13" t="str">
        <f t="shared" si="26"/>
        <v>DriverName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MaxDriverNameLength = 50;
</v>
      </c>
      <c r="J13" t="str">
        <f t="shared" si="30"/>
        <v xml:space="preserve">		[StringLength(MaxDriverNameLength)]
		public virtual string DriverName { get; set; }
</v>
      </c>
      <c r="K13" s="6"/>
      <c r="L13" t="str">
        <f t="shared" si="31"/>
        <v/>
      </c>
      <c r="M13" t="str">
        <f t="shared" si="32"/>
        <v xml:space="preserve">		public virtual string DriverName { get; set; }
</v>
      </c>
      <c r="N13" t="str">
        <f t="shared" si="33"/>
        <v xml:space="preserve">		[StringLength(InvCkdContainerDeliveryGateInConsts.MaxDriverNameLength)]
		public virtual string DriverName { get; set; }
</v>
      </c>
      <c r="O13" t="str">
        <f t="shared" si="34"/>
        <v xml:space="preserve">		public virtual string DriverName { get; set; }
</v>
      </c>
      <c r="P13" t="str">
        <f t="shared" si="35"/>
        <v xml:space="preserve">							DriverName = o.DriverName,</v>
      </c>
      <c r="T13" s="63" t="str">
        <f t="shared" si="36"/>
        <v xml:space="preserve">								("DriverName"),</v>
      </c>
      <c r="V13" s="64" t="str">
        <f t="shared" si="37"/>
        <v xml:space="preserve">								_ =&gt; _.DriverName,</v>
      </c>
      <c r="W13" s="63" t="str">
        <f t="shared" si="38"/>
        <v xml:space="preserve">				.WhereIf(!string.IsNullOrWhiteSpace(input.DriverName), e =&gt; e.DriverName.Contains(input.DriverName))</v>
      </c>
    </row>
    <row r="14" spans="1:23" customFormat="1" ht="18.75" customHeight="1" x14ac:dyDescent="0.25">
      <c r="A14" t="s">
        <v>367</v>
      </c>
      <c r="B14" t="s">
        <v>368</v>
      </c>
      <c r="C14" t="s">
        <v>1</v>
      </c>
      <c r="D14" t="str">
        <f t="shared" si="26"/>
        <v>Forwarder</v>
      </c>
      <c r="E14" t="str">
        <f t="shared" si="27"/>
        <v>VARCHAR</v>
      </c>
      <c r="F14" s="6"/>
      <c r="G14" t="str">
        <f t="shared" si="28"/>
        <v>100</v>
      </c>
      <c r="H14" t="str">
        <f>+VLOOKUP(E14,'Data Type Mapping'!A:B,2,)</f>
        <v>string</v>
      </c>
      <c r="I14" t="str">
        <f t="shared" si="29"/>
        <v xml:space="preserve">		public const int MaxForwarderLength = 100;
</v>
      </c>
      <c r="J14" t="str">
        <f t="shared" si="30"/>
        <v xml:space="preserve">		[StringLength(MaxForwarderLength)]
		public virtual string Forwarder { get; set; }
</v>
      </c>
      <c r="K14" s="6"/>
      <c r="L14" t="str">
        <f t="shared" si="31"/>
        <v/>
      </c>
      <c r="M14" t="str">
        <f t="shared" si="32"/>
        <v xml:space="preserve">		public virtual string Forwarder { get; set; }
</v>
      </c>
      <c r="N14" t="str">
        <f t="shared" si="33"/>
        <v xml:space="preserve">		[StringLength(InvCkdContainerDeliveryGateInConsts.MaxForwarderLength)]
		public virtual string Forwarder { get; set; }
</v>
      </c>
      <c r="O14" t="str">
        <f t="shared" si="34"/>
        <v xml:space="preserve">		public virtual string Forwarder { get; set; }
</v>
      </c>
      <c r="P14" t="str">
        <f t="shared" si="35"/>
        <v xml:space="preserve">							Forwarder = o.Forwarder,</v>
      </c>
      <c r="T14" s="63" t="str">
        <f t="shared" si="36"/>
        <v xml:space="preserve">								("Forwarder"),</v>
      </c>
      <c r="V14" s="64" t="str">
        <f t="shared" si="37"/>
        <v xml:space="preserve">								_ =&gt; _.Forwarder,</v>
      </c>
      <c r="W14" s="63" t="str">
        <f t="shared" si="38"/>
        <v xml:space="preserve">				.WhereIf(!string.IsNullOrWhiteSpace(input.Forwarder), e =&gt; e.Forwarder.Contains(input.Forwarder))</v>
      </c>
    </row>
    <row r="15" spans="1:23" customFormat="1" ht="18.75" customHeight="1" x14ac:dyDescent="0.25">
      <c r="A15" t="s">
        <v>369</v>
      </c>
      <c r="B15" t="s">
        <v>4</v>
      </c>
      <c r="C15" t="s">
        <v>1</v>
      </c>
      <c r="D15" t="str">
        <f t="shared" si="26"/>
        <v>TimeIn</v>
      </c>
      <c r="E15" t="str">
        <f t="shared" si="27"/>
        <v>int</v>
      </c>
      <c r="F15" s="6"/>
      <c r="G15" t="str">
        <f t="shared" si="28"/>
        <v/>
      </c>
      <c r="H15" t="str">
        <f>+VLOOKUP(E15,'Data Type Mapping'!A:B,2,)</f>
        <v>int?</v>
      </c>
      <c r="I15" t="str">
        <f t="shared" si="29"/>
        <v/>
      </c>
      <c r="J15" t="str">
        <f t="shared" si="30"/>
        <v xml:space="preserve">		public virtual int? TimeIn { get; set; }
</v>
      </c>
      <c r="K15" s="6"/>
      <c r="L15" t="str">
        <f t="shared" si="31"/>
        <v/>
      </c>
      <c r="M15" t="str">
        <f t="shared" si="32"/>
        <v xml:space="preserve">		public virtual int? TimeIn { get; set; }
</v>
      </c>
      <c r="N15" t="str">
        <f t="shared" si="33"/>
        <v xml:space="preserve">		public virtual int? TimeIn { get; set; }
</v>
      </c>
      <c r="O15" t="str">
        <f t="shared" si="34"/>
        <v/>
      </c>
      <c r="P15" t="str">
        <f t="shared" si="35"/>
        <v xml:space="preserve">							TimeIn = o.TimeIn,</v>
      </c>
      <c r="T15" s="63" t="str">
        <f t="shared" si="36"/>
        <v xml:space="preserve">								("TimeIn"),</v>
      </c>
      <c r="V15" s="64" t="str">
        <f t="shared" si="37"/>
        <v xml:space="preserve">								_ =&gt; _.TimeIn,</v>
      </c>
      <c r="W15" s="63" t="str">
        <f t="shared" si="38"/>
        <v/>
      </c>
    </row>
    <row r="16" spans="1:23" customFormat="1" ht="18.75" customHeight="1" x14ac:dyDescent="0.25">
      <c r="A16" t="s">
        <v>370</v>
      </c>
      <c r="B16" t="s">
        <v>4</v>
      </c>
      <c r="C16" t="s">
        <v>1</v>
      </c>
      <c r="D16" t="str">
        <f t="shared" ref="D16:D23" si="39">SUBSTITUTE(PROPER(A16),"_","")</f>
        <v>TimeOut</v>
      </c>
      <c r="E16" t="str">
        <f t="shared" ref="E16:E23" si="40">IFERROR(LEFT(B16, FIND("(",B16)-1),B16)</f>
        <v>int</v>
      </c>
      <c r="F16" s="6"/>
      <c r="G16" t="str">
        <f t="shared" ref="G16:G23" si="41">IFERROR(MID(B16,FIND("(",B16) +1, FIND(")",B16) - FIND("(",B16) - 1),"")</f>
        <v/>
      </c>
      <c r="H16" t="str">
        <f>+VLOOKUP(E16,'Data Type Mapping'!A:B,2,)</f>
        <v>int?</v>
      </c>
      <c r="I16" t="str">
        <f t="shared" ref="I16:I23" si="42">IF(H16="string",REPT(CHAR(9),2)&amp;"public const int Max"&amp;D16&amp;"Length = "&amp;G16&amp;";"&amp;$E$3,"" )</f>
        <v/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int? TimeOut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int? TimeOut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TimeOut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48">REPT(CHAR(9),7)&amp;D16&amp;" = o." &amp;D16 &amp;","</f>
        <v xml:space="preserve">							TimeOut = o.TimeOut,</v>
      </c>
      <c r="T16" s="63" t="str">
        <f t="shared" ref="T16:T23" si="49">REPT(CHAR(9),8)&amp;"("""&amp;D16&amp;"""),"</f>
        <v xml:space="preserve">								("TimeOut"),</v>
      </c>
      <c r="V16" s="64" t="str">
        <f t="shared" ref="V16:V23" si="50">REPT(CHAR(9),8)&amp;"_ =&gt; _."&amp;D16&amp;","</f>
        <v xml:space="preserve">								_ =&gt; _.TimeOut,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371</v>
      </c>
      <c r="B17" t="s">
        <v>0</v>
      </c>
      <c r="C17" t="s">
        <v>1</v>
      </c>
      <c r="D17" t="str">
        <f t="shared" si="39"/>
        <v>CkdReqId</v>
      </c>
      <c r="E17" t="str">
        <f t="shared" si="40"/>
        <v>bigint</v>
      </c>
      <c r="F17" s="6"/>
      <c r="G17" t="str">
        <f t="shared" si="41"/>
        <v/>
      </c>
      <c r="H17" t="str">
        <f>+VLOOKUP(E17,'Data Type Mapping'!A:B,2,)</f>
        <v>long?</v>
      </c>
      <c r="I17" t="str">
        <f t="shared" si="42"/>
        <v/>
      </c>
      <c r="J17" t="str">
        <f t="shared" si="43"/>
        <v xml:space="preserve">		public virtual long? CkdReqId { get; set; }
</v>
      </c>
      <c r="K17" s="6"/>
      <c r="L17" t="str">
        <f t="shared" si="44"/>
        <v/>
      </c>
      <c r="M17" t="str">
        <f t="shared" si="45"/>
        <v xml:space="preserve">		public virtual long? CkdReqId { get; set; }
</v>
      </c>
      <c r="N17" t="str">
        <f t="shared" si="46"/>
        <v xml:space="preserve">		public virtual long? CkdReqId { get; set; }
</v>
      </c>
      <c r="O17" t="str">
        <f t="shared" si="47"/>
        <v/>
      </c>
      <c r="P17" t="str">
        <f t="shared" si="48"/>
        <v xml:space="preserve">							CkdReqId = o.CkdReqId,</v>
      </c>
      <c r="T17" s="63" t="str">
        <f t="shared" si="49"/>
        <v xml:space="preserve">								("CkdReqId"),</v>
      </c>
      <c r="V17" s="64" t="str">
        <f t="shared" si="50"/>
        <v xml:space="preserve">								_ =&gt; _.CkdReqId,</v>
      </c>
      <c r="W17" s="63" t="str">
        <f t="shared" si="51"/>
        <v/>
      </c>
    </row>
    <row r="18" spans="1:23" customFormat="1" ht="18.75" customHeight="1" x14ac:dyDescent="0.25">
      <c r="A18" t="s">
        <v>372</v>
      </c>
      <c r="B18" t="s">
        <v>356</v>
      </c>
      <c r="C18" t="s">
        <v>1</v>
      </c>
      <c r="D18" t="str">
        <f t="shared" si="39"/>
        <v>CardNo</v>
      </c>
      <c r="E18" t="str">
        <f t="shared" si="40"/>
        <v>VARCHAR</v>
      </c>
      <c r="F18" s="6"/>
      <c r="G18" t="str">
        <f t="shared" si="41"/>
        <v>10</v>
      </c>
      <c r="H18" t="str">
        <f>+VLOOKUP(E18,'Data Type Mapping'!A:B,2,)</f>
        <v>string</v>
      </c>
      <c r="I18" t="str">
        <f t="shared" si="42"/>
        <v xml:space="preserve">		public const int MaxCardNoLength = 10;
</v>
      </c>
      <c r="J18" t="str">
        <f t="shared" si="43"/>
        <v xml:space="preserve">		[StringLength(MaxCardNoLength)]
		public virtual string CardNo { get; set; }
</v>
      </c>
      <c r="K18" s="6"/>
      <c r="L18" t="str">
        <f t="shared" si="44"/>
        <v/>
      </c>
      <c r="M18" t="str">
        <f t="shared" si="45"/>
        <v xml:space="preserve">		public virtual string CardNo { get; set; }
</v>
      </c>
      <c r="N18" t="str">
        <f t="shared" si="46"/>
        <v xml:space="preserve">		[StringLength(InvCkdContainerDeliveryGateInConsts.MaxCardNoLength)]
		public virtual string CardNo { get; set; }
</v>
      </c>
      <c r="O18" t="str">
        <f t="shared" si="47"/>
        <v xml:space="preserve">		public virtual string CardNo { get; set; }
</v>
      </c>
      <c r="P18" t="str">
        <f t="shared" si="48"/>
        <v xml:space="preserve">							CardNo = o.CardNo,</v>
      </c>
      <c r="T18" s="63" t="str">
        <f t="shared" si="49"/>
        <v xml:space="preserve">								("CardNo"),</v>
      </c>
      <c r="V18" s="64" t="str">
        <f t="shared" si="50"/>
        <v xml:space="preserve">								_ =&gt; _.CardNo,</v>
      </c>
      <c r="W18" s="63" t="str">
        <f t="shared" si="51"/>
        <v xml:space="preserve">				.WhereIf(!string.IsNullOrWhiteSpace(input.CardNo), e =&gt; e.CardNo.Contains(input.CardNo))</v>
      </c>
    </row>
    <row r="19" spans="1:23" customFormat="1" ht="18.75" customHeight="1" x14ac:dyDescent="0.25">
      <c r="A19" t="s">
        <v>373</v>
      </c>
      <c r="B19" t="s">
        <v>366</v>
      </c>
      <c r="C19" t="s">
        <v>1</v>
      </c>
      <c r="D19" t="str">
        <f t="shared" si="39"/>
        <v>Mobile</v>
      </c>
      <c r="E19" t="str">
        <f t="shared" si="40"/>
        <v>VARCHAR</v>
      </c>
      <c r="F19" s="6"/>
      <c r="G19" t="str">
        <f t="shared" si="41"/>
        <v>50</v>
      </c>
      <c r="H19" t="str">
        <f>+VLOOKUP(E19,'Data Type Mapping'!A:B,2,)</f>
        <v>string</v>
      </c>
      <c r="I19" t="str">
        <f t="shared" si="42"/>
        <v xml:space="preserve">		public const int MaxMobileLength = 50;
</v>
      </c>
      <c r="J19" t="str">
        <f t="shared" si="43"/>
        <v xml:space="preserve">		[StringLength(MaxMobileLength)]
		public virtual string Mobile { get; set; }
</v>
      </c>
      <c r="K19" s="6"/>
      <c r="L19" t="str">
        <f t="shared" si="44"/>
        <v/>
      </c>
      <c r="M19" t="str">
        <f t="shared" si="45"/>
        <v xml:space="preserve">		public virtual string Mobile { get; set; }
</v>
      </c>
      <c r="N19" t="str">
        <f t="shared" si="46"/>
        <v xml:space="preserve">		[StringLength(InvCkdContainerDeliveryGateInConsts.MaxMobileLength)]
		public virtual string Mobile { get; set; }
</v>
      </c>
      <c r="O19" t="str">
        <f t="shared" si="47"/>
        <v xml:space="preserve">		public virtual string Mobile { get; set; }
</v>
      </c>
      <c r="P19" t="str">
        <f t="shared" si="48"/>
        <v xml:space="preserve">							Mobile = o.Mobile,</v>
      </c>
      <c r="T19" s="63" t="str">
        <f t="shared" si="49"/>
        <v xml:space="preserve">								("Mobile"),</v>
      </c>
      <c r="V19" s="64" t="str">
        <f t="shared" si="50"/>
        <v xml:space="preserve">								_ =&gt; _.Mobile,</v>
      </c>
      <c r="W19" s="63" t="str">
        <f t="shared" si="51"/>
        <v xml:space="preserve">				.WhereIf(!string.IsNullOrWhiteSpace(input.Mobile), e =&gt; e.Mobile.Contains(input.Mobile))</v>
      </c>
    </row>
    <row r="20" spans="1:23" customFormat="1" ht="18.75" customHeight="1" x14ac:dyDescent="0.25">
      <c r="A20" t="s">
        <v>374</v>
      </c>
      <c r="B20" t="s">
        <v>377</v>
      </c>
      <c r="C20" t="s">
        <v>1</v>
      </c>
      <c r="D20" t="str">
        <f t="shared" si="39"/>
        <v>CallTime</v>
      </c>
      <c r="E20" t="str">
        <f t="shared" si="40"/>
        <v>DATETIME2</v>
      </c>
      <c r="F20" s="6"/>
      <c r="G20" t="str">
        <f t="shared" si="41"/>
        <v/>
      </c>
      <c r="H20" t="str">
        <f>+VLOOKUP(E20,'Data Type Mapping'!A:B,2,)</f>
        <v>DateTime?</v>
      </c>
      <c r="I20" t="str">
        <f t="shared" si="42"/>
        <v/>
      </c>
      <c r="J20" t="str">
        <f t="shared" si="43"/>
        <v xml:space="preserve">		public virtual DateTime? CallTime { get; set; }
</v>
      </c>
      <c r="K20" s="6"/>
      <c r="L20" t="str">
        <f t="shared" si="44"/>
        <v/>
      </c>
      <c r="M20" t="str">
        <f t="shared" si="45"/>
        <v xml:space="preserve">		public virtual DateTime? CallTime { get; set; }
</v>
      </c>
      <c r="N20" t="str">
        <f t="shared" si="46"/>
        <v xml:space="preserve">		public virtual DateTime? CallTime { get; set; }
</v>
      </c>
      <c r="O20" t="str">
        <f t="shared" si="47"/>
        <v/>
      </c>
      <c r="P20" t="str">
        <f t="shared" si="48"/>
        <v xml:space="preserve">							CallTime = o.CallTime,</v>
      </c>
      <c r="T20" s="63" t="str">
        <f t="shared" si="49"/>
        <v xml:space="preserve">								("CallTime"),</v>
      </c>
      <c r="V20" s="64" t="str">
        <f t="shared" si="50"/>
        <v xml:space="preserve">								_ =&gt; _.CallTime,</v>
      </c>
      <c r="W20" s="63" t="str">
        <f t="shared" si="51"/>
        <v/>
      </c>
    </row>
    <row r="21" spans="1:23" customFormat="1" ht="18.75" customHeight="1" x14ac:dyDescent="0.25">
      <c r="A21" t="s">
        <v>375</v>
      </c>
      <c r="B21" t="s">
        <v>377</v>
      </c>
      <c r="C21" t="s">
        <v>1</v>
      </c>
      <c r="D21" t="str">
        <f t="shared" si="39"/>
        <v>CancelTime</v>
      </c>
      <c r="E21" t="str">
        <f t="shared" si="40"/>
        <v>DATETIME2</v>
      </c>
      <c r="F21" s="6"/>
      <c r="G21" t="str">
        <f t="shared" si="41"/>
        <v/>
      </c>
      <c r="H21" t="str">
        <f>+VLOOKUP(E21,'Data Type Mapping'!A:B,2,)</f>
        <v>DateTime?</v>
      </c>
      <c r="I21" t="str">
        <f t="shared" si="42"/>
        <v/>
      </c>
      <c r="J21" t="str">
        <f t="shared" si="43"/>
        <v xml:space="preserve">		public virtual DateTime? CancelTime { get; set; }
</v>
      </c>
      <c r="K21" s="6"/>
      <c r="L21" t="str">
        <f t="shared" si="44"/>
        <v/>
      </c>
      <c r="M21" t="str">
        <f t="shared" si="45"/>
        <v xml:space="preserve">		public virtual DateTime? CancelTime { get; set; }
</v>
      </c>
      <c r="N21" t="str">
        <f t="shared" si="46"/>
        <v xml:space="preserve">		public virtual DateTime? CancelTime { get; set; }
</v>
      </c>
      <c r="O21" t="str">
        <f t="shared" si="47"/>
        <v/>
      </c>
      <c r="P21" t="str">
        <f t="shared" si="48"/>
        <v xml:space="preserve">							CancelTime = o.CancelTime,</v>
      </c>
      <c r="T21" s="63" t="str">
        <f t="shared" si="49"/>
        <v xml:space="preserve">								("CancelTime"),</v>
      </c>
      <c r="V21" s="64" t="str">
        <f t="shared" si="50"/>
        <v xml:space="preserve">								_ =&gt; _.CancelTime,</v>
      </c>
      <c r="W21" s="63" t="str">
        <f t="shared" si="51"/>
        <v/>
      </c>
    </row>
    <row r="22" spans="1:23" customFormat="1" ht="18.75" customHeight="1" x14ac:dyDescent="0.25">
      <c r="A22" t="s">
        <v>376</v>
      </c>
      <c r="B22" t="s">
        <v>377</v>
      </c>
      <c r="C22" t="s">
        <v>1</v>
      </c>
      <c r="D22" t="str">
        <f t="shared" si="39"/>
        <v>StartTime</v>
      </c>
      <c r="E22" t="str">
        <f t="shared" si="40"/>
        <v>DATETIME2</v>
      </c>
      <c r="F22" s="6"/>
      <c r="G22" t="str">
        <f t="shared" si="41"/>
        <v/>
      </c>
      <c r="H22" t="str">
        <f>+VLOOKUP(E22,'Data Type Mapping'!A:B,2,)</f>
        <v>DateTime?</v>
      </c>
      <c r="I22" t="str">
        <f t="shared" si="42"/>
        <v/>
      </c>
      <c r="J22" t="str">
        <f t="shared" si="43"/>
        <v xml:space="preserve">		public virtual DateTime? StartTime { get; set; }
</v>
      </c>
      <c r="K22" s="6"/>
      <c r="L22" t="str">
        <f t="shared" si="44"/>
        <v/>
      </c>
      <c r="M22" t="str">
        <f t="shared" si="45"/>
        <v xml:space="preserve">		public virtual DateTime? StartTime { get; set; }
</v>
      </c>
      <c r="N22" t="str">
        <f t="shared" si="46"/>
        <v xml:space="preserve">		public virtual DateTime? StartTime { get; set; }
</v>
      </c>
      <c r="O22" t="str">
        <f t="shared" si="47"/>
        <v/>
      </c>
      <c r="P22" t="str">
        <f t="shared" si="48"/>
        <v xml:space="preserve">							StartTime = o.StartTime,</v>
      </c>
      <c r="T22" s="63" t="str">
        <f t="shared" si="49"/>
        <v xml:space="preserve">								("StartTime"),</v>
      </c>
      <c r="V22" s="64" t="str">
        <f t="shared" si="50"/>
        <v xml:space="preserve">								_ =&gt; _.StartTime,</v>
      </c>
      <c r="W22" s="63" t="str">
        <f t="shared" si="51"/>
        <v/>
      </c>
    </row>
    <row r="23" spans="1:23" customFormat="1" ht="18.75" customHeight="1" x14ac:dyDescent="0.25">
      <c r="A23" t="s">
        <v>378</v>
      </c>
      <c r="B23" t="s">
        <v>377</v>
      </c>
      <c r="C23" t="s">
        <v>1</v>
      </c>
      <c r="D23" t="str">
        <f t="shared" si="39"/>
        <v>FinishTime</v>
      </c>
      <c r="E23" t="str">
        <f t="shared" si="40"/>
        <v>DATETIME2</v>
      </c>
      <c r="F23" s="6"/>
      <c r="G23" t="str">
        <f t="shared" si="41"/>
        <v/>
      </c>
      <c r="H23" t="str">
        <f>+VLOOKUP(E23,'Data Type Mapping'!A:B,2,)</f>
        <v>DateTime?</v>
      </c>
      <c r="I23" t="str">
        <f t="shared" si="42"/>
        <v/>
      </c>
      <c r="J23" t="str">
        <f t="shared" si="43"/>
        <v xml:space="preserve">		public virtual DateTime? FinishTime { get; set; }
</v>
      </c>
      <c r="K23" s="6"/>
      <c r="L23" t="str">
        <f t="shared" si="44"/>
        <v/>
      </c>
      <c r="M23" t="str">
        <f t="shared" si="45"/>
        <v xml:space="preserve">		public virtual DateTime? FinishTime { get; set; }
</v>
      </c>
      <c r="N23" t="str">
        <f t="shared" si="46"/>
        <v xml:space="preserve">		public virtual DateTime? FinishTime { get; set; }
</v>
      </c>
      <c r="O23" t="str">
        <f t="shared" si="47"/>
        <v/>
      </c>
      <c r="P23" t="str">
        <f t="shared" si="48"/>
        <v xml:space="preserve">							FinishTime = o.FinishTime,</v>
      </c>
      <c r="T23" s="63" t="str">
        <f t="shared" si="49"/>
        <v xml:space="preserve">								("FinishTime"),</v>
      </c>
      <c r="V23" s="64" t="str">
        <f t="shared" si="50"/>
        <v xml:space="preserve">								_ =&gt; _.FinishTime,</v>
      </c>
      <c r="W23" s="63" t="str">
        <f t="shared" si="51"/>
        <v/>
      </c>
    </row>
    <row r="24" spans="1:23" customFormat="1" ht="18.75" customHeight="1" x14ac:dyDescent="0.25">
      <c r="A24" t="s">
        <v>379</v>
      </c>
      <c r="B24" t="s">
        <v>368</v>
      </c>
      <c r="C24" t="s">
        <v>1</v>
      </c>
      <c r="D24" t="str">
        <f t="shared" ref="D24:D25" si="52">SUBSTITUTE(PROPER(A24),"_","")</f>
        <v>IdNo</v>
      </c>
      <c r="E24" t="str">
        <f t="shared" ref="E24:E25" si="53">IFERROR(LEFT(B24, FIND("(",B24)-1),B24)</f>
        <v>VARCHAR</v>
      </c>
      <c r="F24" s="6"/>
      <c r="G24" t="str">
        <f t="shared" ref="G24:G25" si="54">IFERROR(MID(B24,FIND("(",B24) +1, FIND(")",B24) - FIND("(",B24) - 1),"")</f>
        <v>100</v>
      </c>
      <c r="H24" t="str">
        <f>+VLOOKUP(E24,'Data Type Mapping'!A:B,2,)</f>
        <v>string</v>
      </c>
      <c r="I24" t="str">
        <f t="shared" ref="I24:I25" si="55">IF(H24="string",REPT(CHAR(9),2)&amp;"public const int Max"&amp;D24&amp;"Length = "&amp;G24&amp;";"&amp;$E$3,"" )</f>
        <v xml:space="preserve">		public const int MaxIdNoLength = 100;
</v>
      </c>
      <c r="J24" t="str">
        <f t="shared" ref="J24:J25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[StringLength(MaxIdNoLength)]
		public virtual string IdNo { get; set; }
</v>
      </c>
      <c r="K24" s="6"/>
      <c r="L24" t="str">
        <f t="shared" ref="L24:L25" si="57">IF(K24="","",REPT(CHAR(9),1)&amp;"[Index(nameof("&amp;IF(D24="","",""&amp;D24)&amp;")"&amp;", Name="&amp;"""IX_"&amp;$B$7&amp;"_"&amp;D24&amp;""")]")</f>
        <v/>
      </c>
      <c r="M24" t="str">
        <f t="shared" ref="M24:M25" si="58">REPT(CHAR(9),2)&amp;"public virtual "&amp;IF(OR(H24="DateTime",H24="TimeSpan"),H24&amp;"?",H24)&amp;IF(C24="?","? "," ")&amp;D24&amp;" { get; set; }" &amp; "
"</f>
        <v xml:space="preserve">		public virtual string IdNo { get; set; }
</v>
      </c>
      <c r="N24" t="str">
        <f t="shared" ref="N24:N25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[StringLength(InvCkdContainerDeliveryGateInConsts.MaxIdNoLength)]
		public virtual string IdNo { get; set; }
</v>
      </c>
      <c r="O24" t="str">
        <f t="shared" ref="O24:O25" si="60">IF(OR(H24="string",H24="DateTime",H24="int"),REPT(CHAR(9),2)&amp;"public virtual "&amp;IF(OR(H24="DateTime",H24="TimeSpan"),H24&amp;"?",H24)&amp;IF(C24="?","? "," ")&amp;D24&amp;" { get; set; }"&amp;$E$3,"")</f>
        <v xml:space="preserve">		public virtual string IdNo { get; set; }
</v>
      </c>
      <c r="P24" t="str">
        <f t="shared" ref="P24:P25" si="61">REPT(CHAR(9),7)&amp;D24&amp;" = o." &amp;D24 &amp;","</f>
        <v xml:space="preserve">							IdNo = o.IdNo,</v>
      </c>
      <c r="T24" s="63" t="str">
        <f t="shared" ref="T24:T25" si="62">REPT(CHAR(9),8)&amp;"("""&amp;D24&amp;"""),"</f>
        <v xml:space="preserve">								("IdNo"),</v>
      </c>
      <c r="V24" s="64" t="str">
        <f t="shared" ref="V24:V25" si="63">REPT(CHAR(9),8)&amp;"_ =&gt; _."&amp;D24&amp;","</f>
        <v xml:space="preserve">								_ =&gt; _.IdNo,</v>
      </c>
      <c r="W24" s="63" t="str">
        <f t="shared" ref="W24:W25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.WhereIf(!string.IsNullOrWhiteSpace(input.IdNo), e =&gt; e.IdNo.Contains(input.IdNo))</v>
      </c>
    </row>
    <row r="25" spans="1:23" customFormat="1" ht="18.75" customHeight="1" x14ac:dyDescent="0.25">
      <c r="A25" t="s">
        <v>319</v>
      </c>
      <c r="B25" t="s">
        <v>361</v>
      </c>
      <c r="C25" t="s">
        <v>1</v>
      </c>
      <c r="D25" t="str">
        <f t="shared" si="52"/>
        <v>IsActive</v>
      </c>
      <c r="E25" t="str">
        <f t="shared" si="53"/>
        <v>VARCHAR</v>
      </c>
      <c r="F25" s="6"/>
      <c r="G25" t="str">
        <f t="shared" si="54"/>
        <v>1</v>
      </c>
      <c r="H25" t="str">
        <f>+VLOOKUP(E25,'Data Type Mapping'!A:B,2,)</f>
        <v>string</v>
      </c>
      <c r="I25" t="str">
        <f t="shared" si="55"/>
        <v xml:space="preserve">		public const int MaxIsActiveLength = 1;
</v>
      </c>
      <c r="J25" t="str">
        <f t="shared" si="56"/>
        <v xml:space="preserve">		[StringLength(MaxIsActiveLength)]
		public virtual string IsActive { get; set; }
</v>
      </c>
      <c r="K25" s="6"/>
      <c r="L25" t="str">
        <f t="shared" si="57"/>
        <v/>
      </c>
      <c r="M25" t="str">
        <f t="shared" si="58"/>
        <v xml:space="preserve">		public virtual string IsActive { get; set; }
</v>
      </c>
      <c r="N25" t="str">
        <f t="shared" si="59"/>
        <v xml:space="preserve">		[StringLength(InvCkdContainerDeliveryGateInConsts.MaxIsActiveLength)]
		public virtual string IsActive { get; set; }
</v>
      </c>
      <c r="O25" t="str">
        <f t="shared" si="60"/>
        <v xml:space="preserve">		public virtual string IsActive { get; set; }
</v>
      </c>
      <c r="P25" t="str">
        <f t="shared" si="61"/>
        <v xml:space="preserve">							IsActive = o.IsActive,</v>
      </c>
      <c r="T25" s="63" t="str">
        <f t="shared" si="62"/>
        <v xml:space="preserve">								("IsActive"),</v>
      </c>
      <c r="V25" s="64" t="str">
        <f t="shared" si="63"/>
        <v xml:space="preserve">								_ =&gt; _.IsActive,</v>
      </c>
      <c r="W25" s="63" t="str">
        <f t="shared" si="64"/>
        <v xml:space="preserve">				.WhereIf(!string.IsNullOrWhiteSpace(input.IsActive), e =&gt; e.IsActive.Contains(input.IsActive))</v>
      </c>
    </row>
    <row r="27" spans="1:23" ht="45.75" customHeight="1" x14ac:dyDescent="0.25">
      <c r="H27" s="11"/>
      <c r="I27" s="31" t="str">
        <f ca="1">TEXTJOIN2("
", TRUE,INDIRECT( $H$1):INDIRECT( $H$3))</f>
        <v xml:space="preserve">		public const int MaxPlateNoLength = 20;
		public const int MaxContainerNoLength = 15;
		public const int MaxRenbanLength = 20;
		public const int MaxDriverNameLength = 50;
		public const int MaxForwarderLength = 100;
		public const int MaxCardNoLength = 10;
		public const int MaxMobileLength = 50;
		public const int MaxIdNoLength = 100;
		public const int MaxIsActiveLength = 1;
</v>
      </c>
      <c r="J27" s="30" t="str">
        <f ca="1">TEXTJOIN2("
", TRUE,INDIRECT( $F$1):INDIRECT( $F$3))</f>
        <v xml:space="preserve">		[StringLength(MaxPlateNoLength)]
		public virtual string PlateNo { get; set; }
		[StringLength(MaxContainerNoLength)]
		public virtual string ContainerNo { get; set; }
		[StringLength(MaxRenbanLength)]
		public virtual string Renban { get; set; }
		public virtual DateTime? DateIn { get; set; }
		[StringLength(MaxDriverNameLength)]
		public virtual string DriverName { get; set; }
		[StringLength(MaxForwarderLength)]
		public virtual string Forwarder { get; set; }
		public virtual int? TimeIn { get; set; }
		public virtual int? TimeOut { get; set; }
		public virtual long? CkdReqId { get; set; }
		[StringLength(MaxCardNoLength)]
		public virtual string CardNo { get; set; }
		[StringLength(MaxMobileLength)]
		public virtual string Mobile { get; set; }
		public virtual DateTime? CallTime { get; set; }
		public virtual DateTime? CancelTime { get; set; }
		public virtual DateTime? StartTime { get; set; }
		public virtual DateTime? FinishTime { get; set; }
		[StringLength(MaxIdNoLength)]
		public virtual string IdNo { get; set; }
		[StringLength(MaxIsActiveLength)]
		public virtual string IsActive { get; set; }
</v>
      </c>
      <c r="K27" s="32" t="str">
        <f ca="1">TEXTJOIN2("
", TRUE,INDIRECT( $J$1):INDIRECT( $J$3))</f>
        <v/>
      </c>
      <c r="L27" s="12" t="s">
        <v>57</v>
      </c>
      <c r="M27" s="33" t="str">
        <f ca="1">TEXTJOIN2("
",TRUE,INDIRECT( $L$1):INDIRECT($L$3))</f>
        <v xml:space="preserve">		public virtual string PlateNo { get; set; }
		public virtual string ContainerNo { get; set; }
		public virtual string Renban { get; set; }
		public virtual DateTime? DateIn { get; set; }
		public virtual string DriverName { get; set; }
		public virtual string Forwarder { get; set; }
		public virtual int? TimeIn { get; set; }
		public virtual int? TimeOut { get; set; }
		public virtual long? CkdReqId { get; set; }
		public virtual string CardNo { get; set; }
		public virtual string Mobile { get; set; }
		public virtual DateTime? CallTime { get; set; }
		public virtual DateTime? CancelTime { get; set; }
		public virtual DateTime? StartTime { get; set; }
		public virtual DateTime? FinishTime { get; set; }
		public virtual string IdNo { get; set; }
		public virtual string IsActive { get; set; }
</v>
      </c>
      <c r="N27" s="30" t="str">
        <f ca="1">TEXTJOIN2("
",TRUE,INDIRECT( $M$1):INDIRECT($M$3))</f>
        <v xml:space="preserve">		[StringLength(InvCkdContainerDeliveryGateInConsts.MaxPlateNoLength)]
		public virtual string PlateNo { get; set; }
		[StringLength(InvCkdContainerDeliveryGateInConsts.MaxContainerNoLength)]
		public virtual string ContainerNo { get; set; }
		[StringLength(InvCkdContainerDeliveryGateInConsts.MaxRenbanLength)]
		public virtual string Renban { get; set; }
		public virtual DateTime? DateIn { get; set; }
		[StringLength(InvCkdContainerDeliveryGateInConsts.MaxDriverNameLength)]
		public virtual string DriverName { get; set; }
		[StringLength(InvCkdContainerDeliveryGateInConsts.MaxForwarderLength)]
		public virtual string Forwarder { get; set; }
		public virtual int? TimeIn { get; set; }
		public virtual int? TimeOut { get; set; }
		public virtual long? CkdReqId { get; set; }
		[StringLength(InvCkdContainerDeliveryGateInConsts.MaxCardNoLength)]
		public virtual string CardNo { get; set; }
		[StringLength(InvCkdContainerDeliveryGateInConsts.MaxMobileLength)]
		public virtual string Mobile { get; set; }
		public virtual DateTime? CallTime { get; set; }
		public virtual DateTime? CancelTime { get; set; }
		public virtual DateTime? StartTime { get; set; }
		public virtual DateTime? FinishTime { get; set; }
		[StringLength(InvCkdContainerDeliveryGateInConsts.MaxIdNoLength)]
		public virtual string IdNo { get; set; }
		[StringLength(InvCkdContainerDeliveryGateInConsts.MaxIsActiveLength)]
		public virtual string IsActive { get; set; }
</v>
      </c>
      <c r="O27" s="30" t="str">
        <f ca="1">TEXTJOIN2("
",TRUE,INDIRECT( $N$1):INDIRECT($N$3))</f>
        <v xml:space="preserve">		public virtual string PlateNo { get; set; }
		public virtual string ContainerNo { get; set; }
		public virtual string Renban { get; set; }
		public virtual string DriverName { get; set; }
		public virtual string Forwarder { get; set; }
		public virtual string CardNo { get; set; }
		public virtual string Mobile { get; set; }
		public virtual string IdNo { get; set; }
		public virtual string IsActive { get; set; }
</v>
      </c>
      <c r="P27" s="8" t="str">
        <f ca="1">TEXTJOIN2("
",TRUE,INDIRECT( $O$1):INDIRECT($O$3))</f>
        <v xml:space="preserve">							PlateNo = o.PlateNo,
							ContainerNo = o.ContainerNo,
							Renban = o.Renban,
							DateIn = o.DateIn,
							DriverName = o.DriverName,
							Forwarder = o.Forwarder,
							TimeIn = o.TimeIn,
							TimeOut = o.TimeOut,
							CkdReqId = o.CkdReqId,
							CardNo = o.CardNo,
							Mobile = o.Mobile,
							CallTime = o.CallTime,
							CancelTime = o.CancelTime,
							StartTime = o.StartTime,
							FinishTime = o.FinishTime,
							IdNo = o.IdNo,
							IsActive = o.IsActive,</v>
      </c>
      <c r="T27" s="8" t="str">
        <f ca="1">TEXTJOIN2("
",TRUE,INDIRECT( $T$2):INDIRECT($T$3))</f>
        <v xml:space="preserve">								("PlateNo"),
								("ContainerNo"),
								("Renban"),
								("DateIn"),
								("DriverName"),
								("Forwarder"),
								("TimeIn"),
								("TimeOut"),
								("CkdReqId"),
								("CardNo"),
								("Mobile"),
								("CallTime"),
								("CancelTime"),
								("StartTime"),
								("FinishTime"),
								("IdNo"),
								("IsActive"),</v>
      </c>
      <c r="V27" s="8" t="str">
        <f ca="1">TEXTJOIN2("
",TRUE,INDIRECT( $V$2):INDIRECT($V$3))</f>
        <v xml:space="preserve">								_ =&gt; _.PlateNo,
								_ =&gt; _.ContainerNo,
								_ =&gt; _.Renban,
								_ =&gt; _.DateIn,
								_ =&gt; _.DriverName,
								_ =&gt; _.Forwarder,
								_ =&gt; _.TimeIn,
								_ =&gt; _.TimeOut,
								_ =&gt; _.CkdReqId,
								_ =&gt; _.CardNo,
								_ =&gt; _.Mobile,
								_ =&gt; _.CallTime,
								_ =&gt; _.CancelTime,
								_ =&gt; _.StartTime,
								_ =&gt; _.FinishTime,
								_ =&gt; _.IdNo,
								_ =&gt; _.IsActive,</v>
      </c>
      <c r="W27" s="8" t="str">
        <f ca="1">TEXTJOIN2("
",TRUE,INDIRECT( $W$2):INDIRECT($W$3))</f>
        <v xml:space="preserve">				.WhereIf(!string.IsNullOrWhiteSpace(input.PlateNo), e =&gt; e.PlateNo.Contains(input.PlateNo))
				.WhereIf(!string.IsNullOrWhiteSpace(input.ContainerNo), e =&gt; e.ContainerNo.Contains(input.ContainerNo))
				.WhereIf(!string.IsNullOrWhiteSpace(input.Renban), e =&gt; e.Renban.Contains(input.Renban))
				.WhereIf(!string.IsNullOrWhiteSpace(input.DriverName), e =&gt; e.DriverName.Contains(input.DriverName))
				.WhereIf(!string.IsNullOrWhiteSpace(input.Forwarder), e =&gt; e.Forwarder.Contains(input.Forwarder))
				.WhereIf(!string.IsNullOrWhiteSpace(input.CardNo), e =&gt; e.CardNo.Contains(input.CardNo))
				.WhereIf(!string.IsNullOrWhiteSpace(input.Mobile), e =&gt; e.Mobile.Contains(input.Mobile))
				.WhereIf(!string.IsNullOrWhiteSpace(input.IdNo), e =&gt; e.IdNo.Contains(input.IdNo))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3"/>
  <sheetViews>
    <sheetView tabSelected="1" topLeftCell="F1" workbookViewId="0">
      <selection activeCell="J23" sqref="J2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9.7109375" customWidth="1"/>
    <col min="10" max="10" width="22.28515625" customWidth="1"/>
    <col min="11" max="11" width="59.71093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382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InvCkdContainerDeliveryGateIn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ContainerDeliveryGateIn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containerdeliverygatein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InvCkdContainerDeliveryGateInDto, InvCkdContainerDeliveryGateInServiceProxy } from '@shared/service-proxies/service-proxies';
import { finalize } from 'rxjs/internal/operators/finalize';
import { CreateOrEditContainerDeliveryGateInModalComponent } from './create-or-edit-containerdeliverygatein-modal.component';
import { DatePipe } from '@angular/common';
import { FileDownloadService } from '@shared/utils/file-download.service';
import ceil from 'lodash-es/ceil';
import { Paginator } from 'primeng/paginator';
@Component({
    templateUrl: './containerdeliverygatein.component.html',
    styleUrls: ['./containerdeliverygatein.component.less'],
})
export class ContainerDeliveryGateInComponent extends AppComponentBase implements OnInit {
    @ViewChild('createOrEditModalContainerDeliveryGateIn', { static: true }) createOrEditModalContainerDeliveryGateIn:| CreateOrEditContainerDeliveryGateInModalComponent|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InvCkdContainerDeliveryGateInDto = new InvCkdContainerDeliveryGateInDto();
    saveSelectedRow: InvCkdContainerDeliveryGateInDto = new InvCkdContainerDeliveryGateInDto();
    datas: InvCkdContainerDeliveryGateInDto = new InvCkdContainerDeliveryGateInDto();
    isLoading: boolean = false;
    dataParams: GridParams | undefined;
    rowData: any[] = [];
    gridApi!: GridApi;
    rowSelection = 'multiple';
    filter: string = '';
	pipe = new DatePipe('en-US');
	frameworkComponents: FrameworkComponent;
    	plateNo : string = '' ; 
	containerNo : string = '' ; 
	renban : string = '' ; 
	dateIn
	driverName : string = '' ; 
	forwarder : string = '' ; 
	timeIn
	timeOut
	ckdReqId
	cardNo : string = '' ; 
	mobile : string = '' ; 
	callTime
	cancelTime
	startTime
	finishTime
	idNo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InvCkdContainerDeliveryGateInServiceProxy,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this.l('Plate No'),headerTooltip: this.l('Plate No'),field: 'plateNo',flex: 1},
			{headerName: this.l('Container No'),headerTooltip: this.l('Container No'),field: 'containerNo',flex: 1},
			{headerName: this.l('Renban'),headerTooltip: this.l('Renban'),field: 'renban',flex: 1},
			{headerName: this.l('Date In'),headerTooltip: this.l('Date In'),field: 'dateIn',flex: 1},
			{headerName: this.l('Driver Name'),headerTooltip: this.l('Driver Name'),field: 'driverName',flex: 1},
			{headerName: this.l('Forwarder'),headerTooltip: this.l('Forwarder'),field: 'forwarder',flex: 1},
			{headerName: this.l('Time In'),headerTooltip: this.l('Time In'),field: 'timeIn',flex: 1},
			{headerName: this.l('Time Out'),headerTooltip: this.l('Time Out'),field: 'timeOut',flex: 1},
			{headerName: this.l('Ckd Req Id'),headerTooltip: this.l('Ckd Req Id'),field: 'ckdReqId',flex: 1},
			{headerName: this.l('Card No'),headerTooltip: this.l('Card No'),field: 'cardNo',flex: 1},
			{headerName: this.l('Mobile'),headerTooltip: this.l('Mobile'),field: 'mobile',flex: 1},
			{headerName: this.l('Call Time'),headerTooltip: this.l('Call Time'),field: 'callTime',flex: 1},
			{headerName: this.l('Cancel Time'),headerTooltip: this.l('Cancel Time'),field: 'cancelTime',flex: 1},
			{headerName: this.l('Start Time'),headerTooltip: this.l('Start Time'),field: 'startTime',flex: 1},
			{headerName: this.l('Finish Time'),headerTooltip: this.l('Finish Time'),field: 'finishTime',flex: 1},
			{headerName: this.l('Id No'),headerTooltip: this.l('Id No'),field: 'idNo',flex: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this.plateNo,
			this.containerNo,
			this.renban,
			this.dateIn,
			this.driverName,
			this.forwarder,
			this.timeIn,
			this.timeOut,
			this.ckdReqId,
			this.cardNo,
			this.mobile,
			this.callTime,
			this.cancelTime,
			this.startTime,
			this.finishTime,
			this.idNo,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this.plateNo = '',
		this.containerNo = '',
		this.renban = '',
		this.dateIn = '',
		this.driverName = '',
		this.forwarder = '',
		this.timeIn = '',
		this.timeOut = '',
		this.ckdReqId = '',
		this.cardNo = '',
		this.mobile = '',
		this.callTime = '',
		this.cancelTime = '',
		this.startTime = '',
		this.finishTime = '',
		this.idNo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this.plateNo,
			this.containerNo,
			this.renban,
			this.dateIn,
			this.driverName,
			this.forwarder,
			this.timeIn,
			this.timeOut,
			this.ckdReqId,
			this.cardNo,
			this.mobile,
			this.callTime,
			this.cancelTime,
			this.startTime,
			this.finishTime,
			this.idNo,
			this.isActive,
			'',
            this.paginationParams.skipCount,
            this.paginationParams.pageSize
        );
    }
    onChangeRowSelection(params: { api: { getSelectedRows: () =&gt; InvCkdContainerDeliveryGateInDto[] } }) {
        this.saveSelectedRow = params.api.getSelectedRows()[0] ?? new InvCkdContainerDeliveryGateInDto();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InvCkdContainerDeliveryGateInDto):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this._service.getContainerDeliveryGateInToExcel(
			this.plateNo,
			this.containerNo,
			this.renban,
			this.dateIn,
			this.driverName,
			this.forwarder,
			this.timeIn,
			this.timeOut,
			this.ckdReqId,
			this.cardNo,
			this.mobile,
			this.callTime,
			this.cancelTime,
			this.startTime,
			this.finishTime,
			this.idNo,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Gate In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[(ngModel)]='plateNo' name='plateNo'
									class='form-control' [placeholder]="l('Plate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[(ngModel)]='driverName' name='driverName'
									class='form-control' [placeholder]="l('Driver Name')"
									type='text' (keyup.enter)='searchDatas()'&gt;
								&lt;/div&gt;
								&lt;div class='input-search'&gt;
									&lt;input [(ngModel)]='forwarder' name='forwarder'
									class='form-control' [placeholder]="l('Forwarder')"
									type='text' (keyup.enter)='searchDatas()'&gt;
								&lt;/div&gt;
								&lt;div class='input-search'&gt;
									&lt;input [(ngModel)]='cardNo' name='cardNo'
									class='form-control' [placeholder]="l('Card No')"
									type='text' (keyup.enter)='searchDatas()'&gt;
								&lt;/div&gt;
								&lt;div class='input-search'&gt;
									&lt;input [(ngModel)]='mobile' name='mobile'
									class='form-control' [placeholder]="l('Mobile')"
									type='text' (keyup.enter)='searchDatas()'&gt;
								&lt;/div&gt;
								&lt;div class='input-search'&gt;
									&lt;input [(ngModel)]='idNo' name='idNo'
									class='form-control' [placeholder]="l('Id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(click)="createOrEditModalContainerDeliveryGateIn.show()"&gt;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(click)="createOrEditModalContainerDeliveryGateIn.show(selectedRow)"&gt;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&lt;create-or-edit-containerdeliverygatein-modal
    #createOrEditModalContainerDeliveryGateIn
    (modalSave)="callBackDataGrid(dataParams)"
    (modalClose)="onChangeRowSelection(dataParams)"
&gt;
&lt;/create-or-edit-containerdeliverygatein-modal&gt;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#createOrEditModalContainerDeliveryGateIn="bs-modal"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ContainerDeliveryGateIn')}}&lt;/h3&gt;
                    &lt;h3 *ngIf="!rowdata.id"&gt;{{('Create New ContainerDeliveryGateIn')}}&lt;/h3&gt;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title'&gt;Plate No&lt;/label&gt;
						&lt;input type='text' class='col-md-10 form-control input-text' name='PlateNo' [(ngModel)]='rowdata.plateNo'&gt;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title'&gt;Driver Name&lt;/label&gt;
						&lt;input type='text' class='col-md-10 form-control input-text' name='DriverName' [(ngModel)]='rowdata.driverName'&gt;
					&lt;/div&gt;
					&lt;div class='col-md-12 form-group row'&gt;
						&lt;label class='col-md-2 form-control title'&gt;Forwarder&lt;/label&gt;
						&lt;input type='text' class='col-md-10 form-control input-text' name='Forwarder' [(ngModel)]='rowdata.forwarder'&gt;
					&lt;/div&gt;
					&lt;div class='col-md-12 form-group row'&gt;
						&lt;label class='col-md-2 form-control title'&gt;Time In&lt;/label&gt;
						&lt;input type='number' class='col-md-10 form-control input-text' name='TimeIn' [(ngModel)]='rowdata.timeIn'&gt;
					&lt;/div&gt;
					&lt;div class='col-md-12 form-group row'&gt;
						&lt;label class='col-md-2 form-control title'&gt;Time Out&lt;/label&gt;
						&lt;input type='number' class='col-md-10 form-control input-text' name='TimeOut' [(ngModel)]='rowdata.timeOut'&gt;
					&lt;/div&gt;
					&lt;div class='col-md-12 form-group row'&gt;
						&lt;label class='col-md-2 form-control title'&gt;Ckd Req Id&lt;/label&gt;
						&lt;input type='number' class='col-md-10 form-control input-text' name='CkdReqId' [(ngModel)]='rowdata.ckdReqId'&gt;
					&lt;/div&gt;
					&lt;div class='col-md-12 form-group row'&gt;
						&lt;label class='col-md-2 form-control title'&gt;Card No&lt;/label&gt;
						&lt;input type='text' class='col-md-10 form-control input-text' name='CardNo' [(ngModel)]='rowdata.cardNo'&gt;
					&lt;/div&gt;
					&lt;div class='col-md-12 form-group row'&gt;
						&lt;label class='col-md-2 form-control title'&gt;Mobile&lt;/label&gt;
						&lt;input type='text' class='col-md-10 form-control input-text' name='Mobile' [(ngModel)]='rowdata.mobile'&gt;
					&lt;/div&gt;
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
					&lt;div class='col-md-12 form-group row'&gt;
						&lt;label class='col-md-2 form-control title'&gt;Cancel Time&lt;/label&gt;
						&lt;input type='text' class='col-md-10 form-control input-text' name='cancelTime' 
						#datepicker='bsDatepicker' [(ngModel)]='rowdata.cancelTime'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
					&lt;div class='col-md-12 form-group row'&gt;
						&lt;label class='col-md-2 form-control title'&gt;Id No&lt;/label&gt;
						&lt;input type='text' class='col-md-10 form-control input-text' name='IdNo' [(ngModel)]='rowdata.idNo'&gt;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CreateOrEditInvCkdContainerDeliveryGateInDto, InvCkdContainerDeliveryGateInServiceProxy } from '@shared/service-proxies/service-proxies';
import { BsDatepickerDirective } from 'ngx-bootstrap/datepicker';
@Component({
    selector: 'create-or-edit-containerdeliverygatein-modal',
    templateUrl: './create-or-edit-containerdeliverygatein-modal.component.html',
    styleUrls: ['./create-or-edit-containerdeliverygatein-modal.component.less']
    })
export class CreateOrEditContainerDeliveryGateInModalComponent extends AppComponentBase {
    @ViewChild('createOrEditModalContainerDeliveryGateIn',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CreateOrEditInvCkdContainerDeliveryGateInDto = new CreateOrEditInvCkdContainerDeliveryGateInDto();
    active: boolean = false;
    saving: boolean = false;
    _isActive: boolean;
    constructor(
        injector: Injector,
        private _mstwptContainerDeliveryGateInService: InvCkdContainerDeliveryGateInServiceProxy,
    ) 
    {
        super(injector);
    }
    show(rowdata?: CreateOrEditInvCkdContainerDeliveryGateInDto): void {
        if (!rowdata) this.rowdata = new CreateOrEditInvCkdContainerDeliveryGateInDto();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this._mstwptContainerDeliveryGateInService.createOrEdit(this.rowdata)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ContainerDeliveryGateInRoutingModule } from './containerdeliverygatein-routing.module';
import { ContainerDeliveryGateInComponent } from './containerdeliverygatein.component';
import { CreateOrEditContainerDeliveryGateInModalComponent } from './create-or-edit-containerdeliverygatein-modal.component';
@NgModule({
    declarations: [
       ContainerDeliveryGateInComponent, 
        CreateOrEditContainerDeliveryGateInModalComponent
    ],
    imports: [
        AppSharedModule, ContainerDeliveryGateInRoutingModule]
})
export class ContainerDeliveryGateInModule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ContainerDeliveryGateInComponent } from './containerdeliverygatein.component';
const routes: Routes = [{
    path: '',
    component: ContainerDeliveryGateInComponent,
    pathMatch: 'full'
}];
@NgModule({
    imports: [RouterModule.forChild(routes)],
    exports: [RouterModule],
})
export class ContainerDeliveryGateInRoutingModule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AppMenuItem("ContainerDeliveryGateIn", "Pages.Inventory.CKD.ContainerDeliveryGateIn", "flaticon-book",   "/app/main/inventory/ckd/containerdeliverygatein"),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'inventory/ckd/containerdeliverygatein',
    loadChildren: () =&gt; import('./inventory/ckd/containerdeliverygatein/containerdeliverygatein.module').then(m =&gt; m.ContainerDeliveryGateInModule),
    data: { permission: 'Pages.Inventory.CKD.ContainerDeliveryGateIn' }
},</v>
      </c>
      <c r="R10" s="47" t="str">
        <f>SUBSTITUTE(R9,"MstWptCalendar",$B$6)</f>
        <v>ApiServiceProxies.InvCkdContainerDeliveryGateInServiceProxy,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H31</v>
      </c>
      <c r="I12" s="28" t="str">
        <f>"I"&amp;COUNTA($A:$A)</f>
        <v>I31</v>
      </c>
      <c r="J12" s="28"/>
      <c r="K12" s="28" t="str">
        <f>"K"&amp;COUNTA($A:$A)</f>
        <v>K31</v>
      </c>
      <c r="L12" s="28" t="str">
        <f>"L"&amp;COUNTA($A:$A)</f>
        <v>L31</v>
      </c>
      <c r="M12" s="28"/>
      <c r="N12" s="28"/>
      <c r="O12" s="28"/>
      <c r="P12" s="28"/>
      <c r="Q12" s="28"/>
      <c r="R12" s="28"/>
      <c r="S12" s="28" t="str">
        <f>"S"&amp;COUNTA($A:$A)</f>
        <v>S31</v>
      </c>
      <c r="T12" s="28" t="str">
        <f>"T"&amp;COUNTA($A:$A)</f>
        <v>T31</v>
      </c>
      <c r="U12" s="28" t="str">
        <f>"U"&amp;COUNTA($A:$A)</f>
        <v>U31</v>
      </c>
      <c r="V12" s="28" t="str">
        <f>"V"&amp;COUNTA($A:$A)</f>
        <v>V31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this.l('Plate No'),headerTooltip: this.l('Plate No'),field: 'plateNo',flex: 1},
			{headerName: this.l('Container No'),headerTooltip: this.l('Container No'),field: 'containerNo',flex: 1},
			{headerName: this.l('Renban'),headerTooltip: this.l('Renban'),field: 'renban',flex: 1},
			{headerName: this.l('Date In'),headerTooltip: this.l('Date In'),field: 'dateIn',flex: 1},
			{headerName: this.l('Driver Name'),headerTooltip: this.l('Driver Name'),field: 'driverName',flex: 1},
			{headerName: this.l('Forwarder'),headerTooltip: this.l('Forwarder'),field: 'forwarder',flex: 1},
			{headerName: this.l('Time In'),headerTooltip: this.l('Time In'),field: 'timeIn',flex: 1},
			{headerName: this.l('Time Out'),headerTooltip: this.l('Time Out'),field: 'timeOut',flex: 1},
			{headerName: this.l('Ckd Req Id'),headerTooltip: this.l('Ckd Req Id'),field: 'ckdReqId',flex: 1},
			{headerName: this.l('Card No'),headerTooltip: this.l('Card No'),field: 'cardNo',flex: 1},
			{headerName: this.l('Mobile'),headerTooltip: this.l('Mobile'),field: 'mobile',flex: 1},
			{headerName: this.l('Call Time'),headerTooltip: this.l('Call Time'),field: 'callTime',flex: 1},
			{headerName: this.l('Cancel Time'),headerTooltip: this.l('Cancel Time'),field: 'cancelTime',flex: 1},
			{headerName: this.l('Start Time'),headerTooltip: this.l('Start Time'),field: 'startTime',flex: 1},
			{headerName: this.l('Finish Time'),headerTooltip: this.l('Finish Time'),field: 'finishTime',flex: 1},
			{headerName: this.l('Id No'),headerTooltip: this.l('Id No'),field: 'idNo',flex: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[(ngModel)]='plateNo' name='plateNo'
									class='form-control' [placeholder]="l('Plate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[(ngModel)]='driverName' name='driverName'
									class='form-control' [placeholder]="l('Driver Name')"
									type='text' (keyup.enter)='searchDatas()'&gt;
								&lt;/div&gt;
								&lt;div class='input-search'&gt;
									&lt;input [(ngModel)]='forwarder' name='forwarder'
									class='form-control' [placeholder]="l('Forwarder')"
									type='text' (keyup.enter)='searchDatas()'&gt;
								&lt;/div&gt;
								&lt;div class='input-search'&gt;
									&lt;input [(ngModel)]='cardNo' name='cardNo'
									class='form-control' [placeholder]="l('Card No')"
									type='text' (keyup.enter)='searchDatas()'&gt;
								&lt;/div&gt;
								&lt;div class='input-search'&gt;
									&lt;input [(ngModel)]='mobile' name='mobile'
									class='form-control' [placeholder]="l('Mobile')"
									type='text' (keyup.enter)='searchDatas()'&gt;
								&lt;/div&gt;
								&lt;div class='input-search'&gt;
									&lt;input [(ngModel)]='idNo' name='idNo'
									class='form-control' [placeholder]="l('Id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title'&gt;Plate No&lt;/label&gt;
						&lt;input type='text' class='col-md-10 form-control input-text' name='PlateNo' [(ngModel)]='rowdata.plateNo'&gt;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title'&gt;Driver Name&lt;/label&gt;
						&lt;input type='text' class='col-md-10 form-control input-text' name='DriverName' [(ngModel)]='rowdata.driverName'&gt;
					&lt;/div&gt;
					&lt;div class='col-md-12 form-group row'&gt;
						&lt;label class='col-md-2 form-control title'&gt;Forwarder&lt;/label&gt;
						&lt;input type='text' class='col-md-10 form-control input-text' name='Forwarder' [(ngModel)]='rowdata.forwarder'&gt;
					&lt;/div&gt;
					&lt;div class='col-md-12 form-group row'&gt;
						&lt;label class='col-md-2 form-control title'&gt;Time In&lt;/label&gt;
						&lt;input type='number' class='col-md-10 form-control input-text' name='TimeIn' [(ngModel)]='rowdata.timeIn'&gt;
					&lt;/div&gt;
					&lt;div class='col-md-12 form-group row'&gt;
						&lt;label class='col-md-2 form-control title'&gt;Time Out&lt;/label&gt;
						&lt;input type='number' class='col-md-10 form-control input-text' name='TimeOut' [(ngModel)]='rowdata.timeOut'&gt;
					&lt;/div&gt;
					&lt;div class='col-md-12 form-group row'&gt;
						&lt;label class='col-md-2 form-control title'&gt;Ckd Req Id&lt;/label&gt;
						&lt;input type='number' class='col-md-10 form-control input-text' name='CkdReqId' [(ngModel)]='rowdata.ckdReqId'&gt;
					&lt;/div&gt;
					&lt;div class='col-md-12 form-group row'&gt;
						&lt;label class='col-md-2 form-control title'&gt;Card No&lt;/label&gt;
						&lt;input type='text' class='col-md-10 form-control input-text' name='CardNo' [(ngModel)]='rowdata.cardNo'&gt;
					&lt;/div&gt;
					&lt;div class='col-md-12 form-group row'&gt;
						&lt;label class='col-md-2 form-control title'&gt;Mobile&lt;/label&gt;
						&lt;input type='text' class='col-md-10 form-control input-text' name='Mobile' [(ngModel)]='rowdata.mobile'&gt;
					&lt;/div&gt;
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
					&lt;div class='col-md-12 form-group row'&gt;
						&lt;label class='col-md-2 form-control title'&gt;Cancel Time&lt;/label&gt;
						&lt;input type='text' class='col-md-10 form-control input-text' name='cancelTime' 
						#datepicker='bsDatepicker' [(ngModel)]='rowdata.cancelTime'  bsDatepicker 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
					&lt;div class='col-md-12 form-group row'&gt;
						&lt;label class='col-md-2 form-control title'&gt;Id No&lt;/label&gt;
						&lt;input type='text' class='col-md-10 form-control input-text' name='IdNo' [(ngModel)]='rowdata.idNo'&gt;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plateNo : string = '' ; 
	containerNo : string = '' ; 
	renban : string = '' ; 
	dateIn
	driverName : string = '' ; 
	forwarder : string = '' ; 
	timeIn
	timeOut
	ckdReqId
	cardNo : string = '' ; 
	mobile : string = '' ; 
	callTime
	cancelTime
	startTime
	finishTime
	idNo : string = '' ; 
	isActive : string = '' ; </v>
      </c>
      <c r="T13" s="62" t="str">
        <f ca="1">TEXTJOIN2("
",TRUE,INDIRECT(T11):INDIRECT(T12))</f>
        <v xml:space="preserve">			this.plateNo,
			this.containerNo,
			this.renban,
			this.dateIn,
			this.driverName,
			this.forwarder,
			this.timeIn,
			this.timeOut,
			this.ckdReqId,
			this.cardNo,
			this.mobile,
			this.callTime,
			this.cancelTime,
			this.startTime,
			this.finishTime,
			this.idNo,
			this.isActive,</v>
      </c>
      <c r="U13" s="62" t="str">
        <f ca="1">TEXTJOIN2("
",TRUE,INDIRECT(U11):INDIRECT(U12))</f>
        <v xml:space="preserve">		this.plateNo = '',
		this.containerNo = '',
		this.renban = '',
		this.dateIn = '',
		this.driverName = '',
		this.forwarder = '',
		this.timeIn = '',
		this.timeOut = '',
		this.ckdReqId = '',
		this.cardNo = '',
		this.mobile = '',
		this.callTime = '',
		this.cancelTime = '',
		this.startTime = '',
		this.finishTime = '',
		this.idNo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containerdeliverygatein.component.ts</v>
      </c>
      <c r="I14" s="37" t="str">
        <f>B8&amp;".component.html"</f>
        <v>containerdeliverygatein.component.html</v>
      </c>
      <c r="J14" s="36" t="str">
        <f>B8&amp;".component.less"</f>
        <v>containerdeliverygatein.component.less</v>
      </c>
      <c r="K14" s="37" t="str">
        <f>"create-or-edit-"&amp;B8&amp;"-modal.component.html"</f>
        <v>create-or-edit-containerdeliverygatein-modal.component.html</v>
      </c>
      <c r="L14" s="37" t="str">
        <f>"create-or-edit-"&amp;B8&amp;"-modal.component.ts"</f>
        <v>create-or-edit-containerdeliverygatein-modal.component.ts</v>
      </c>
      <c r="M14" s="37" t="str">
        <f>"create-or-edit-"&amp;B8&amp;"-modal.component.less"</f>
        <v>create-or-edit-containerdeliverygatein-modal.component.less</v>
      </c>
      <c r="N14" s="37" t="str">
        <f>B8&amp;".module.ts"</f>
        <v>containerdeliverygatein.module.ts</v>
      </c>
      <c r="O14" s="37" t="str">
        <f>B8&amp;"-routing.module.ts"</f>
        <v>containerdeliverygatein-routing.module.ts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362</v>
      </c>
      <c r="B15" s="28" t="str">
        <f t="shared" ref="B15" si="0">SUBSTITUTE(PROPER(A15),"_","")</f>
        <v>PlateNo</v>
      </c>
      <c r="C15" s="28" t="str">
        <f t="shared" ref="C15" si="1">SUBSTITUTE(PROPER(A15),"_"," ")</f>
        <v>Plate No</v>
      </c>
      <c r="D15" s="28" t="str">
        <f t="shared" ref="D15" si="2">LOWER(LEFT(B15,1))&amp;RIGHT(B15,LEN(B15) - 1)</f>
        <v>plateNo</v>
      </c>
      <c r="E15" s="28" t="str">
        <f>A.Backend!H9</f>
        <v>string</v>
      </c>
      <c r="F15" s="28" t="str">
        <f>A.Backend!G9</f>
        <v>20</v>
      </c>
      <c r="G15" s="28" t="str">
        <f t="shared" ref="G15:G31" si="3">IF(E15="string"," : string = '' ; ",IF(OR(E15="DateTime",E15="TimeSpan")," : any ;",IF(E15="int"," : number = 0 ;","")))</f>
        <v xml:space="preserve"> : string = '' ; </v>
      </c>
      <c r="H15" s="35" t="str">
        <f t="shared" ref="H15:H3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this.l('Plate No'),headerTooltip: this.l('Plate No'),field: 'plateNo',flex: 1},</v>
      </c>
      <c r="I15" s="35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[(ngModel)]='plateNo' name='plateNo'
									class='form-control' [placeholder]="l('Plate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IF(E15="int?",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
IF(E15="decimal?",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
IF(E15="long?",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
""))))
))</f>
        <v xml:space="preserve">					&lt;div class='col-md-12 form-group row'&gt;
						&lt;label class='col-md-2 form-control title'&gt;Plate No&lt;/label&gt;
						&lt;input type='text' class='col-md-10 form-control input-text' name='PlateNo' [(ngModel)]='rowdata.plateNo'&gt;
					&lt;/div&gt;</v>
      </c>
      <c r="L15" s="56" t="str">
        <f t="shared" ref="L15" si="5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plateNo : string = '' ; </v>
      </c>
      <c r="T15" s="28" t="str">
        <f>REPT(CHAR(9),3)&amp;"this."&amp;D15&amp;","</f>
        <v xml:space="preserve">			this.plateNo,</v>
      </c>
      <c r="U15" s="28" t="str">
        <f>IF(E15="int",REPT(CHAR(9),2)&amp;"this."&amp;D15&amp;" = 0,",REPT(CHAR(9),2)&amp;"this."&amp;D15&amp;" = '',")</f>
        <v xml:space="preserve">		this.plateNo = '',</v>
      </c>
      <c r="V15" s="28" t="str">
        <f t="shared" ref="V15:V31" si="6">IF(AND(E15="string",F15="1"),D15,"")</f>
        <v/>
      </c>
    </row>
    <row r="16" spans="1:22" ht="18" customHeight="1" x14ac:dyDescent="0.25">
      <c r="A16" t="s">
        <v>357</v>
      </c>
      <c r="B16" s="28" t="str">
        <f t="shared" ref="B16" si="7">SUBSTITUTE(PROPER(A16),"_","")</f>
        <v>ContainerNo</v>
      </c>
      <c r="C16" s="28" t="str">
        <f t="shared" ref="C16" si="8">SUBSTITUTE(PROPER(A16),"_"," ")</f>
        <v>Container No</v>
      </c>
      <c r="D16" s="28" t="str">
        <f t="shared" ref="D16" si="9">LOWER(LEFT(B16,1))&amp;RIGHT(B16,LEN(B16) - 1)</f>
        <v>containerNo</v>
      </c>
      <c r="E16" s="28" t="str">
        <f>A.Backend!H10</f>
        <v>string</v>
      </c>
      <c r="F16" s="28" t="str">
        <f>A.Backend!G10</f>
        <v>15</v>
      </c>
      <c r="G16" s="28" t="str">
        <f t="shared" si="3"/>
        <v xml:space="preserve"> : string = '' ; </v>
      </c>
      <c r="H16" s="35" t="str">
        <f t="shared" si="4"/>
        <v xml:space="preserve">			{headerName: this.l('Container No'),headerTooltip: this.l('Container No'),field: 'containerNo',flex: 1},</v>
      </c>
      <c r="I16" s="35" t="str">
        <f t="shared" ref="I16:I31" si="10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6" s="28"/>
      <c r="K16" s="35" t="str">
        <f t="shared" ref="K16:K31" si="11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IF(E16="int?",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
IF(E16="decimal?",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
IF(E16="long?",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
""))))
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1" si="13">REPT(CHAR(9),1)&amp;D16&amp;G16</f>
        <v xml:space="preserve">	containerNo : string = '' ; </v>
      </c>
      <c r="T16" s="28" t="str">
        <f t="shared" ref="T16:T31" si="14">REPT(CHAR(9),3)&amp;"this."&amp;D16&amp;","</f>
        <v xml:space="preserve">			this.containerNo,</v>
      </c>
      <c r="U16" s="28" t="str">
        <f t="shared" ref="U16:U31" si="15">IF(E16="int",REPT(CHAR(9),2)&amp;"this."&amp;D16&amp;" = 0,",REPT(CHAR(9),2)&amp;"this."&amp;D16&amp;" = '',")</f>
        <v xml:space="preserve">		this.containerNo = '',</v>
      </c>
      <c r="V16" s="28" t="str">
        <f t="shared" si="6"/>
        <v/>
      </c>
    </row>
    <row r="17" spans="1:22" ht="18" customHeight="1" x14ac:dyDescent="0.25">
      <c r="A17" t="s">
        <v>363</v>
      </c>
      <c r="B17" s="28" t="str">
        <f>SUBSTITUTE(PROPER(A17),"_","")</f>
        <v>Renban</v>
      </c>
      <c r="C17" s="28" t="str">
        <f>SUBSTITUTE(PROPER(A17),"_"," ")</f>
        <v>Renban</v>
      </c>
      <c r="D17" s="28" t="str">
        <f>LOWER(LEFT(B17,1))&amp;RIGHT(B17,LEN(B17) - 1)</f>
        <v>renban</v>
      </c>
      <c r="E17" s="28" t="str">
        <f>A.Backend!H11</f>
        <v>string</v>
      </c>
      <c r="F17" s="28" t="str">
        <f>A.Backend!G11</f>
        <v>20</v>
      </c>
      <c r="G17" s="28" t="str">
        <f t="shared" si="3"/>
        <v xml:space="preserve"> : string = '' ; </v>
      </c>
      <c r="H17" s="35" t="str">
        <f t="shared" si="4"/>
        <v xml:space="preserve">			{headerName: this.l('Renban'),headerTooltip: this.l('Renban'),field: 'renban',flex: 1},</v>
      </c>
      <c r="I17" s="35" t="str">
        <f t="shared" si="10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7" s="28"/>
      <c r="K17" s="35" t="str">
        <f t="shared" si="11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renban : string = '' ; </v>
      </c>
      <c r="T17" s="28" t="str">
        <f t="shared" si="14"/>
        <v xml:space="preserve">			this.renban,</v>
      </c>
      <c r="U17" s="28" t="str">
        <f t="shared" si="15"/>
        <v xml:space="preserve">		this.renban = '',</v>
      </c>
      <c r="V17" s="28" t="str">
        <f t="shared" si="6"/>
        <v/>
      </c>
    </row>
    <row r="18" spans="1:22" ht="15" customHeight="1" x14ac:dyDescent="0.25">
      <c r="A18" t="s">
        <v>364</v>
      </c>
      <c r="B18" s="28" t="str">
        <f t="shared" ref="B18:B21" si="16">SUBSTITUTE(PROPER(A18),"_","")</f>
        <v>DateIn</v>
      </c>
      <c r="C18" s="28" t="str">
        <f t="shared" ref="C18:C21" si="17">SUBSTITUTE(PROPER(A18),"_"," ")</f>
        <v>Date In</v>
      </c>
      <c r="D18" s="28" t="str">
        <f t="shared" ref="D18:D21" si="18">LOWER(LEFT(B18,1))&amp;RIGHT(B18,LEN(B18) - 1)</f>
        <v>dateIn</v>
      </c>
      <c r="E18" s="28" t="str">
        <f>A.Backend!H12</f>
        <v>DateTime?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this.l('Date In'),headerTooltip: this.l('Date In'),field: 'dateIn',flex: 1},</v>
      </c>
      <c r="I18" s="35" t="str">
        <f t="shared" si="10"/>
        <v/>
      </c>
      <c r="J18" s="28"/>
      <c r="K18" s="35" t="str">
        <f t="shared" si="11"/>
        <v xml:space="preserve">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dateIn</v>
      </c>
      <c r="T18" s="28" t="str">
        <f t="shared" si="14"/>
        <v xml:space="preserve">			this.dateIn,</v>
      </c>
      <c r="U18" s="28" t="str">
        <f t="shared" si="15"/>
        <v xml:space="preserve">		this.dateIn = '',</v>
      </c>
      <c r="V18" s="28" t="str">
        <f t="shared" si="6"/>
        <v/>
      </c>
    </row>
    <row r="19" spans="1:22" ht="18" customHeight="1" x14ac:dyDescent="0.25">
      <c r="A19" t="s">
        <v>365</v>
      </c>
      <c r="B19" s="28" t="str">
        <f t="shared" si="16"/>
        <v>DriverName</v>
      </c>
      <c r="C19" s="28" t="str">
        <f t="shared" si="17"/>
        <v>Driver Name</v>
      </c>
      <c r="D19" s="28" t="str">
        <f t="shared" si="18"/>
        <v>driverName</v>
      </c>
      <c r="E19" s="28" t="str">
        <f>A.Backend!H13</f>
        <v>string</v>
      </c>
      <c r="F19" s="28" t="str">
        <f>A.Backend!G13</f>
        <v>50</v>
      </c>
      <c r="G19" s="28" t="str">
        <f t="shared" si="3"/>
        <v xml:space="preserve"> : string = '' ; </v>
      </c>
      <c r="H19" s="35" t="str">
        <f t="shared" si="4"/>
        <v xml:space="preserve">			{headerName: this.l('Driver Name'),headerTooltip: this.l('Driver Name'),field: 'driverName',flex: 1},</v>
      </c>
      <c r="I19" s="35" t="str">
        <f t="shared" si="10"/>
        <v xml:space="preserve">								&lt;div class='input-search'&gt;
									&lt;input [(ngModel)]='driverName' name='driverName'
									class='form-control' [placeholder]="l('Driver Name')"
									type='text' (keyup.enter)='searchDatas()'&gt;
								&lt;/div&gt;</v>
      </c>
      <c r="J19" s="28"/>
      <c r="K19" s="35" t="str">
        <f t="shared" si="11"/>
        <v xml:space="preserve">					&lt;div class='col-md-12 form-group row'&gt;
						&lt;label class='col-md-2 form-control title'&gt;Driver Name&lt;/label&gt;
						&lt;input type='text' class='col-md-10 form-control input-text' name='DriverName' [(ngModel)]='rowdata.driverName'&gt;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driverName : string = '' ; </v>
      </c>
      <c r="T19" s="28" t="str">
        <f t="shared" si="14"/>
        <v xml:space="preserve">			this.driverName,</v>
      </c>
      <c r="U19" s="28" t="str">
        <f t="shared" si="15"/>
        <v xml:space="preserve">		this.driverName = '',</v>
      </c>
      <c r="V19" s="28" t="str">
        <f t="shared" si="6"/>
        <v/>
      </c>
    </row>
    <row r="20" spans="1:22" ht="15" customHeight="1" x14ac:dyDescent="0.25">
      <c r="A20" t="s">
        <v>367</v>
      </c>
      <c r="B20" s="28" t="str">
        <f t="shared" si="16"/>
        <v>Forwarder</v>
      </c>
      <c r="C20" s="28" t="str">
        <f t="shared" si="17"/>
        <v>Forwarder</v>
      </c>
      <c r="D20" s="28" t="str">
        <f t="shared" si="18"/>
        <v>forwarder</v>
      </c>
      <c r="E20" s="28" t="str">
        <f>A.Backend!H14</f>
        <v>string</v>
      </c>
      <c r="F20" s="28" t="str">
        <f>A.Backend!G14</f>
        <v>100</v>
      </c>
      <c r="G20" s="28" t="str">
        <f t="shared" si="3"/>
        <v xml:space="preserve"> : string = '' ; </v>
      </c>
      <c r="H20" s="35" t="str">
        <f t="shared" si="4"/>
        <v xml:space="preserve">			{headerName: this.l('Forwarder'),headerTooltip: this.l('Forwarder'),field: 'forwarder',flex: 1},</v>
      </c>
      <c r="I20" s="35" t="str">
        <f t="shared" si="10"/>
        <v xml:space="preserve">								&lt;div class='input-search'&gt;
									&lt;input [(ngModel)]='forwarder' name='forwarder'
									class='form-control' [placeholder]="l('Forwarder')"
									type='text' (keyup.enter)='searchDatas()'&gt;
								&lt;/div&gt;</v>
      </c>
      <c r="J20" s="28"/>
      <c r="K20" s="35" t="str">
        <f t="shared" si="11"/>
        <v xml:space="preserve">					&lt;div class='col-md-12 form-group row'&gt;
						&lt;label class='col-md-2 form-control title'&gt;Forwarder&lt;/label&gt;
						&lt;input type='text' class='col-md-10 form-control input-text' name='Forwarder' [(ngModel)]='rowdata.forwarder'&gt;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forwarder : string = '' ; </v>
      </c>
      <c r="T20" s="28" t="str">
        <f t="shared" si="14"/>
        <v xml:space="preserve">			this.forwarder,</v>
      </c>
      <c r="U20" s="28" t="str">
        <f t="shared" si="15"/>
        <v xml:space="preserve">		this.forwarder = '',</v>
      </c>
      <c r="V20" s="28" t="str">
        <f t="shared" si="6"/>
        <v/>
      </c>
    </row>
    <row r="21" spans="1:22" ht="18" customHeight="1" x14ac:dyDescent="0.25">
      <c r="A21" t="s">
        <v>369</v>
      </c>
      <c r="B21" s="28" t="str">
        <f t="shared" si="16"/>
        <v>TimeIn</v>
      </c>
      <c r="C21" s="28" t="str">
        <f t="shared" si="17"/>
        <v>Time In</v>
      </c>
      <c r="D21" s="28" t="str">
        <f t="shared" si="18"/>
        <v>timeIn</v>
      </c>
      <c r="E21" s="28" t="str">
        <f>A.Backend!H15</f>
        <v>int?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this.l('Time In'),headerTooltip: this.l('Time In'),field: 'timeIn',flex: 1},</v>
      </c>
      <c r="I21" s="35" t="str">
        <f t="shared" si="10"/>
        <v/>
      </c>
      <c r="J21" s="28"/>
      <c r="K21" s="35" t="str">
        <f t="shared" si="11"/>
        <v xml:space="preserve">					&lt;div class='col-md-12 form-group row'&gt;
						&lt;label class='col-md-2 form-control title'&gt;Time In&lt;/label&gt;
						&lt;input type='number' class='col-md-10 form-control input-text' name='TimeIn' [(ngModel)]='rowdata.timeIn'&gt;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timeIn</v>
      </c>
      <c r="T21" s="28" t="str">
        <f t="shared" si="14"/>
        <v xml:space="preserve">			this.timeIn,</v>
      </c>
      <c r="U21" s="28" t="str">
        <f t="shared" si="15"/>
        <v xml:space="preserve">		this.timeIn = '',</v>
      </c>
      <c r="V21" s="28" t="str">
        <f t="shared" si="6"/>
        <v/>
      </c>
    </row>
    <row r="22" spans="1:22" ht="18" customHeight="1" x14ac:dyDescent="0.25">
      <c r="A22" t="s">
        <v>370</v>
      </c>
      <c r="B22" s="28" t="str">
        <f>SUBSTITUTE(PROPER(A22),"_","")</f>
        <v>TimeOut</v>
      </c>
      <c r="C22" s="28" t="str">
        <f>SUBSTITUTE(PROPER(A22),"_"," ")</f>
        <v>Time Out</v>
      </c>
      <c r="D22" s="28" t="str">
        <f>LOWER(LEFT(B22,1))&amp;RIGHT(B22,LEN(B22) - 1)</f>
        <v>timeOut</v>
      </c>
      <c r="E22" s="28" t="str">
        <f>A.Backend!H16</f>
        <v>int?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this.l('Time Out'),headerTooltip: this.l('Time Out'),field: 'timeOut',flex: 1},</v>
      </c>
      <c r="I22" s="35" t="str">
        <f t="shared" si="10"/>
        <v/>
      </c>
      <c r="J22" s="28"/>
      <c r="K22" s="35" t="str">
        <f t="shared" si="11"/>
        <v xml:space="preserve">					&lt;div class='col-md-12 form-group row'&gt;
						&lt;label class='col-md-2 form-control title'&gt;Time Out&lt;/label&gt;
						&lt;input type='number' class='col-md-10 form-control input-text' name='TimeOut' [(ngModel)]='rowdata.timeOut'&gt;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timeOut</v>
      </c>
      <c r="T22" s="28" t="str">
        <f t="shared" si="14"/>
        <v xml:space="preserve">			this.timeOut,</v>
      </c>
      <c r="U22" s="28" t="str">
        <f t="shared" si="15"/>
        <v xml:space="preserve">		this.timeOut = '',</v>
      </c>
      <c r="V22" s="28" t="str">
        <f t="shared" si="6"/>
        <v/>
      </c>
    </row>
    <row r="23" spans="1:22" ht="15" customHeight="1" x14ac:dyDescent="0.25">
      <c r="A23" t="s">
        <v>371</v>
      </c>
      <c r="B23" s="28" t="str">
        <f t="shared" ref="B23:B26" si="20">SUBSTITUTE(PROPER(A23),"_","")</f>
        <v>CkdReqId</v>
      </c>
      <c r="C23" s="28" t="str">
        <f t="shared" ref="C23:C26" si="21">SUBSTITUTE(PROPER(A23),"_"," ")</f>
        <v>Ckd Req Id</v>
      </c>
      <c r="D23" s="28" t="str">
        <f t="shared" ref="D23:D26" si="22">LOWER(LEFT(B23,1))&amp;RIGHT(B23,LEN(B23) - 1)</f>
        <v>ckdReqId</v>
      </c>
      <c r="E23" s="28" t="str">
        <f>A.Backend!H17</f>
        <v>long?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this.l('Ckd Req Id'),headerTooltip: this.l('Ckd Req Id'),field: 'ckdReqId',flex: 1},</v>
      </c>
      <c r="I23" s="35" t="str">
        <f t="shared" si="10"/>
        <v/>
      </c>
      <c r="J23" s="28"/>
      <c r="K23" s="35" t="str">
        <f t="shared" si="11"/>
        <v xml:space="preserve">					&lt;div class='col-md-12 form-group row'&gt;
						&lt;label class='col-md-2 form-control title'&gt;Ckd Req Id&lt;/label&gt;
						&lt;input type='number' class='col-md-10 form-control input-text' name='CkdReqId' [(ngModel)]='rowdata.ckdReqId'&gt;
					&lt;/div&gt;</v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ckdReqId</v>
      </c>
      <c r="T23" s="28" t="str">
        <f t="shared" si="14"/>
        <v xml:space="preserve">			this.ckdReqId,</v>
      </c>
      <c r="U23" s="28" t="str">
        <f t="shared" si="15"/>
        <v xml:space="preserve">		this.ckdReqId = '',</v>
      </c>
      <c r="V23" s="28" t="str">
        <f t="shared" si="6"/>
        <v/>
      </c>
    </row>
    <row r="24" spans="1:22" ht="18" customHeight="1" x14ac:dyDescent="0.25">
      <c r="A24" t="s">
        <v>372</v>
      </c>
      <c r="B24" s="28" t="str">
        <f t="shared" si="20"/>
        <v>CardNo</v>
      </c>
      <c r="C24" s="28" t="str">
        <f t="shared" si="21"/>
        <v>Card No</v>
      </c>
      <c r="D24" s="28" t="str">
        <f t="shared" si="22"/>
        <v>cardNo</v>
      </c>
      <c r="E24" s="28" t="str">
        <f>A.Backend!H18</f>
        <v>string</v>
      </c>
      <c r="F24" s="28" t="str">
        <f>A.Backend!G18</f>
        <v>10</v>
      </c>
      <c r="G24" s="28" t="str">
        <f t="shared" si="3"/>
        <v xml:space="preserve"> : string = '' ; </v>
      </c>
      <c r="H24" s="35" t="str">
        <f t="shared" si="4"/>
        <v xml:space="preserve">			{headerName: this.l('Card No'),headerTooltip: this.l('Card No'),field: 'cardNo',flex: 1},</v>
      </c>
      <c r="I24" s="35" t="str">
        <f t="shared" si="10"/>
        <v xml:space="preserve">								&lt;div class='input-search'&gt;
									&lt;input [(ngModel)]='cardNo' name='cardNo'
									class='form-control' [placeholder]="l('Card No')"
									type='text' (keyup.enter)='searchDatas()'&gt;
								&lt;/div&gt;</v>
      </c>
      <c r="J24" s="28"/>
      <c r="K24" s="35" t="str">
        <f t="shared" si="11"/>
        <v xml:space="preserve">					&lt;div class='col-md-12 form-group row'&gt;
						&lt;label class='col-md-2 form-control title'&gt;Card No&lt;/label&gt;
						&lt;input type='text' class='col-md-10 form-control input-text' name='CardNo' [(ngModel)]='rowdata.cardNo'&gt;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cardNo : string = '' ; </v>
      </c>
      <c r="T24" s="28" t="str">
        <f t="shared" si="14"/>
        <v xml:space="preserve">			this.cardNo,</v>
      </c>
      <c r="U24" s="28" t="str">
        <f t="shared" si="15"/>
        <v xml:space="preserve">		this.cardNo = '',</v>
      </c>
      <c r="V24" s="28" t="str">
        <f t="shared" si="6"/>
        <v/>
      </c>
    </row>
    <row r="25" spans="1:22" ht="15" customHeight="1" x14ac:dyDescent="0.25">
      <c r="A25" t="s">
        <v>373</v>
      </c>
      <c r="B25" s="28" t="str">
        <f t="shared" si="20"/>
        <v>Mobile</v>
      </c>
      <c r="C25" s="28" t="str">
        <f t="shared" si="21"/>
        <v>Mobile</v>
      </c>
      <c r="D25" s="28" t="str">
        <f t="shared" si="22"/>
        <v>mobile</v>
      </c>
      <c r="E25" s="28" t="str">
        <f>A.Backend!H19</f>
        <v>string</v>
      </c>
      <c r="F25" s="28" t="str">
        <f>A.Backend!G19</f>
        <v>50</v>
      </c>
      <c r="G25" s="28" t="str">
        <f t="shared" si="3"/>
        <v xml:space="preserve"> : string = '' ; </v>
      </c>
      <c r="H25" s="35" t="str">
        <f t="shared" si="4"/>
        <v xml:space="preserve">			{headerName: this.l('Mobile'),headerTooltip: this.l('Mobile'),field: 'mobile',flex: 1},</v>
      </c>
      <c r="I25" s="35" t="str">
        <f t="shared" si="10"/>
        <v xml:space="preserve">								&lt;div class='input-search'&gt;
									&lt;input [(ngModel)]='mobile' name='mobile'
									class='form-control' [placeholder]="l('Mobile')"
									type='text' (keyup.enter)='searchDatas()'&gt;
								&lt;/div&gt;</v>
      </c>
      <c r="J25" s="28"/>
      <c r="K25" s="35" t="str">
        <f>IF(OR(E25="DateTime?",E25="TimeSpan?"),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IF(E25="int?",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
IF(E25="decimal?",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
IF(E25="long?",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
""))))
))</f>
        <v xml:space="preserve">					&lt;div class='col-md-12 form-group row'&gt;
						&lt;label class='col-md-2 form-control title'&gt;Mobile&lt;/label&gt;
						&lt;input type='text' class='col-md-10 form-control input-text' name='Mobile' [(ngModel)]='rowdata.mobile'&gt;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mobile : string = '' ; </v>
      </c>
      <c r="T25" s="28" t="str">
        <f t="shared" si="14"/>
        <v xml:space="preserve">			this.mobile,</v>
      </c>
      <c r="U25" s="28" t="str">
        <f t="shared" si="15"/>
        <v xml:space="preserve">		this.mobile = '',</v>
      </c>
      <c r="V25" s="28" t="str">
        <f t="shared" si="6"/>
        <v/>
      </c>
    </row>
    <row r="26" spans="1:22" ht="18" customHeight="1" x14ac:dyDescent="0.25">
      <c r="A26" t="s">
        <v>374</v>
      </c>
      <c r="B26" s="28" t="str">
        <f t="shared" si="20"/>
        <v>CallTime</v>
      </c>
      <c r="C26" s="28" t="str">
        <f t="shared" si="21"/>
        <v>Call Time</v>
      </c>
      <c r="D26" s="28" t="str">
        <f t="shared" si="22"/>
        <v>callTime</v>
      </c>
      <c r="E26" s="28" t="str">
        <f>A.Backend!H20</f>
        <v>DateTime?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this.l('Call Time'),headerTooltip: this.l('Call Time'),field: 'callTime',flex: 1},</v>
      </c>
      <c r="I26" s="35" t="str">
        <f t="shared" si="10"/>
        <v/>
      </c>
      <c r="J26" s="28"/>
      <c r="K26" s="35" t="str">
        <f t="shared" si="11"/>
        <v xml:space="preserve">					&lt;div class='col-md-12 form-group row'&gt;
						&lt;label class='col-md-2 form-control title'&gt;Call Time&lt;/label&gt;
						&lt;input type='text' class='col-md-10 form-control input-text' name='callTime' 
						#datepicker='bsDatepicker' [(ngModel)]='rowdata.callTime'  bsDatepicker 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callTime</v>
      </c>
      <c r="T26" s="28" t="str">
        <f t="shared" si="14"/>
        <v xml:space="preserve">			this.callTime,</v>
      </c>
      <c r="U26" s="28" t="str">
        <f t="shared" si="15"/>
        <v xml:space="preserve">		this.callTime = '',</v>
      </c>
      <c r="V26" s="28" t="str">
        <f t="shared" si="6"/>
        <v/>
      </c>
    </row>
    <row r="27" spans="1:22" ht="18" customHeight="1" x14ac:dyDescent="0.25">
      <c r="A27" t="s">
        <v>375</v>
      </c>
      <c r="B27" s="28" t="str">
        <f>SUBSTITUTE(PROPER(A27),"_","")</f>
        <v>CancelTime</v>
      </c>
      <c r="C27" s="28" t="str">
        <f>SUBSTITUTE(PROPER(A27),"_"," ")</f>
        <v>Cancel Time</v>
      </c>
      <c r="D27" s="28" t="str">
        <f>LOWER(LEFT(B27,1))&amp;RIGHT(B27,LEN(B27) - 1)</f>
        <v>cancelTime</v>
      </c>
      <c r="E27" s="28" t="str">
        <f>A.Backend!H21</f>
        <v>DateTime?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this.l('Cancel Time'),headerTooltip: this.l('Cancel Time'),field: 'cancelTime',flex: 1},</v>
      </c>
      <c r="I27" s="35" t="str">
        <f t="shared" si="10"/>
        <v/>
      </c>
      <c r="J27" s="28"/>
      <c r="K27" s="35" t="str">
        <f t="shared" si="11"/>
        <v xml:space="preserve">					&lt;div class='col-md-12 form-group row'&gt;
						&lt;label class='col-md-2 form-control title'&gt;Cancel Time&lt;/label&gt;
						&lt;input type='text' class='col-md-10 form-control input-text' name='cancelTime' 
						#datepicker='bsDatepicker' [(ngModel)]='rowdata.cancelTime'  bsDatepicker 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cancelTime</v>
      </c>
      <c r="T27" s="28" t="str">
        <f t="shared" si="14"/>
        <v xml:space="preserve">			this.cancelTime,</v>
      </c>
      <c r="U27" s="28" t="str">
        <f t="shared" si="15"/>
        <v xml:space="preserve">		this.cancelTime = '',</v>
      </c>
      <c r="V27" s="28" t="str">
        <f t="shared" si="6"/>
        <v/>
      </c>
    </row>
    <row r="28" spans="1:22" ht="15" customHeight="1" x14ac:dyDescent="0.25">
      <c r="A28" t="s">
        <v>376</v>
      </c>
      <c r="B28" s="28" t="str">
        <f t="shared" ref="B28:B30" si="24">SUBSTITUTE(PROPER(A28),"_","")</f>
        <v>StartTime</v>
      </c>
      <c r="C28" s="28" t="str">
        <f t="shared" ref="C28:C30" si="25">SUBSTITUTE(PROPER(A28),"_"," ")</f>
        <v>Start Time</v>
      </c>
      <c r="D28" s="28" t="str">
        <f t="shared" ref="D28:D30" si="26">LOWER(LEFT(B28,1))&amp;RIGHT(B28,LEN(B28) - 1)</f>
        <v>startTime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this.l('Start Time'),headerTooltip: this.l('Start Time'),field: 'startTime',flex: 1},</v>
      </c>
      <c r="I28" s="35" t="str">
        <f t="shared" si="10"/>
        <v/>
      </c>
      <c r="J28" s="28"/>
      <c r="K28" s="35" t="str">
        <f t="shared" si="11"/>
        <v xml:space="preserve">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</v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startTime</v>
      </c>
      <c r="T28" s="28" t="str">
        <f t="shared" si="14"/>
        <v xml:space="preserve">			this.startTime,</v>
      </c>
      <c r="U28" s="28" t="str">
        <f t="shared" si="15"/>
        <v xml:space="preserve">		this.startTime = '',</v>
      </c>
      <c r="V28" s="28" t="str">
        <f t="shared" si="6"/>
        <v/>
      </c>
    </row>
    <row r="29" spans="1:22" ht="18" customHeight="1" x14ac:dyDescent="0.25">
      <c r="A29" t="s">
        <v>378</v>
      </c>
      <c r="B29" s="28" t="str">
        <f t="shared" si="24"/>
        <v>FinishTime</v>
      </c>
      <c r="C29" s="28" t="str">
        <f t="shared" si="25"/>
        <v>Finish Time</v>
      </c>
      <c r="D29" s="28" t="str">
        <f t="shared" si="26"/>
        <v>finishTime</v>
      </c>
      <c r="E29" s="28" t="str">
        <f>A.Backend!H23</f>
        <v>DateTime?</v>
      </c>
      <c r="F29" s="28" t="str">
        <f>A.Backend!G23</f>
        <v/>
      </c>
      <c r="G29" s="28" t="str">
        <f t="shared" si="3"/>
        <v/>
      </c>
      <c r="H29" s="35" t="str">
        <f t="shared" si="4"/>
        <v xml:space="preserve">			{headerName: this.l('Finish Time'),headerTooltip: this.l('Finish Time'),field: 'finishTime',flex: 1},</v>
      </c>
      <c r="I29" s="35" t="str">
        <f t="shared" si="10"/>
        <v/>
      </c>
      <c r="J29" s="28"/>
      <c r="K29" s="35" t="str">
        <f t="shared" si="11"/>
        <v xml:space="preserve">					&lt;div class='col-md-12 form-group row'&gt;
						&lt;label class='col-md-2 form-control title'&gt;Finish Time&lt;/label&gt;
						&lt;input type='text' class='col-md-10 form-control input-text' name='finishTime' 
						#datepicker='bsDatepicker' [(ngModel)]='rowdata.finishTime'  bsDatepicker &gt;
					&lt;/div&gt;</v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finishTime</v>
      </c>
      <c r="T29" s="28" t="str">
        <f t="shared" si="14"/>
        <v xml:space="preserve">			this.finishTime,</v>
      </c>
      <c r="U29" s="28" t="str">
        <f t="shared" si="15"/>
        <v xml:space="preserve">		this.finishTime = '',</v>
      </c>
      <c r="V29" s="28" t="str">
        <f t="shared" si="6"/>
        <v/>
      </c>
    </row>
    <row r="30" spans="1:22" ht="15" customHeight="1" x14ac:dyDescent="0.25">
      <c r="A30" t="s">
        <v>379</v>
      </c>
      <c r="B30" s="28" t="str">
        <f t="shared" si="24"/>
        <v>IdNo</v>
      </c>
      <c r="C30" s="28" t="str">
        <f t="shared" si="25"/>
        <v>Id No</v>
      </c>
      <c r="D30" s="28" t="str">
        <f t="shared" si="26"/>
        <v>idNo</v>
      </c>
      <c r="E30" s="28" t="str">
        <f>A.Backend!H24</f>
        <v>string</v>
      </c>
      <c r="F30" s="28" t="str">
        <f>A.Backend!G24</f>
        <v>100</v>
      </c>
      <c r="G30" s="28" t="str">
        <f t="shared" si="3"/>
        <v xml:space="preserve"> : string = '' ; </v>
      </c>
      <c r="H30" s="35" t="str">
        <f t="shared" si="4"/>
        <v xml:space="preserve">			{headerName: this.l('Id No'),headerTooltip: this.l('Id No'),field: 'idNo',flex: 1},</v>
      </c>
      <c r="I30" s="35" t="str">
        <f t="shared" si="10"/>
        <v xml:space="preserve">								&lt;div class='input-search'&gt;
									&lt;input [(ngModel)]='idNo' name='idNo'
									class='form-control' [placeholder]="l('Id No')"
									type='text' (keyup.enter)='searchDatas()'&gt;
								&lt;/div&gt;</v>
      </c>
      <c r="J30" s="28"/>
      <c r="K30" s="35" t="str">
        <f t="shared" si="11"/>
        <v xml:space="preserve">					&lt;div class='col-md-12 form-group row'&gt;
						&lt;label class='col-md-2 form-control title'&gt;Id No&lt;/label&gt;
						&lt;input type='text' class='col-md-10 form-control input-text' name='IdNo' [(ngModel)]='rowdata.idNo'&gt;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idNo : string = '' ; </v>
      </c>
      <c r="T30" s="28" t="str">
        <f t="shared" si="14"/>
        <v xml:space="preserve">			this.idNo,</v>
      </c>
      <c r="U30" s="28" t="str">
        <f t="shared" si="15"/>
        <v xml:space="preserve">		this.idNo = '',</v>
      </c>
      <c r="V30" s="28" t="str">
        <f t="shared" si="6"/>
        <v/>
      </c>
    </row>
    <row r="31" spans="1:22" ht="15" customHeight="1" x14ac:dyDescent="0.25">
      <c r="A31" t="s">
        <v>319</v>
      </c>
      <c r="B31" s="28" t="str">
        <f t="shared" ref="B31" si="28">SUBSTITUTE(PROPER(A31),"_","")</f>
        <v>IsActive</v>
      </c>
      <c r="C31" s="28" t="str">
        <f t="shared" ref="C31" si="29">SUBSTITUTE(PROPER(A31),"_"," ")</f>
        <v>Is Active</v>
      </c>
      <c r="D31" s="28" t="str">
        <f t="shared" ref="D31" si="30">LOWER(LEFT(B31,1))&amp;RIGHT(B31,LEN(B31) - 1)</f>
        <v>isActive</v>
      </c>
      <c r="E31" s="28" t="str">
        <f>A.Backend!H25</f>
        <v>string</v>
      </c>
      <c r="F31" s="28" t="str">
        <f>A.Backend!G25</f>
        <v>1</v>
      </c>
      <c r="G31" s="28" t="str">
        <f t="shared" si="3"/>
        <v xml:space="preserve"> : string = '' ; </v>
      </c>
      <c r="H31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1" s="35" t="str">
        <f t="shared" si="1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1" s="28"/>
      <c r="K31" s="35" t="str">
        <f t="shared" si="1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isActive : string = '' ; </v>
      </c>
      <c r="T31" s="28" t="str">
        <f t="shared" si="14"/>
        <v xml:space="preserve">			this.isActive,</v>
      </c>
      <c r="U31" s="28" t="str">
        <f t="shared" si="15"/>
        <v xml:space="preserve">		this.isActive = '',</v>
      </c>
      <c r="V31" s="28" t="str">
        <f t="shared" si="6"/>
        <v>isActive</v>
      </c>
    </row>
    <row r="33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355</v>
      </c>
    </row>
    <row r="7" spans="1:2" x14ac:dyDescent="0.25">
      <c r="A7" t="s">
        <v>24</v>
      </c>
      <c r="B7" t="s">
        <v>350</v>
      </c>
    </row>
    <row r="8" spans="1:2" x14ac:dyDescent="0.25">
      <c r="A8" t="s">
        <v>4</v>
      </c>
      <c r="B8" t="s">
        <v>350</v>
      </c>
    </row>
    <row r="9" spans="1:2" x14ac:dyDescent="0.25">
      <c r="A9" t="s">
        <v>0</v>
      </c>
      <c r="B9" t="s">
        <v>351</v>
      </c>
    </row>
    <row r="10" spans="1:2" x14ac:dyDescent="0.25">
      <c r="A10" t="s">
        <v>25</v>
      </c>
      <c r="B10" t="s">
        <v>354</v>
      </c>
    </row>
    <row r="11" spans="1:2" x14ac:dyDescent="0.25">
      <c r="A11" t="s">
        <v>26</v>
      </c>
      <c r="B11" t="s">
        <v>354</v>
      </c>
    </row>
    <row r="12" spans="1:2" x14ac:dyDescent="0.25">
      <c r="A12" t="s">
        <v>27</v>
      </c>
      <c r="B12" t="s">
        <v>354</v>
      </c>
    </row>
    <row r="13" spans="1:2" x14ac:dyDescent="0.25">
      <c r="A13" t="s">
        <v>28</v>
      </c>
      <c r="B13" t="s">
        <v>354</v>
      </c>
    </row>
    <row r="14" spans="1:2" x14ac:dyDescent="0.25">
      <c r="A14" t="s">
        <v>29</v>
      </c>
      <c r="B14" t="s">
        <v>354</v>
      </c>
    </row>
    <row r="15" spans="1:2" x14ac:dyDescent="0.25">
      <c r="A15" t="s">
        <v>30</v>
      </c>
      <c r="B15" t="s">
        <v>354</v>
      </c>
    </row>
    <row r="16" spans="1:2" x14ac:dyDescent="0.25">
      <c r="A16" t="s">
        <v>31</v>
      </c>
      <c r="B16" t="s">
        <v>352</v>
      </c>
    </row>
    <row r="17" spans="1:2" x14ac:dyDescent="0.25">
      <c r="A17" t="s">
        <v>3</v>
      </c>
      <c r="B17" t="s">
        <v>352</v>
      </c>
    </row>
    <row r="18" spans="1:2" x14ac:dyDescent="0.25">
      <c r="A18" t="s">
        <v>33</v>
      </c>
      <c r="B18" t="s">
        <v>352</v>
      </c>
    </row>
    <row r="19" spans="1:2" x14ac:dyDescent="0.25">
      <c r="A19" t="s">
        <v>2</v>
      </c>
      <c r="B19" t="s">
        <v>352</v>
      </c>
    </row>
    <row r="20" spans="1:2" x14ac:dyDescent="0.25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2023-04-18T06:50:24Z</dcterms:modified>
</cp:coreProperties>
</file>
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d\docs\design\inventory\ckd\"/>
    </mc:Choice>
  </mc:AlternateContent>
  <bookViews>
    <workbookView xWindow="-120" yWindow="-120" windowWidth="19440" windowHeight="15000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0" i="5" l="1"/>
  <c r="B30" i="5"/>
  <c r="D30" i="5" s="1"/>
  <c r="T30" i="5" s="1"/>
  <c r="C29" i="5"/>
  <c r="B29" i="5"/>
  <c r="D29" i="5" s="1"/>
  <c r="T29" i="5" s="1"/>
  <c r="C28" i="5"/>
  <c r="B28" i="5"/>
  <c r="D28" i="5" s="1"/>
  <c r="T28" i="5" s="1"/>
  <c r="C27" i="5"/>
  <c r="B27" i="5"/>
  <c r="D27" i="5" s="1"/>
  <c r="T27" i="5" s="1"/>
  <c r="C26" i="5"/>
  <c r="B26" i="5"/>
  <c r="D26" i="5" s="1"/>
  <c r="T26" i="5" s="1"/>
  <c r="C25" i="5"/>
  <c r="B25" i="5"/>
  <c r="D25" i="5" s="1"/>
  <c r="T25" i="5" s="1"/>
  <c r="C24" i="5"/>
  <c r="B24" i="5"/>
  <c r="D24" i="5" s="1"/>
  <c r="T24" i="5" s="1"/>
  <c r="C23" i="5"/>
  <c r="B23" i="5"/>
  <c r="D23" i="5" s="1"/>
  <c r="T23" i="5" s="1"/>
  <c r="C22" i="5"/>
  <c r="B22" i="5"/>
  <c r="D22" i="5" s="1"/>
  <c r="T22" i="5" s="1"/>
  <c r="C21" i="5"/>
  <c r="B21" i="5"/>
  <c r="D21" i="5" s="1"/>
  <c r="T21" i="5" s="1"/>
  <c r="C20" i="5"/>
  <c r="B20" i="5"/>
  <c r="D20" i="5" s="1"/>
  <c r="T20" i="5" s="1"/>
  <c r="C19" i="5"/>
  <c r="B19" i="5"/>
  <c r="D19" i="5" s="1"/>
  <c r="T19" i="5" s="1"/>
  <c r="C18" i="5"/>
  <c r="B18" i="5"/>
  <c r="D18" i="5" s="1"/>
  <c r="T18" i="5" s="1"/>
  <c r="L40" i="1"/>
  <c r="G40" i="1"/>
  <c r="F46" i="5" s="1"/>
  <c r="E40" i="1"/>
  <c r="H40" i="1" s="1"/>
  <c r="E46" i="5" s="1"/>
  <c r="D40" i="1"/>
  <c r="V40" i="1" s="1"/>
  <c r="L39" i="1"/>
  <c r="G39" i="1"/>
  <c r="F45" i="5" s="1"/>
  <c r="E39" i="1"/>
  <c r="H39" i="1" s="1"/>
  <c r="E45" i="5" s="1"/>
  <c r="D39" i="1"/>
  <c r="P39" i="1" s="1"/>
  <c r="L38" i="1"/>
  <c r="G38" i="1"/>
  <c r="F44" i="5" s="1"/>
  <c r="E38" i="1"/>
  <c r="H38" i="1" s="1"/>
  <c r="E44" i="5" s="1"/>
  <c r="D38" i="1"/>
  <c r="T38" i="1" s="1"/>
  <c r="L37" i="1"/>
  <c r="G37" i="1"/>
  <c r="F43" i="5" s="1"/>
  <c r="E37" i="1"/>
  <c r="H37" i="1" s="1"/>
  <c r="W37" i="1" s="1"/>
  <c r="D37" i="1"/>
  <c r="L36" i="1"/>
  <c r="G36" i="1"/>
  <c r="F42" i="5" s="1"/>
  <c r="E36" i="1"/>
  <c r="H36" i="1" s="1"/>
  <c r="E42" i="5" s="1"/>
  <c r="D36" i="1"/>
  <c r="V36" i="1" s="1"/>
  <c r="L35" i="1"/>
  <c r="G35" i="1"/>
  <c r="F41" i="5" s="1"/>
  <c r="E35" i="1"/>
  <c r="H35" i="1" s="1"/>
  <c r="O35" i="1" s="1"/>
  <c r="D35" i="1"/>
  <c r="P35" i="1" s="1"/>
  <c r="L34" i="1"/>
  <c r="G34" i="1"/>
  <c r="F40" i="5" s="1"/>
  <c r="E34" i="1"/>
  <c r="H34" i="1" s="1"/>
  <c r="E40" i="5" s="1"/>
  <c r="D34" i="1"/>
  <c r="T34" i="1" s="1"/>
  <c r="L33" i="1"/>
  <c r="G33" i="1"/>
  <c r="F39" i="5" s="1"/>
  <c r="E33" i="1"/>
  <c r="H33" i="1" s="1"/>
  <c r="E39" i="5" s="1"/>
  <c r="D33" i="1"/>
  <c r="L32" i="1"/>
  <c r="G32" i="1"/>
  <c r="F38" i="5" s="1"/>
  <c r="E32" i="1"/>
  <c r="H32" i="1" s="1"/>
  <c r="E38" i="5" s="1"/>
  <c r="D32" i="1"/>
  <c r="V32" i="1" s="1"/>
  <c r="L31" i="1"/>
  <c r="G31" i="1"/>
  <c r="F37" i="5" s="1"/>
  <c r="E31" i="1"/>
  <c r="H31" i="1" s="1"/>
  <c r="E37" i="5" s="1"/>
  <c r="D31" i="1"/>
  <c r="P31" i="1" s="1"/>
  <c r="L30" i="1"/>
  <c r="G30" i="1"/>
  <c r="F36" i="5" s="1"/>
  <c r="E30" i="1"/>
  <c r="H30" i="1" s="1"/>
  <c r="E36" i="5" s="1"/>
  <c r="D30" i="1"/>
  <c r="T30" i="1" s="1"/>
  <c r="L29" i="1"/>
  <c r="G29" i="1"/>
  <c r="F35" i="5" s="1"/>
  <c r="E29" i="1"/>
  <c r="H29" i="1" s="1"/>
  <c r="W29" i="1" s="1"/>
  <c r="D29" i="1"/>
  <c r="L28" i="1"/>
  <c r="G28" i="1"/>
  <c r="F34" i="5" s="1"/>
  <c r="E28" i="1"/>
  <c r="H28" i="1" s="1"/>
  <c r="E34" i="5" s="1"/>
  <c r="D28" i="1"/>
  <c r="V28" i="1" s="1"/>
  <c r="L27" i="1"/>
  <c r="G27" i="1"/>
  <c r="F33" i="5" s="1"/>
  <c r="E27" i="1"/>
  <c r="H27" i="1" s="1"/>
  <c r="E33" i="5" s="1"/>
  <c r="D27" i="1"/>
  <c r="P27" i="1" s="1"/>
  <c r="L26" i="1"/>
  <c r="G26" i="1"/>
  <c r="F32" i="5" s="1"/>
  <c r="E26" i="1"/>
  <c r="H26" i="1" s="1"/>
  <c r="E32" i="5" s="1"/>
  <c r="D26" i="1"/>
  <c r="T26" i="1" s="1"/>
  <c r="L25" i="1"/>
  <c r="G25" i="1"/>
  <c r="F31" i="5" s="1"/>
  <c r="E25" i="1"/>
  <c r="H25" i="1" s="1"/>
  <c r="W25" i="1" s="1"/>
  <c r="D25" i="1"/>
  <c r="L24" i="1"/>
  <c r="G24" i="1"/>
  <c r="F30" i="5" s="1"/>
  <c r="E24" i="1"/>
  <c r="H24" i="1" s="1"/>
  <c r="E30" i="5" s="1"/>
  <c r="D24" i="1"/>
  <c r="V24" i="1" s="1"/>
  <c r="L51" i="1"/>
  <c r="G51" i="1"/>
  <c r="F57" i="5" s="1"/>
  <c r="E51" i="1"/>
  <c r="H51" i="1" s="1"/>
  <c r="E57" i="5" s="1"/>
  <c r="D51" i="1"/>
  <c r="P51" i="1" s="1"/>
  <c r="L50" i="1"/>
  <c r="G50" i="1"/>
  <c r="F56" i="5" s="1"/>
  <c r="E50" i="1"/>
  <c r="H50" i="1" s="1"/>
  <c r="E56" i="5" s="1"/>
  <c r="D50" i="1"/>
  <c r="V50" i="1" s="1"/>
  <c r="L49" i="1"/>
  <c r="G49" i="1"/>
  <c r="F55" i="5" s="1"/>
  <c r="E49" i="1"/>
  <c r="H49" i="1" s="1"/>
  <c r="E55" i="5" s="1"/>
  <c r="D49" i="1"/>
  <c r="V49" i="1" s="1"/>
  <c r="L48" i="1"/>
  <c r="G48" i="1"/>
  <c r="F54" i="5" s="1"/>
  <c r="E48" i="1"/>
  <c r="H48" i="1" s="1"/>
  <c r="E54" i="5" s="1"/>
  <c r="D48" i="1"/>
  <c r="T48" i="1" s="1"/>
  <c r="L47" i="1"/>
  <c r="G47" i="1"/>
  <c r="F53" i="5" s="1"/>
  <c r="E47" i="1"/>
  <c r="H47" i="1" s="1"/>
  <c r="E53" i="5" s="1"/>
  <c r="D47" i="1"/>
  <c r="V47" i="1" s="1"/>
  <c r="L46" i="1"/>
  <c r="G46" i="1"/>
  <c r="F52" i="5" s="1"/>
  <c r="E46" i="1"/>
  <c r="H46" i="1" s="1"/>
  <c r="E52" i="5" s="1"/>
  <c r="D46" i="1"/>
  <c r="V46" i="1" s="1"/>
  <c r="L45" i="1"/>
  <c r="G45" i="1"/>
  <c r="F51" i="5" s="1"/>
  <c r="E45" i="1"/>
  <c r="H45" i="1" s="1"/>
  <c r="E51" i="5" s="1"/>
  <c r="D45" i="1"/>
  <c r="V45" i="1" s="1"/>
  <c r="L44" i="1"/>
  <c r="G44" i="1"/>
  <c r="F50" i="5" s="1"/>
  <c r="E44" i="1"/>
  <c r="H44" i="1" s="1"/>
  <c r="E50" i="5" s="1"/>
  <c r="D44" i="1"/>
  <c r="T44" i="1" s="1"/>
  <c r="L43" i="1"/>
  <c r="G43" i="1"/>
  <c r="F49" i="5" s="1"/>
  <c r="E43" i="1"/>
  <c r="H43" i="1" s="1"/>
  <c r="D43" i="1"/>
  <c r="V43" i="1" s="1"/>
  <c r="L42" i="1"/>
  <c r="G42" i="1"/>
  <c r="F48" i="5" s="1"/>
  <c r="E42" i="1"/>
  <c r="H42" i="1" s="1"/>
  <c r="E48" i="5" s="1"/>
  <c r="D42" i="1"/>
  <c r="V42" i="1" s="1"/>
  <c r="L41" i="1"/>
  <c r="G41" i="1"/>
  <c r="F47" i="5" s="1"/>
  <c r="E41" i="1"/>
  <c r="H41" i="1" s="1"/>
  <c r="E47" i="5" s="1"/>
  <c r="D41" i="1"/>
  <c r="P41" i="1" s="1"/>
  <c r="V32" i="5" l="1"/>
  <c r="K32" i="5"/>
  <c r="I32" i="5"/>
  <c r="G32" i="5"/>
  <c r="K38" i="5"/>
  <c r="I38" i="5"/>
  <c r="G38" i="5"/>
  <c r="V38" i="5"/>
  <c r="G42" i="5"/>
  <c r="V42" i="5"/>
  <c r="K42" i="5"/>
  <c r="I42" i="5"/>
  <c r="K44" i="5"/>
  <c r="I44" i="5"/>
  <c r="G44" i="5"/>
  <c r="V44" i="5"/>
  <c r="K46" i="5"/>
  <c r="I46" i="5"/>
  <c r="G46" i="5"/>
  <c r="V46" i="5"/>
  <c r="G50" i="5"/>
  <c r="V50" i="5"/>
  <c r="G34" i="5"/>
  <c r="V34" i="5"/>
  <c r="K34" i="5"/>
  <c r="I34" i="5"/>
  <c r="G54" i="5"/>
  <c r="K36" i="5"/>
  <c r="I36" i="5"/>
  <c r="G36" i="5"/>
  <c r="V36" i="5"/>
  <c r="G52" i="5"/>
  <c r="V52" i="5"/>
  <c r="V40" i="5"/>
  <c r="K40" i="5"/>
  <c r="I40" i="5"/>
  <c r="G40" i="5"/>
  <c r="K47" i="5"/>
  <c r="I47" i="5"/>
  <c r="G47" i="5"/>
  <c r="V47" i="5"/>
  <c r="G51" i="5"/>
  <c r="V51" i="5"/>
  <c r="G53" i="5"/>
  <c r="V53" i="5"/>
  <c r="G55" i="5"/>
  <c r="V55" i="5"/>
  <c r="G33" i="5"/>
  <c r="V33" i="5"/>
  <c r="K33" i="5"/>
  <c r="I33" i="5"/>
  <c r="K37" i="5"/>
  <c r="I37" i="5"/>
  <c r="G37" i="5"/>
  <c r="V37" i="5"/>
  <c r="K39" i="5"/>
  <c r="I39" i="5"/>
  <c r="G39" i="5"/>
  <c r="V39" i="5"/>
  <c r="K45" i="5"/>
  <c r="I45" i="5"/>
  <c r="G45" i="5"/>
  <c r="V45" i="5"/>
  <c r="V48" i="5"/>
  <c r="K48" i="5"/>
  <c r="I48" i="5"/>
  <c r="G48" i="5"/>
  <c r="V56" i="5"/>
  <c r="G56" i="5"/>
  <c r="K30" i="5"/>
  <c r="L30" i="5"/>
  <c r="I30" i="5"/>
  <c r="H30" i="5"/>
  <c r="G30" i="5"/>
  <c r="S30" i="5" s="1"/>
  <c r="V30" i="5"/>
  <c r="U30" i="5"/>
  <c r="G57" i="5"/>
  <c r="V57" i="5"/>
  <c r="T51" i="1"/>
  <c r="E43" i="5"/>
  <c r="E35" i="5"/>
  <c r="O43" i="1"/>
  <c r="O47" i="1"/>
  <c r="E49" i="5"/>
  <c r="E41" i="5"/>
  <c r="E31" i="5"/>
  <c r="T39" i="1"/>
  <c r="P38" i="1"/>
  <c r="M33" i="1"/>
  <c r="T27" i="1"/>
  <c r="P47" i="1"/>
  <c r="P26" i="1"/>
  <c r="V31" i="1"/>
  <c r="V38" i="1"/>
  <c r="V26" i="1"/>
  <c r="O39" i="1"/>
  <c r="I39" i="1"/>
  <c r="O27" i="1"/>
  <c r="I27" i="1"/>
  <c r="O31" i="1"/>
  <c r="I31" i="1"/>
  <c r="V48" i="1"/>
  <c r="V51" i="1"/>
  <c r="I35" i="1"/>
  <c r="M37" i="1"/>
  <c r="T47" i="1"/>
  <c r="M29" i="1"/>
  <c r="P34" i="1"/>
  <c r="T35" i="1"/>
  <c r="V39" i="1"/>
  <c r="V44" i="1"/>
  <c r="M25" i="1"/>
  <c r="P30" i="1"/>
  <c r="T31" i="1"/>
  <c r="V34" i="1"/>
  <c r="V35" i="1"/>
  <c r="O51" i="1"/>
  <c r="V30" i="1"/>
  <c r="W33" i="1"/>
  <c r="P43" i="1"/>
  <c r="T43" i="1"/>
  <c r="V27" i="1"/>
  <c r="O30" i="1"/>
  <c r="N30" i="1"/>
  <c r="M30" i="1"/>
  <c r="W30" i="1"/>
  <c r="J30" i="1"/>
  <c r="I30" i="1"/>
  <c r="W28" i="1"/>
  <c r="J28" i="1"/>
  <c r="I28" i="1"/>
  <c r="O28" i="1"/>
  <c r="N28" i="1"/>
  <c r="M28" i="1"/>
  <c r="O26" i="1"/>
  <c r="N26" i="1"/>
  <c r="M26" i="1"/>
  <c r="W26" i="1"/>
  <c r="J26" i="1"/>
  <c r="I26" i="1"/>
  <c r="W40" i="1"/>
  <c r="J40" i="1"/>
  <c r="I40" i="1"/>
  <c r="O40" i="1"/>
  <c r="N40" i="1"/>
  <c r="M40" i="1"/>
  <c r="W36" i="1"/>
  <c r="J36" i="1"/>
  <c r="I36" i="1"/>
  <c r="O36" i="1"/>
  <c r="N36" i="1"/>
  <c r="M36" i="1"/>
  <c r="O34" i="1"/>
  <c r="N34" i="1"/>
  <c r="M34" i="1"/>
  <c r="W34" i="1"/>
  <c r="J34" i="1"/>
  <c r="I34" i="1"/>
  <c r="W24" i="1"/>
  <c r="J24" i="1"/>
  <c r="I24" i="1"/>
  <c r="O24" i="1"/>
  <c r="N24" i="1"/>
  <c r="M24" i="1"/>
  <c r="W32" i="1"/>
  <c r="J32" i="1"/>
  <c r="I32" i="1"/>
  <c r="O32" i="1"/>
  <c r="N32" i="1"/>
  <c r="M32" i="1"/>
  <c r="O38" i="1"/>
  <c r="N38" i="1"/>
  <c r="M38" i="1"/>
  <c r="W38" i="1"/>
  <c r="J38" i="1"/>
  <c r="I38" i="1"/>
  <c r="N33" i="1"/>
  <c r="N37" i="1"/>
  <c r="O25" i="1"/>
  <c r="J27" i="1"/>
  <c r="W27" i="1"/>
  <c r="O29" i="1"/>
  <c r="J31" i="1"/>
  <c r="W31" i="1"/>
  <c r="O33" i="1"/>
  <c r="J35" i="1"/>
  <c r="W35" i="1"/>
  <c r="O37" i="1"/>
  <c r="J39" i="1"/>
  <c r="W39" i="1"/>
  <c r="P25" i="1"/>
  <c r="P29" i="1"/>
  <c r="P33" i="1"/>
  <c r="P37" i="1"/>
  <c r="T25" i="1"/>
  <c r="M27" i="1"/>
  <c r="T29" i="1"/>
  <c r="M31" i="1"/>
  <c r="T33" i="1"/>
  <c r="M35" i="1"/>
  <c r="T37" i="1"/>
  <c r="M39" i="1"/>
  <c r="P24" i="1"/>
  <c r="I25" i="1"/>
  <c r="V25" i="1"/>
  <c r="N27" i="1"/>
  <c r="P28" i="1"/>
  <c r="I29" i="1"/>
  <c r="V29" i="1"/>
  <c r="N31" i="1"/>
  <c r="P32" i="1"/>
  <c r="I33" i="1"/>
  <c r="V33" i="1"/>
  <c r="N35" i="1"/>
  <c r="P36" i="1"/>
  <c r="I37" i="1"/>
  <c r="V37" i="1"/>
  <c r="N39" i="1"/>
  <c r="P40" i="1"/>
  <c r="T24" i="1"/>
  <c r="J25" i="1"/>
  <c r="T28" i="1"/>
  <c r="J29" i="1"/>
  <c r="T32" i="1"/>
  <c r="J33" i="1"/>
  <c r="T36" i="1"/>
  <c r="J37" i="1"/>
  <c r="T40" i="1"/>
  <c r="N25" i="1"/>
  <c r="N29" i="1"/>
  <c r="W49" i="1"/>
  <c r="J49" i="1"/>
  <c r="M49" i="1"/>
  <c r="I49" i="1"/>
  <c r="O49" i="1"/>
  <c r="N49" i="1"/>
  <c r="M46" i="1"/>
  <c r="O46" i="1"/>
  <c r="W46" i="1"/>
  <c r="J46" i="1"/>
  <c r="I46" i="1"/>
  <c r="N46" i="1"/>
  <c r="N44" i="1"/>
  <c r="I44" i="1"/>
  <c r="J44" i="1"/>
  <c r="O44" i="1"/>
  <c r="W44" i="1"/>
  <c r="M44" i="1"/>
  <c r="M42" i="1"/>
  <c r="I42" i="1"/>
  <c r="O42" i="1"/>
  <c r="N42" i="1"/>
  <c r="W42" i="1"/>
  <c r="J42" i="1"/>
  <c r="W45" i="1"/>
  <c r="J45" i="1"/>
  <c r="I45" i="1"/>
  <c r="M45" i="1"/>
  <c r="N45" i="1"/>
  <c r="O45" i="1"/>
  <c r="I48" i="1"/>
  <c r="O48" i="1"/>
  <c r="N48" i="1"/>
  <c r="W48" i="1"/>
  <c r="J48" i="1"/>
  <c r="M48" i="1"/>
  <c r="W41" i="1"/>
  <c r="J41" i="1"/>
  <c r="I41" i="1"/>
  <c r="M41" i="1"/>
  <c r="N41" i="1"/>
  <c r="O41" i="1"/>
  <c r="M50" i="1"/>
  <c r="N50" i="1"/>
  <c r="W50" i="1"/>
  <c r="J50" i="1"/>
  <c r="O50" i="1"/>
  <c r="I50" i="1"/>
  <c r="P42" i="1"/>
  <c r="I51" i="1"/>
  <c r="T42" i="1"/>
  <c r="J43" i="1"/>
  <c r="W43" i="1"/>
  <c r="T46" i="1"/>
  <c r="J47" i="1"/>
  <c r="W47" i="1"/>
  <c r="T50" i="1"/>
  <c r="J51" i="1"/>
  <c r="W51" i="1"/>
  <c r="P50" i="1"/>
  <c r="P46" i="1"/>
  <c r="I47" i="1"/>
  <c r="P45" i="1"/>
  <c r="P49" i="1"/>
  <c r="T41" i="1"/>
  <c r="M43" i="1"/>
  <c r="T45" i="1"/>
  <c r="M47" i="1"/>
  <c r="T49" i="1"/>
  <c r="M51" i="1"/>
  <c r="V41" i="1"/>
  <c r="P48" i="1"/>
  <c r="N51" i="1"/>
  <c r="I43" i="1"/>
  <c r="N43" i="1"/>
  <c r="P44" i="1"/>
  <c r="N47" i="1"/>
  <c r="B7" i="5"/>
  <c r="B6" i="5"/>
  <c r="B2" i="5"/>
  <c r="G49" i="5" l="1"/>
  <c r="I35" i="5"/>
  <c r="G35" i="5"/>
  <c r="V35" i="5"/>
  <c r="K35" i="5"/>
  <c r="I43" i="5"/>
  <c r="G43" i="5"/>
  <c r="V43" i="5"/>
  <c r="K43" i="5"/>
  <c r="K31" i="5"/>
  <c r="I31" i="5"/>
  <c r="G31" i="5"/>
  <c r="V31" i="5"/>
  <c r="G41" i="5"/>
  <c r="V41" i="5"/>
  <c r="K41" i="5"/>
  <c r="I41" i="5"/>
  <c r="B8" i="5"/>
  <c r="B3" i="5"/>
  <c r="C57" i="5"/>
  <c r="B57" i="5"/>
  <c r="D57" i="5" s="1"/>
  <c r="S57" i="5" s="1"/>
  <c r="C56" i="5"/>
  <c r="B56" i="5"/>
  <c r="D56" i="5" s="1"/>
  <c r="C55" i="5"/>
  <c r="B55" i="5"/>
  <c r="D55" i="5" s="1"/>
  <c r="C54" i="5"/>
  <c r="B54" i="5"/>
  <c r="D54" i="5" s="1"/>
  <c r="S54" i="5" s="1"/>
  <c r="C53" i="5"/>
  <c r="B53" i="5"/>
  <c r="D53" i="5" s="1"/>
  <c r="C52" i="5"/>
  <c r="B52" i="5"/>
  <c r="D52" i="5" s="1"/>
  <c r="S52" i="5" s="1"/>
  <c r="C51" i="5"/>
  <c r="B51" i="5"/>
  <c r="D51" i="5" s="1"/>
  <c r="C50" i="5"/>
  <c r="B50" i="5"/>
  <c r="D50" i="5" s="1"/>
  <c r="S50" i="5" s="1"/>
  <c r="C49" i="5"/>
  <c r="B49" i="5"/>
  <c r="D49" i="5" s="1"/>
  <c r="T49" i="5" s="1"/>
  <c r="C48" i="5"/>
  <c r="B48" i="5"/>
  <c r="D48" i="5" s="1"/>
  <c r="C47" i="5"/>
  <c r="B47" i="5"/>
  <c r="D47" i="5" s="1"/>
  <c r="C46" i="5"/>
  <c r="B46" i="5"/>
  <c r="D46" i="5" s="1"/>
  <c r="C45" i="5"/>
  <c r="H45" i="5" s="1"/>
  <c r="B45" i="5"/>
  <c r="D45" i="5" s="1"/>
  <c r="C44" i="5"/>
  <c r="B44" i="5"/>
  <c r="D44" i="5" s="1"/>
  <c r="C43" i="5"/>
  <c r="H43" i="5" s="1"/>
  <c r="B43" i="5"/>
  <c r="D43" i="5" s="1"/>
  <c r="T43" i="5" s="1"/>
  <c r="C42" i="5"/>
  <c r="B42" i="5"/>
  <c r="D42" i="5" s="1"/>
  <c r="C41" i="5"/>
  <c r="H41" i="5" s="1"/>
  <c r="B41" i="5"/>
  <c r="D41" i="5" s="1"/>
  <c r="T41" i="5" s="1"/>
  <c r="C40" i="5"/>
  <c r="B40" i="5"/>
  <c r="D40" i="5" s="1"/>
  <c r="S40" i="5" s="1"/>
  <c r="C39" i="5"/>
  <c r="H39" i="5" s="1"/>
  <c r="B39" i="5"/>
  <c r="D39" i="5" s="1"/>
  <c r="S39" i="5" s="1"/>
  <c r="C38" i="5"/>
  <c r="B38" i="5"/>
  <c r="D38" i="5" s="1"/>
  <c r="S38" i="5" s="1"/>
  <c r="C37" i="5"/>
  <c r="H37" i="5" s="1"/>
  <c r="B37" i="5"/>
  <c r="D37" i="5" s="1"/>
  <c r="S37" i="5" s="1"/>
  <c r="C36" i="5"/>
  <c r="B36" i="5"/>
  <c r="D36" i="5" s="1"/>
  <c r="S36" i="5" s="1"/>
  <c r="C35" i="5"/>
  <c r="H35" i="5" s="1"/>
  <c r="B35" i="5"/>
  <c r="D35" i="5" s="1"/>
  <c r="T35" i="5" s="1"/>
  <c r="C34" i="5"/>
  <c r="B34" i="5"/>
  <c r="D34" i="5" s="1"/>
  <c r="S34" i="5" s="1"/>
  <c r="C33" i="5"/>
  <c r="H33" i="5" s="1"/>
  <c r="B33" i="5"/>
  <c r="D33" i="5" s="1"/>
  <c r="L43" i="5"/>
  <c r="L23" i="1"/>
  <c r="G23" i="1"/>
  <c r="F29" i="5" s="1"/>
  <c r="E23" i="1"/>
  <c r="H23" i="1" s="1"/>
  <c r="E29" i="5" s="1"/>
  <c r="D23" i="1"/>
  <c r="V23" i="1" s="1"/>
  <c r="G22" i="1"/>
  <c r="F28" i="5" s="1"/>
  <c r="E22" i="1"/>
  <c r="H22" i="1" s="1"/>
  <c r="E28" i="5" s="1"/>
  <c r="D22" i="1"/>
  <c r="T22" i="1" s="1"/>
  <c r="L21" i="1"/>
  <c r="G21" i="1"/>
  <c r="F27" i="5" s="1"/>
  <c r="E21" i="1"/>
  <c r="H21" i="1" s="1"/>
  <c r="E27" i="5" s="1"/>
  <c r="D21" i="1"/>
  <c r="V21" i="1" s="1"/>
  <c r="L20" i="1"/>
  <c r="G20" i="1"/>
  <c r="F26" i="5" s="1"/>
  <c r="E20" i="1"/>
  <c r="H20" i="1" s="1"/>
  <c r="D20" i="1"/>
  <c r="T20" i="1" s="1"/>
  <c r="L19" i="1"/>
  <c r="G19" i="1"/>
  <c r="F25" i="5" s="1"/>
  <c r="E19" i="1"/>
  <c r="H19" i="1" s="1"/>
  <c r="E25" i="5" s="1"/>
  <c r="D19" i="1"/>
  <c r="V19" i="1" s="1"/>
  <c r="G18" i="1"/>
  <c r="F24" i="5" s="1"/>
  <c r="E18" i="1"/>
  <c r="H18" i="1" s="1"/>
  <c r="E24" i="5" s="1"/>
  <c r="D18" i="1"/>
  <c r="T18" i="1" s="1"/>
  <c r="L17" i="1"/>
  <c r="G17" i="1"/>
  <c r="F23" i="5" s="1"/>
  <c r="E17" i="1"/>
  <c r="H17" i="1" s="1"/>
  <c r="E23" i="5" s="1"/>
  <c r="D17" i="1"/>
  <c r="V17" i="1" s="1"/>
  <c r="L16" i="1"/>
  <c r="G16" i="1"/>
  <c r="F22" i="5" s="1"/>
  <c r="E16" i="1"/>
  <c r="H16" i="1" s="1"/>
  <c r="E22" i="5" s="1"/>
  <c r="D16" i="1"/>
  <c r="T16" i="1" s="1"/>
  <c r="L15" i="1"/>
  <c r="G15" i="1"/>
  <c r="F21" i="5" s="1"/>
  <c r="E15" i="1"/>
  <c r="H15" i="1" s="1"/>
  <c r="E21" i="5" s="1"/>
  <c r="D15" i="1"/>
  <c r="V15" i="1" s="1"/>
  <c r="G14" i="1"/>
  <c r="F20" i="5" s="1"/>
  <c r="E14" i="1"/>
  <c r="H14" i="1" s="1"/>
  <c r="E20" i="5" s="1"/>
  <c r="D14" i="1"/>
  <c r="T14" i="1" s="1"/>
  <c r="U41" i="5" l="1"/>
  <c r="U43" i="5"/>
  <c r="V49" i="5"/>
  <c r="H47" i="5"/>
  <c r="S49" i="5"/>
  <c r="K49" i="5"/>
  <c r="H34" i="5"/>
  <c r="H38" i="5"/>
  <c r="H42" i="5"/>
  <c r="H46" i="5"/>
  <c r="T51" i="5"/>
  <c r="U51" i="5"/>
  <c r="I51" i="5"/>
  <c r="T44" i="5"/>
  <c r="U44" i="5"/>
  <c r="S35" i="5"/>
  <c r="H36" i="5"/>
  <c r="T56" i="5"/>
  <c r="U56" i="5"/>
  <c r="I56" i="5"/>
  <c r="S56" i="5"/>
  <c r="T33" i="5"/>
  <c r="U33" i="5"/>
  <c r="T37" i="5"/>
  <c r="U37" i="5"/>
  <c r="T45" i="5"/>
  <c r="U45" i="5"/>
  <c r="H48" i="5"/>
  <c r="H52" i="5"/>
  <c r="K52" i="5"/>
  <c r="K56" i="5"/>
  <c r="H56" i="5"/>
  <c r="S41" i="5"/>
  <c r="S43" i="5"/>
  <c r="T55" i="5"/>
  <c r="U55" i="5"/>
  <c r="I55" i="5"/>
  <c r="T40" i="5"/>
  <c r="U40" i="5"/>
  <c r="H55" i="5"/>
  <c r="K55" i="5"/>
  <c r="T48" i="5"/>
  <c r="U48" i="5"/>
  <c r="T53" i="5"/>
  <c r="I53" i="5"/>
  <c r="U53" i="5"/>
  <c r="T57" i="5"/>
  <c r="I57" i="5"/>
  <c r="U57" i="5"/>
  <c r="H49" i="5"/>
  <c r="S53" i="5"/>
  <c r="T47" i="5"/>
  <c r="U47" i="5"/>
  <c r="S51" i="5"/>
  <c r="H44" i="5"/>
  <c r="T34" i="5"/>
  <c r="U34" i="5"/>
  <c r="T38" i="5"/>
  <c r="U38" i="5"/>
  <c r="T42" i="5"/>
  <c r="U42" i="5"/>
  <c r="T46" i="5"/>
  <c r="U46" i="5"/>
  <c r="H53" i="5"/>
  <c r="K53" i="5"/>
  <c r="K57" i="5"/>
  <c r="H57" i="5"/>
  <c r="I49" i="5"/>
  <c r="S45" i="5"/>
  <c r="S55" i="5"/>
  <c r="T36" i="5"/>
  <c r="U36" i="5"/>
  <c r="H51" i="5"/>
  <c r="K51" i="5"/>
  <c r="H40" i="5"/>
  <c r="T52" i="5"/>
  <c r="I52" i="5"/>
  <c r="U52" i="5"/>
  <c r="S44" i="5"/>
  <c r="T50" i="5"/>
  <c r="U50" i="5"/>
  <c r="I50" i="5"/>
  <c r="T54" i="5"/>
  <c r="U54" i="5"/>
  <c r="V54" i="5"/>
  <c r="I54" i="5"/>
  <c r="S48" i="5"/>
  <c r="S47" i="5"/>
  <c r="T39" i="5"/>
  <c r="U39" i="5"/>
  <c r="K50" i="5"/>
  <c r="H50" i="5"/>
  <c r="K54" i="5"/>
  <c r="H54" i="5"/>
  <c r="U35" i="5"/>
  <c r="U49" i="5"/>
  <c r="S33" i="5"/>
  <c r="S46" i="5"/>
  <c r="S42" i="5"/>
  <c r="K22" i="5"/>
  <c r="I22" i="5"/>
  <c r="H22" i="5"/>
  <c r="G22" i="5"/>
  <c r="S22" i="5" s="1"/>
  <c r="L22" i="5"/>
  <c r="V22" i="5"/>
  <c r="U22" i="5"/>
  <c r="K20" i="5"/>
  <c r="I20" i="5"/>
  <c r="H20" i="5"/>
  <c r="G20" i="5"/>
  <c r="S20" i="5" s="1"/>
  <c r="L20" i="5"/>
  <c r="V20" i="5"/>
  <c r="U20" i="5"/>
  <c r="G25" i="5"/>
  <c r="S25" i="5" s="1"/>
  <c r="V25" i="5"/>
  <c r="U25" i="5"/>
  <c r="K25" i="5"/>
  <c r="I25" i="5"/>
  <c r="L25" i="5"/>
  <c r="H25" i="5"/>
  <c r="I27" i="5"/>
  <c r="H27" i="5"/>
  <c r="G27" i="5"/>
  <c r="S27" i="5" s="1"/>
  <c r="V27" i="5"/>
  <c r="U27" i="5"/>
  <c r="K27" i="5"/>
  <c r="L27" i="5"/>
  <c r="K29" i="5"/>
  <c r="I29" i="5"/>
  <c r="H29" i="5"/>
  <c r="G29" i="5"/>
  <c r="S29" i="5" s="1"/>
  <c r="V29" i="5"/>
  <c r="L29" i="5"/>
  <c r="U29" i="5"/>
  <c r="U23" i="5"/>
  <c r="K23" i="5"/>
  <c r="I23" i="5"/>
  <c r="H23" i="5"/>
  <c r="G23" i="5"/>
  <c r="S23" i="5" s="1"/>
  <c r="V23" i="5"/>
  <c r="L23" i="5"/>
  <c r="L24" i="5"/>
  <c r="V24" i="5"/>
  <c r="U24" i="5"/>
  <c r="K24" i="5"/>
  <c r="I24" i="5"/>
  <c r="H24" i="5"/>
  <c r="G24" i="5"/>
  <c r="S24" i="5" s="1"/>
  <c r="L21" i="5"/>
  <c r="K21" i="5"/>
  <c r="I21" i="5"/>
  <c r="H21" i="5"/>
  <c r="G21" i="5"/>
  <c r="S21" i="5" s="1"/>
  <c r="V21" i="5"/>
  <c r="U21" i="5"/>
  <c r="I20" i="1"/>
  <c r="E26" i="5"/>
  <c r="K28" i="5"/>
  <c r="I28" i="5"/>
  <c r="H28" i="5"/>
  <c r="G28" i="5"/>
  <c r="S28" i="5" s="1"/>
  <c r="V28" i="5"/>
  <c r="U28" i="5"/>
  <c r="L28" i="5"/>
  <c r="L56" i="5"/>
  <c r="L48" i="5"/>
  <c r="L35" i="5"/>
  <c r="L50" i="5"/>
  <c r="L52" i="5"/>
  <c r="L54" i="5"/>
  <c r="L53" i="5"/>
  <c r="L37" i="5"/>
  <c r="L41" i="5"/>
  <c r="L33" i="5"/>
  <c r="L38" i="5"/>
  <c r="L40" i="5"/>
  <c r="L42" i="5"/>
  <c r="L44" i="5"/>
  <c r="L46" i="5"/>
  <c r="L34" i="5"/>
  <c r="L36" i="5"/>
  <c r="M18" i="1"/>
  <c r="I18" i="1"/>
  <c r="M22" i="1"/>
  <c r="I22" i="1"/>
  <c r="P15" i="1"/>
  <c r="P21" i="1"/>
  <c r="P23" i="1"/>
  <c r="W15" i="1"/>
  <c r="P19" i="1"/>
  <c r="M20" i="1"/>
  <c r="W19" i="1"/>
  <c r="O19" i="1"/>
  <c r="J19" i="1"/>
  <c r="N19" i="1"/>
  <c r="I19" i="1"/>
  <c r="M19" i="1"/>
  <c r="W23" i="1"/>
  <c r="O23" i="1"/>
  <c r="J23" i="1"/>
  <c r="N23" i="1"/>
  <c r="I23" i="1"/>
  <c r="M23" i="1"/>
  <c r="W21" i="1"/>
  <c r="O21" i="1"/>
  <c r="J21" i="1"/>
  <c r="N21" i="1"/>
  <c r="I21" i="1"/>
  <c r="M21" i="1"/>
  <c r="N18" i="1"/>
  <c r="V18" i="1"/>
  <c r="N20" i="1"/>
  <c r="V20" i="1"/>
  <c r="N22" i="1"/>
  <c r="V22" i="1"/>
  <c r="J18" i="1"/>
  <c r="O18" i="1"/>
  <c r="W18" i="1"/>
  <c r="T19" i="1"/>
  <c r="J20" i="1"/>
  <c r="O20" i="1"/>
  <c r="W20" i="1"/>
  <c r="T21" i="1"/>
  <c r="J22" i="1"/>
  <c r="O22" i="1"/>
  <c r="W22" i="1"/>
  <c r="T23" i="1"/>
  <c r="P18" i="1"/>
  <c r="P20" i="1"/>
  <c r="P22" i="1"/>
  <c r="P17" i="1"/>
  <c r="W17" i="1"/>
  <c r="O17" i="1"/>
  <c r="J17" i="1"/>
  <c r="N17" i="1"/>
  <c r="I17" i="1"/>
  <c r="M17" i="1"/>
  <c r="M16" i="1"/>
  <c r="N16" i="1"/>
  <c r="I16" i="1"/>
  <c r="W16" i="1"/>
  <c r="O16" i="1"/>
  <c r="J16" i="1"/>
  <c r="M14" i="1"/>
  <c r="N14" i="1"/>
  <c r="I14" i="1"/>
  <c r="W14" i="1"/>
  <c r="O14" i="1"/>
  <c r="J14" i="1"/>
  <c r="M15" i="1"/>
  <c r="T15" i="1"/>
  <c r="T17" i="1"/>
  <c r="V14" i="1"/>
  <c r="V16" i="1"/>
  <c r="I15" i="1"/>
  <c r="N15" i="1"/>
  <c r="P16" i="1"/>
  <c r="P14" i="1"/>
  <c r="J15" i="1"/>
  <c r="O15" i="1"/>
  <c r="C31" i="5"/>
  <c r="H31" i="5" s="1"/>
  <c r="B31" i="5"/>
  <c r="D31" i="5" s="1"/>
  <c r="C17" i="5"/>
  <c r="B17" i="5"/>
  <c r="D17" i="5" s="1"/>
  <c r="T17" i="5" s="1"/>
  <c r="C16" i="5"/>
  <c r="B16" i="5"/>
  <c r="D16" i="5" s="1"/>
  <c r="T16" i="5" s="1"/>
  <c r="T31" i="5" l="1"/>
  <c r="U31" i="5"/>
  <c r="S31" i="5"/>
  <c r="L26" i="5"/>
  <c r="H26" i="5"/>
  <c r="G26" i="5"/>
  <c r="S26" i="5" s="1"/>
  <c r="V26" i="5"/>
  <c r="U26" i="5"/>
  <c r="K26" i="5"/>
  <c r="I26" i="5"/>
  <c r="L57" i="5"/>
  <c r="L51" i="5"/>
  <c r="L39" i="5"/>
  <c r="L47" i="5"/>
  <c r="L45" i="5"/>
  <c r="L49" i="5"/>
  <c r="L55" i="5"/>
  <c r="B6" i="1"/>
  <c r="G13" i="1"/>
  <c r="F19" i="5" s="1"/>
  <c r="E13" i="1"/>
  <c r="H13" i="1" s="1"/>
  <c r="E19" i="5" s="1"/>
  <c r="D13" i="1"/>
  <c r="V13" i="1" s="1"/>
  <c r="I19" i="5" l="1"/>
  <c r="H19" i="5"/>
  <c r="G19" i="5"/>
  <c r="S19" i="5" s="1"/>
  <c r="V19" i="5"/>
  <c r="U19" i="5"/>
  <c r="K19" i="5"/>
  <c r="L19" i="5"/>
  <c r="W13" i="1"/>
  <c r="N13" i="1"/>
  <c r="I13" i="1"/>
  <c r="M13" i="1"/>
  <c r="O13" i="1"/>
  <c r="J13" i="1"/>
  <c r="L13" i="1"/>
  <c r="P13" i="1"/>
  <c r="T13" i="1"/>
  <c r="C32" i="5"/>
  <c r="B32" i="5"/>
  <c r="D32" i="5" s="1"/>
  <c r="C15" i="5"/>
  <c r="B15" i="5"/>
  <c r="D15" i="5" s="1"/>
  <c r="T15" i="5" s="1"/>
  <c r="L12" i="1"/>
  <c r="G12" i="1"/>
  <c r="F18" i="5" s="1"/>
  <c r="E12" i="1"/>
  <c r="H12" i="1" s="1"/>
  <c r="E18" i="5" s="1"/>
  <c r="D12" i="1"/>
  <c r="V12" i="1" s="1"/>
  <c r="G11" i="1"/>
  <c r="F17" i="5" s="1"/>
  <c r="E11" i="1"/>
  <c r="H11" i="1" s="1"/>
  <c r="E17" i="5" s="1"/>
  <c r="D11" i="1"/>
  <c r="T11" i="1" s="1"/>
  <c r="H32" i="5" l="1"/>
  <c r="T32" i="5"/>
  <c r="U32" i="5"/>
  <c r="S32" i="5"/>
  <c r="H18" i="5"/>
  <c r="G18" i="5"/>
  <c r="S18" i="5" s="1"/>
  <c r="V18" i="5"/>
  <c r="U18" i="5"/>
  <c r="K18" i="5"/>
  <c r="I18" i="5"/>
  <c r="L18" i="5"/>
  <c r="G17" i="5"/>
  <c r="S17" i="5" s="1"/>
  <c r="V17" i="5"/>
  <c r="U17" i="5"/>
  <c r="K17" i="5"/>
  <c r="I17" i="5"/>
  <c r="H17" i="5"/>
  <c r="L31" i="5"/>
  <c r="L17" i="5"/>
  <c r="M11" i="1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G9" i="1" l="1"/>
  <c r="F15" i="5" s="1"/>
  <c r="E9" i="1"/>
  <c r="H9" i="1" s="1"/>
  <c r="E15" i="5" s="1"/>
  <c r="D9" i="1"/>
  <c r="V9" i="1" s="1"/>
  <c r="U15" i="5" l="1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F16" i="5" s="1"/>
  <c r="E10" i="1"/>
  <c r="H10" i="1" s="1"/>
  <c r="E16" i="5" s="1"/>
  <c r="D10" i="1"/>
  <c r="T10" i="1" s="1"/>
  <c r="V16" i="5" l="1"/>
  <c r="U16" i="5"/>
  <c r="K16" i="5"/>
  <c r="I16" i="5"/>
  <c r="H16" i="5"/>
  <c r="G16" i="5"/>
  <c r="S16" i="5" s="1"/>
  <c r="L16" i="5"/>
  <c r="L32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53" i="1"/>
  <c r="K12" i="5" l="1"/>
  <c r="H12" i="5"/>
  <c r="V12" i="5"/>
  <c r="T12" i="5"/>
  <c r="U12" i="5"/>
  <c r="I12" i="5"/>
  <c r="L12" i="5"/>
  <c r="S12" i="5"/>
  <c r="R3" i="1" l="1"/>
  <c r="D1" i="1"/>
  <c r="F6" i="1"/>
  <c r="T53" i="1"/>
  <c r="T13" i="5"/>
  <c r="T7" i="1" l="1"/>
  <c r="W53" i="1"/>
  <c r="G6" i="1" l="1"/>
  <c r="H13" i="5"/>
  <c r="S13" i="5"/>
  <c r="L13" i="5"/>
  <c r="U13" i="5"/>
  <c r="V13" i="5"/>
  <c r="I13" i="5"/>
  <c r="K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8" i="1" l="1"/>
  <c r="L22" i="1"/>
  <c r="L14" i="1"/>
  <c r="L9" i="1"/>
  <c r="L10" i="1"/>
  <c r="C7" i="1"/>
  <c r="O53" i="1"/>
  <c r="N53" i="1"/>
  <c r="I53" i="1"/>
  <c r="P53" i="1"/>
  <c r="J53" i="1"/>
  <c r="Q7" i="1" l="1"/>
  <c r="M68" i="3" s="1"/>
  <c r="L7" i="1"/>
  <c r="G68" i="3" s="1"/>
  <c r="K68" i="3"/>
  <c r="J68" i="3"/>
  <c r="K53" i="1"/>
  <c r="M53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<sst xmlns="http://schemas.openxmlformats.org/spreadsheetml/2006/main" count="603" uniqueCount="411">
  <si>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</si>
  <si>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</si>
  <si>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</si>
  <si>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</si>
  <si>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</si>
  <si>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</si>
  <si>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</si>
  <si>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</si>
  <si>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</si>
  <si>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</si>
  <si>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</si>
  <si>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</si>
  <si>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</si>
  <si>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</si>
  <si>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</si>
  <si>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</si>
  <si>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</si>
  <si>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</si>
  <si>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</si>
  <si>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</si>
  <si>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</si>
  <si>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</si>
  <si>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</si>
  <si>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</si>
  <si>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</si>
  <si>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</si>
  <si>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</si>
  <si>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</si>
  <si>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</si>
  <si>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</si>
  <si>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</si>
  <si>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</si>
  <si>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</si>
  <si>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</si>
  <si>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</si>
  <si>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</si>
  <si>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</si>
  <si>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</si>
  <si>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</si>
  <si>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</si>
  <si>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</si>
  <si>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</si>
  <si>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</si>
  <si>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</si>
  <si>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</si>
  <si>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</si>
  <si>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</si>
  <si>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</si>
  <si>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</si>
  <si>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</si>
  <si>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</si>
  <si>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</si>
  <si>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</si>
  <si>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</si>
  <si>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</si>
  <si>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</si>
  <si>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</si>
  <si>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</si>
  <si>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</si>
  <si>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</si>
  <si>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</si>
  <si>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</si>
  <si>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</si>
  <si>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</si>
  <si>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</si>
  <si>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</si>
  <si>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</si>
  <si>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</si>
  <si>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</si>
  <si>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</si>
  <si>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</si>
  <si>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</si>
  <si>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</si>
  <si>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</si>
  <si>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</si>
  <si>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</si>
  <si>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</si>
  <si>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</si>
  <si>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</si>
  <si>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</si>
  <si>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</si>
  <si>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</si>
  <si>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</si>
  <si>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</si>
  <si>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</si>
  <si>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</si>
  <si>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</si>
  <si>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</si>
  <si>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</si>
  <si>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</si>
  <si>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</si>
  <si>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</si>
  <si>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</si>
  <si>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</si>
  <si>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</si>
  <si>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</si>
  <si>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</si>
  <si>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</si>
  <si>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</si>
  <si>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</si>
  <si>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</si>
  <si>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</si>
  <si>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</si>
  <si>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</si>
  <si>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</si>
  <si>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</si>
  <si>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</si>
  <si>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</si>
  <si>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</si>
  <si>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</si>
  <si>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</si>
  <si>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</si>
  <si>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</si>
  <si>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</si>
  <si>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</si>
  <si>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</si>
  <si>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</si>
  <si>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</si>
  <si>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</si>
  <si>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</si>
  <si>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</si>
  <si>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</si>
  <si>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</si>
  <si>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</si>
  <si>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</si>
  <si>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</si>
  <si>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</si>
  <si>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</si>
  <si>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</si>
  <si>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</si>
  <si>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</si>
  <si>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</si>
  <si>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</si>
  <si>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</si>
  <si>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</si>
  <si>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</si>
  <si>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</si>
  <si>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</si>
  <si>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</si>
  <si>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</si>
  <si>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</si>
  <si>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</si>
  <si>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</si>
  <si>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</si>
  <si>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</si>
  <si>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</si>
  <si>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</si>
  <si>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</si>
  <si>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</si>
  <si>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</si>
  <si>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</si>
  <si>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</si>
  <si>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</si>
  <si>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</si>
  <si>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</si>
  <si>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</si>
  <si>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</si>
  <si>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</si>
  <si>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</si>
  <si>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</si>
  <si>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</si>
  <si>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</si>
  <si>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</si>
  <si>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</si>
  <si>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</si>
  <si>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</si>
  <si>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</si>
  <si>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</si>
  <si>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</si>
  <si>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</si>
  <si>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</si>
  <si>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</si>
  <si>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</si>
  <si>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</si>
  <si>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</si>
  <si>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</si>
  <si>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</si>
  <si>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</si>
  <si>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</si>
  <si>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</si>
  <si>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</si>
  <si>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</si>
  <si>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</si>
  <si>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</si>
  <si>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</si>
  <si>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</si>
  <si>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</si>
  <si>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</si>
  <si>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</si>
  <si>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</si>
  <si>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</si>
  <si>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</si>
  <si>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</si>
  <si>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</si>
  <si>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</si>
  <si>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</si>
  <si>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</si>
  <si>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</si>
  <si>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</si>
  <si>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</si>
  <si>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</si>
  <si>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</si>
  <si>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</si>
  <si>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</si>
  <si>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</si>
  <si>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</si>
  <si>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</si>
  <si>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</si>
  <si>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</si>
  <si>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</si>
  <si>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</si>
  <si>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</si>
  <si>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</si>
  <si>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</si>
  <si>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</si>
  <si>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</si>
  <si>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</si>
  <si>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</si>
  <si>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</si>
  <si>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</si>
  <si>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</si>
  <si>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</si>
  <si>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</si>
  <si>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</si>
  <si>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</si>
  <si>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</si>
  <si>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</si>
  <si>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</si>
  <si>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</si>
  <si>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</si>
  <si>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</si>
  <si>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</si>
  <si>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</si>
  <si>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</si>
  <si>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</si>
  <si>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</si>
  <si>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</si>
  <si>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</si>
  <si>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</si>
  <si>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</si>
  <si>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</si>
  <si>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</si>
  <si>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</si>
  <si>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</si>
  <si>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</si>
  <si>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</si>
  <si>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</si>
  <si>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</si>
  <si>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</si>
  <si>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</si>
  <si>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</si>
  <si>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</si>
  <si>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</si>
  <si>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</si>
  <si>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</si>
  <si>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</si>
  <si>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</si>
  <si>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</si>
  <si>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</si>
  <si>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</si>
  <si>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</si>
  <si>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</si>
  <si>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</si>
  <si>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</si>
  <si>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</si>
  <si>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</si>
  <si>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</si>
  <si>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</si>
  <si>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</si>
  <si>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</si>
  <si>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</si>
  <si>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</si>
  <si>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</si>
  <si>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</si>
  <si>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</si>
  <si>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</si>
  <si>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</si>
  <si>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</si>
  <si>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</si>
  <si>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</si>
  <si>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</si>
  <si>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</si>
  <si>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</si>
  <si>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</si>
  <si>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</si>
  <si>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</si>
  <si>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</si>
  <si>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</si>
  <si>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</si>
  <si>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</si>
  <si>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</si>
  <si>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</si>
  <si>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</si>
  <si>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</si>
  <si>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</si>
  <si>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</si>
  <si>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</si>
  <si>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</si>
  <si>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</si>
  <si>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</si>
  <si>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</si>
  <si>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</si>
  <si>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</si>
  <si>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</si>
  <si>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</si>
  <si>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</si>
  <si>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</si>
  <si>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</si>
  <si>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</si>
  <si>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</si>
  <si>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</si>
  <si>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</si>
  <si>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</si>
  <si>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</si>
  <si>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</si>
  <si>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</si>
  <si>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</si>
  <si>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</si>
  <si>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</si>
  <si>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</si>
  <si>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</si>
  <si>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</si>
  <si>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</si>
  <si>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</si>
  <si>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</si>
  <si>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</si>
  <si>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</si>
  <si>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</si>
  <si>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</si>
  <si>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</si>
  <si>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</si>
  <si>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</si>
  <si>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</si>
  <si>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</si>
  <si>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</si>
  <si>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</si>
  <si>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</si>
  <si>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</si>
  <si>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</si>
  <si>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</si>
  <si>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</si>
  <si>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</si>
  <si>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</si>
  <si>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</si>
  <si>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</si>
  <si>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</si>
  <si>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</si>
  <si>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</si>
  <si>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Inventory.CKD</t>
  </si>
  <si>
    <t>int?</t>
  </si>
  <si>
    <t>long?</t>
  </si>
  <si>
    <t>DateTime?</t>
  </si>
  <si>
    <t>TimeSpan?</t>
  </si>
  <si>
    <t>decimal?</t>
  </si>
  <si>
    <t>byte?</t>
  </si>
  <si>
    <t>InvCkdInvoiceDetails</t>
  </si>
  <si>
    <t>InvoiceDetails</t>
  </si>
  <si>
    <t>Invoice Details</t>
  </si>
  <si>
    <t>No</t>
  </si>
  <si>
    <t>ProdLine</t>
  </si>
  <si>
    <t>nvarchar(2)</t>
  </si>
  <si>
    <t>Cfc</t>
  </si>
  <si>
    <t>nvarchar(4)</t>
  </si>
  <si>
    <t>Model</t>
  </si>
  <si>
    <t>nvarchar(1)</t>
  </si>
  <si>
    <t>Grade</t>
  </si>
  <si>
    <t>Color</t>
  </si>
  <si>
    <t>varchar(20)</t>
  </si>
  <si>
    <t>BodyNo</t>
  </si>
  <si>
    <t>nvarchar(10)</t>
  </si>
  <si>
    <t>LotNo</t>
  </si>
  <si>
    <t>nvarchar(20)</t>
  </si>
  <si>
    <t>NoInLot</t>
  </si>
  <si>
    <t>VinNo</t>
  </si>
  <si>
    <t>nvarchar(17)</t>
  </si>
  <si>
    <t>WInPlanDate</t>
  </si>
  <si>
    <t>WInPlanTime</t>
  </si>
  <si>
    <t>WInPlanDatetime</t>
  </si>
  <si>
    <t>WOutPlanDate</t>
  </si>
  <si>
    <t>WOutPlanTime</t>
  </si>
  <si>
    <t>WOutPlanDatetime</t>
  </si>
  <si>
    <t>TInPlanDate</t>
  </si>
  <si>
    <t>TInPlanTime</t>
  </si>
  <si>
    <t>TInPlanDatetime</t>
  </si>
  <si>
    <t>TOutPlanDate</t>
  </si>
  <si>
    <t>TOutPlanTime</t>
  </si>
  <si>
    <t>TOutPlanDatetime</t>
  </si>
  <si>
    <t>AInPlanDate</t>
  </si>
  <si>
    <t>AInPlanTime</t>
  </si>
  <si>
    <t>AInPlanDatetime</t>
  </si>
  <si>
    <t>AOutPlanDate</t>
  </si>
  <si>
    <t>AOutPlanTime</t>
  </si>
  <si>
    <t>AOutPlanDatetime</t>
  </si>
  <si>
    <t>LineoffDate</t>
  </si>
  <si>
    <t>LineoffTime</t>
  </si>
  <si>
    <t>LineoffDatetime</t>
  </si>
  <si>
    <t>PdiDate</t>
  </si>
  <si>
    <t>PdiTime</t>
  </si>
  <si>
    <t>PdiDatetime</t>
  </si>
  <si>
    <t>IsProject</t>
  </si>
  <si>
    <t>VehicleId</t>
  </si>
  <si>
    <t>IndentLine</t>
  </si>
  <si>
    <t>nvarchar(3)</t>
  </si>
  <si>
    <t>ColorType</t>
  </si>
  <si>
    <t>EngineId</t>
  </si>
  <si>
    <t>nvarchar(12)</t>
  </si>
  <si>
    <t>GoshiCar</t>
  </si>
  <si>
    <t>SalesSfx</t>
  </si>
  <si>
    <t>SsNo</t>
  </si>
  <si>
    <t>TransId</t>
  </si>
  <si>
    <t>nvarchar(18)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</si>
</sst>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Border="1" applyAlignment="1">
      <alignment wrapText="1"/>
    </xf>
    <xf numFmtId="0" fontId="0" fillId="0" borderId="0" xfId="0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abSelected="1" topLeftCell="A61" zoomScaleNormal="100" workbookViewId="0">
      <selection activeCell="C73" sqref="C73:J73"/>
    </sheetView>
  </sheetViews>
  <sheetFormatPr defaultColWidth="8.77734375" defaultRowHeight="14.4" x14ac:dyDescent="0.3"/>
  <cols>
    <col min="1" max="1" width="3.44140625" customWidth="1"/>
    <col min="2" max="2" width="18.44140625" customWidth="1"/>
    <col min="3" max="5" width="26.21875" customWidth="1"/>
    <col min="6" max="6" width="29.44140625" customWidth="1"/>
    <col min="7" max="10" width="26.21875" customWidth="1"/>
    <col min="11" max="11" width="26.44140625" customWidth="1"/>
    <col min="12" max="12" width="27.77734375" customWidth="1"/>
    <col min="13" max="13" width="25.44140625" customWidth="1"/>
    <col min="14" max="18" width="18.44140625" customWidth="1"/>
  </cols>
  <sheetData>
    <row r="1" spans="1:7" ht="23.4" x14ac:dyDescent="0.45">
      <c r="A1" s="14" t="s">
        <v>71</v>
      </c>
    </row>
    <row r="2" spans="1:7" ht="15.6" x14ac:dyDescent="0.3">
      <c r="A2" s="1"/>
      <c r="B2" s="25" t="s">
        <v>193</v>
      </c>
    </row>
    <row r="3" spans="1:7" x14ac:dyDescent="0.3">
      <c r="A3" s="1"/>
      <c r="B3" s="1" t="s">
        <v>74</v>
      </c>
    </row>
    <row r="4" spans="1:7" x14ac:dyDescent="0.3">
      <c r="A4" s="1"/>
      <c r="B4" t="s">
        <v>73</v>
      </c>
    </row>
    <row r="5" spans="1:7" x14ac:dyDescent="0.3">
      <c r="A5" s="1"/>
      <c r="B5" t="s">
        <v>76</v>
      </c>
    </row>
    <row r="6" spans="1:7" x14ac:dyDescent="0.3">
      <c r="A6" s="1"/>
      <c r="B6" t="s">
        <v>84</v>
      </c>
    </row>
    <row r="7" spans="1:7" x14ac:dyDescent="0.3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3">
      <c r="A8" s="1"/>
      <c r="C8" t="s">
        <v>86</v>
      </c>
      <c r="F8" s="1" t="s">
        <v>230</v>
      </c>
      <c r="G8" t="s">
        <v>230</v>
      </c>
    </row>
    <row r="9" spans="1:7" x14ac:dyDescent="0.3">
      <c r="A9" s="1"/>
      <c r="C9" t="s">
        <v>85</v>
      </c>
      <c r="F9" s="1" t="s">
        <v>95</v>
      </c>
      <c r="G9" t="s">
        <v>95</v>
      </c>
    </row>
    <row r="10" spans="1:7" x14ac:dyDescent="0.3">
      <c r="A10" s="1"/>
      <c r="D10" t="s">
        <v>86</v>
      </c>
      <c r="F10" s="1" t="s">
        <v>230</v>
      </c>
      <c r="G10" t="s">
        <v>281</v>
      </c>
    </row>
    <row r="11" spans="1:7" x14ac:dyDescent="0.3">
      <c r="A11" s="1"/>
      <c r="D11" t="s">
        <v>87</v>
      </c>
      <c r="F11" s="1" t="s">
        <v>96</v>
      </c>
      <c r="G11" t="s">
        <v>282</v>
      </c>
    </row>
    <row r="12" spans="1:7" x14ac:dyDescent="0.3">
      <c r="A12" s="1"/>
      <c r="D12" t="s">
        <v>88</v>
      </c>
      <c r="F12" s="1" t="s">
        <v>97</v>
      </c>
      <c r="G12" t="s">
        <v>283</v>
      </c>
    </row>
    <row r="13" spans="1:7" x14ac:dyDescent="0.3">
      <c r="A13" s="1"/>
      <c r="D13" t="s">
        <v>89</v>
      </c>
      <c r="F13" s="1" t="s">
        <v>98</v>
      </c>
      <c r="G13" t="s">
        <v>284</v>
      </c>
    </row>
    <row r="14" spans="1:7" x14ac:dyDescent="0.3">
      <c r="A14" s="1"/>
      <c r="D14" t="s">
        <v>90</v>
      </c>
      <c r="F14" s="1" t="s">
        <v>99</v>
      </c>
      <c r="G14" t="s">
        <v>285</v>
      </c>
    </row>
    <row r="15" spans="1:7" x14ac:dyDescent="0.3">
      <c r="A15" s="1"/>
      <c r="D15" t="s">
        <v>91</v>
      </c>
      <c r="F15" s="1" t="s">
        <v>100</v>
      </c>
      <c r="G15" t="s">
        <v>286</v>
      </c>
    </row>
    <row r="16" spans="1:7" ht="12" customHeight="1" x14ac:dyDescent="0.3">
      <c r="A16" s="1"/>
      <c r="D16" t="s">
        <v>266</v>
      </c>
      <c r="F16" s="1" t="s">
        <v>267</v>
      </c>
      <c r="G16" t="s">
        <v>287</v>
      </c>
    </row>
    <row r="17" spans="1:7" ht="12" customHeight="1" x14ac:dyDescent="0.3">
      <c r="A17" s="1"/>
      <c r="D17" t="s">
        <v>301</v>
      </c>
      <c r="F17" s="1" t="s">
        <v>302</v>
      </c>
      <c r="G17" t="s">
        <v>303</v>
      </c>
    </row>
    <row r="18" spans="1:7" x14ac:dyDescent="0.3">
      <c r="A18" s="1"/>
      <c r="D18" t="s">
        <v>345</v>
      </c>
      <c r="F18" s="1" t="s">
        <v>347</v>
      </c>
      <c r="G18" t="s">
        <v>346</v>
      </c>
    </row>
    <row r="19" spans="1:7" x14ac:dyDescent="0.3">
      <c r="A19" s="1"/>
      <c r="C19" t="s">
        <v>88</v>
      </c>
      <c r="F19" s="1" t="s">
        <v>97</v>
      </c>
      <c r="G19" t="s">
        <v>97</v>
      </c>
    </row>
    <row r="20" spans="1:7" x14ac:dyDescent="0.3">
      <c r="A20" s="1"/>
      <c r="D20" t="s">
        <v>92</v>
      </c>
      <c r="F20" s="1" t="s">
        <v>111</v>
      </c>
      <c r="G20" t="s">
        <v>288</v>
      </c>
    </row>
    <row r="21" spans="1:7" x14ac:dyDescent="0.3">
      <c r="A21" s="1"/>
      <c r="D21" t="s">
        <v>93</v>
      </c>
      <c r="F21" s="1" t="s">
        <v>101</v>
      </c>
      <c r="G21" t="s">
        <v>289</v>
      </c>
    </row>
    <row r="22" spans="1:7" x14ac:dyDescent="0.3">
      <c r="A22" s="1"/>
      <c r="C22" t="s">
        <v>89</v>
      </c>
      <c r="F22" s="1" t="s">
        <v>98</v>
      </c>
      <c r="G22" t="s">
        <v>98</v>
      </c>
    </row>
    <row r="23" spans="1:7" x14ac:dyDescent="0.3">
      <c r="A23" s="1"/>
      <c r="D23" t="s">
        <v>92</v>
      </c>
      <c r="F23" s="1" t="s">
        <v>111</v>
      </c>
      <c r="G23" t="s">
        <v>298</v>
      </c>
    </row>
    <row r="24" spans="1:7" x14ac:dyDescent="0.3">
      <c r="A24" s="1"/>
      <c r="C24" t="s">
        <v>87</v>
      </c>
      <c r="F24" s="1" t="s">
        <v>96</v>
      </c>
      <c r="G24" t="s">
        <v>96</v>
      </c>
    </row>
    <row r="25" spans="1:7" x14ac:dyDescent="0.3">
      <c r="A25" s="1"/>
      <c r="D25" t="s">
        <v>92</v>
      </c>
      <c r="F25" s="1" t="s">
        <v>111</v>
      </c>
      <c r="G25" t="s">
        <v>297</v>
      </c>
    </row>
    <row r="26" spans="1:7" x14ac:dyDescent="0.3">
      <c r="A26" s="1"/>
      <c r="C26" t="s">
        <v>90</v>
      </c>
      <c r="F26" s="1" t="s">
        <v>99</v>
      </c>
      <c r="G26" t="s">
        <v>99</v>
      </c>
    </row>
    <row r="27" spans="1:7" x14ac:dyDescent="0.3">
      <c r="A27" s="1"/>
      <c r="C27" t="s">
        <v>266</v>
      </c>
      <c r="F27" s="1" t="s">
        <v>267</v>
      </c>
      <c r="G27" t="s">
        <v>267</v>
      </c>
    </row>
    <row r="28" spans="1:7" x14ac:dyDescent="0.3">
      <c r="A28" s="1"/>
      <c r="D28" t="s">
        <v>268</v>
      </c>
      <c r="F28" s="1" t="s">
        <v>270</v>
      </c>
      <c r="G28" t="s">
        <v>290</v>
      </c>
    </row>
    <row r="29" spans="1:7" x14ac:dyDescent="0.3">
      <c r="A29" s="1"/>
      <c r="D29" t="s">
        <v>271</v>
      </c>
      <c r="F29" s="1" t="s">
        <v>269</v>
      </c>
      <c r="G29" t="s">
        <v>291</v>
      </c>
    </row>
    <row r="30" spans="1:7" x14ac:dyDescent="0.3">
      <c r="A30" s="1"/>
      <c r="D30" t="s">
        <v>272</v>
      </c>
      <c r="F30" s="1" t="s">
        <v>275</v>
      </c>
      <c r="G30" t="s">
        <v>292</v>
      </c>
    </row>
    <row r="31" spans="1:7" x14ac:dyDescent="0.3">
      <c r="A31" s="1"/>
      <c r="D31" t="s">
        <v>273</v>
      </c>
      <c r="F31" s="1" t="s">
        <v>276</v>
      </c>
      <c r="G31" t="s">
        <v>293</v>
      </c>
    </row>
    <row r="32" spans="1:7" x14ac:dyDescent="0.3">
      <c r="A32" s="1"/>
      <c r="D32" t="s">
        <v>274</v>
      </c>
      <c r="F32" s="1" t="s">
        <v>277</v>
      </c>
      <c r="G32" t="s">
        <v>294</v>
      </c>
    </row>
    <row r="33" spans="1:8" x14ac:dyDescent="0.3">
      <c r="A33" s="1"/>
      <c r="D33" t="s">
        <v>279</v>
      </c>
      <c r="F33" s="1" t="s">
        <v>278</v>
      </c>
      <c r="G33" t="s">
        <v>295</v>
      </c>
    </row>
    <row r="34" spans="1:8" x14ac:dyDescent="0.3">
      <c r="A34" s="1"/>
      <c r="C34" t="s">
        <v>301</v>
      </c>
      <c r="F34" s="1" t="s">
        <v>302</v>
      </c>
      <c r="G34" t="s">
        <v>302</v>
      </c>
    </row>
    <row r="35" spans="1:8" x14ac:dyDescent="0.3">
      <c r="A35" s="1"/>
      <c r="D35" t="s">
        <v>304</v>
      </c>
      <c r="F35" s="1" t="s">
        <v>305</v>
      </c>
      <c r="G35" t="s">
        <v>306</v>
      </c>
    </row>
    <row r="36" spans="1:8" x14ac:dyDescent="0.3">
      <c r="A36" s="1"/>
      <c r="D36" t="s">
        <v>93</v>
      </c>
      <c r="F36" s="1" t="s">
        <v>101</v>
      </c>
      <c r="G36" t="s">
        <v>307</v>
      </c>
    </row>
    <row r="37" spans="1:8" x14ac:dyDescent="0.3">
      <c r="A37" s="1"/>
      <c r="D37" t="s">
        <v>308</v>
      </c>
      <c r="F37" s="1" t="s">
        <v>309</v>
      </c>
      <c r="G37" t="s">
        <v>310</v>
      </c>
    </row>
    <row r="38" spans="1:8" x14ac:dyDescent="0.3">
      <c r="A38" s="1"/>
      <c r="D38" t="s">
        <v>311</v>
      </c>
      <c r="F38" s="1" t="s">
        <v>312</v>
      </c>
      <c r="G38" t="s">
        <v>313</v>
      </c>
    </row>
    <row r="39" spans="1:8" x14ac:dyDescent="0.3">
      <c r="A39" s="1"/>
      <c r="D39" t="s">
        <v>315</v>
      </c>
      <c r="F39" s="1" t="s">
        <v>316</v>
      </c>
      <c r="G39" t="s">
        <v>317</v>
      </c>
    </row>
    <row r="40" spans="1:8" x14ac:dyDescent="0.3">
      <c r="A40" s="1"/>
      <c r="C40" t="s">
        <v>314</v>
      </c>
      <c r="F40" s="1" t="s">
        <v>296</v>
      </c>
      <c r="G40" t="s">
        <v>296</v>
      </c>
    </row>
    <row r="41" spans="1:8" x14ac:dyDescent="0.3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3">
      <c r="A42" s="1"/>
      <c r="C42" t="s">
        <v>319</v>
      </c>
      <c r="F42" s="1" t="s">
        <v>332</v>
      </c>
      <c r="G42" t="s">
        <v>332</v>
      </c>
    </row>
    <row r="43" spans="1:8" x14ac:dyDescent="0.3">
      <c r="A43" s="1"/>
      <c r="D43" t="s">
        <v>320</v>
      </c>
      <c r="F43" s="1" t="s">
        <v>326</v>
      </c>
      <c r="G43" t="s">
        <v>333</v>
      </c>
    </row>
    <row r="44" spans="1:8" x14ac:dyDescent="0.3">
      <c r="A44" s="1"/>
      <c r="D44" t="s">
        <v>322</v>
      </c>
      <c r="F44" s="1" t="s">
        <v>327</v>
      </c>
      <c r="G44" t="s">
        <v>334</v>
      </c>
    </row>
    <row r="45" spans="1:8" x14ac:dyDescent="0.3">
      <c r="A45" s="1"/>
      <c r="D45" t="s">
        <v>321</v>
      </c>
      <c r="F45" s="1" t="s">
        <v>328</v>
      </c>
      <c r="G45" t="s">
        <v>335</v>
      </c>
    </row>
    <row r="46" spans="1:8" x14ac:dyDescent="0.3">
      <c r="A46" s="1"/>
      <c r="D46" t="s">
        <v>324</v>
      </c>
      <c r="F46" s="1" t="s">
        <v>329</v>
      </c>
      <c r="G46" t="s">
        <v>336</v>
      </c>
    </row>
    <row r="47" spans="1:8" x14ac:dyDescent="0.3">
      <c r="A47" s="1"/>
      <c r="D47" t="s">
        <v>342</v>
      </c>
      <c r="F47" s="1" t="s">
        <v>343</v>
      </c>
      <c r="G47" t="s">
        <v>344</v>
      </c>
    </row>
    <row r="48" spans="1:8" x14ac:dyDescent="0.3">
      <c r="A48" s="1"/>
      <c r="D48" t="s">
        <v>325</v>
      </c>
      <c r="F48" s="1" t="s">
        <v>330</v>
      </c>
      <c r="G48" t="s">
        <v>337</v>
      </c>
    </row>
    <row r="49" spans="1:7" x14ac:dyDescent="0.3">
      <c r="A49" s="1"/>
      <c r="D49" t="s">
        <v>323</v>
      </c>
      <c r="F49" s="1" t="s">
        <v>331</v>
      </c>
      <c r="G49" t="s">
        <v>338</v>
      </c>
    </row>
    <row r="50" spans="1:7" x14ac:dyDescent="0.3">
      <c r="A50" s="1"/>
      <c r="D50" t="s">
        <v>339</v>
      </c>
      <c r="F50" s="1" t="s">
        <v>340</v>
      </c>
      <c r="G50" t="s">
        <v>341</v>
      </c>
    </row>
    <row r="51" spans="1:7" x14ac:dyDescent="0.3">
      <c r="A51" s="1"/>
    </row>
    <row r="52" spans="1:7" x14ac:dyDescent="0.3">
      <c r="A52" s="1"/>
      <c r="B52" t="s">
        <v>83</v>
      </c>
    </row>
    <row r="53" spans="1:7" x14ac:dyDescent="0.3">
      <c r="A53" s="1"/>
      <c r="B53" t="s">
        <v>80</v>
      </c>
    </row>
    <row r="54" spans="1:7" x14ac:dyDescent="0.3">
      <c r="A54" s="1"/>
      <c r="C54" s="17" t="s">
        <v>77</v>
      </c>
    </row>
    <row r="55" spans="1:7" x14ac:dyDescent="0.3">
      <c r="A55" s="1"/>
      <c r="C55" s="16" t="s">
        <v>78</v>
      </c>
    </row>
    <row r="56" spans="1:7" x14ac:dyDescent="0.3">
      <c r="A56" s="1"/>
      <c r="C56" s="16" t="s">
        <v>79</v>
      </c>
    </row>
    <row r="57" spans="1:7" x14ac:dyDescent="0.3">
      <c r="A57" s="1"/>
      <c r="B57" t="s">
        <v>103</v>
      </c>
      <c r="C57" s="16"/>
    </row>
    <row r="58" spans="1:7" x14ac:dyDescent="0.3">
      <c r="A58" s="1"/>
      <c r="C58" s="16" t="s">
        <v>104</v>
      </c>
    </row>
    <row r="59" spans="1:7" x14ac:dyDescent="0.3">
      <c r="A59" s="1"/>
      <c r="C59" s="16" t="s">
        <v>105</v>
      </c>
    </row>
    <row r="60" spans="1:7" x14ac:dyDescent="0.3">
      <c r="A60" s="1"/>
      <c r="C60" s="16" t="s">
        <v>106</v>
      </c>
    </row>
    <row r="61" spans="1:7" x14ac:dyDescent="0.3">
      <c r="A61" s="1"/>
      <c r="C61" s="16" t="s">
        <v>108</v>
      </c>
    </row>
    <row r="62" spans="1:7" x14ac:dyDescent="0.3">
      <c r="A62" s="1"/>
      <c r="C62" s="16" t="s">
        <v>110</v>
      </c>
    </row>
    <row r="63" spans="1:7" x14ac:dyDescent="0.3">
      <c r="A63" s="1"/>
      <c r="C63" s="16" t="s">
        <v>109</v>
      </c>
    </row>
    <row r="64" spans="1:7" x14ac:dyDescent="0.3">
      <c r="A64" s="1"/>
      <c r="C64" s="16" t="s">
        <v>107</v>
      </c>
    </row>
    <row r="65" spans="2:14" ht="21" customHeight="1" x14ac:dyDescent="0.3">
      <c r="B65" s="19" t="s">
        <v>75</v>
      </c>
    </row>
    <row r="66" spans="2:14" ht="21" customHeight="1" x14ac:dyDescent="0.3">
      <c r="B66" s="59" t="s">
        <v>227</v>
      </c>
    </row>
    <row r="67" spans="2:14" ht="15" thickBot="1" x14ac:dyDescent="0.35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5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[Table("InvCkdInvoiceDetails")]
	public class InvCkdInvoiceDetails: FullAuditedEntity&lt;long&gt;, IEntity&lt;long&gt;	
	{
		public const int MaxProdlineLength = 2;
		public const int MaxCfcLength = 4;
		public const int MaxModelLength = 1;
		public const int MaxGradeLength = 2;
		public const int MaxColorLength = 20;
		public const int MaxBodynoLength = 10;
		public const int MaxLotnoLength = 20;
		public const int MaxVinnoLength = 17;
		public const int MaxIsprojectLength = 1;
		public const int MaxVehicleidLength = 10;
		public const int MaxIndentlineLength = 3;
		public const int MaxColortypeLength = 4;
		public const int MaxEngineidLength = 12;
		public const int MaxGoshicarLength = 1;
		public const int MaxSalessfxLength = 2;
		public const int MaxSsnoLength = 2;
		public const int MaxTransidLength = 18;
		public virtual long? No { get; set; }
		[StringLength(MaxProdlineLength)]
		public virtual string Prodline { get; set; }
		[StringLength(MaxCfcLength)]
		public virtual string Cfc { get; set; }
		[StringLength(MaxModelLength)]
		public virtual string Model { get; set; }
		[StringLength(MaxGradeLength)]
		public virtual string Grade { get; set; }
		[StringLength(MaxColorLength)]
		public virtual string Color { get; set; }
		[StringLength(MaxBodynoLength)]
		public virtual string Bodyno { get; set; }
		[StringLength(MaxLotnoLength)]
		public virtual string Lotno { get; set; }
		public virtual int? Noinlot { get; set; }
		[StringLength(MaxVinnoLength)]
		public virtual string Vinno { get; set; }
		public virtual DateTime? Winplandate { get; set; }
		public virtual TimeSpan? Winplantime { get; set; }
		public virtual DateTime? Winplandatetime { get; set; }
		public virtual DateTime? Woutplandate { get; set; }
		public virtual TimeSpan? Woutplantime { get; set; }
		public virtual DateTime? Woutplandatetime { get; set; }
		public virtual DateTime? Tinplandate { get; set; }
		public virtual TimeSpan? Tinplantime { get; set; }
		public virtual DateTime? Tinplandatetime { get; set; }
		public virtual DateTime? Toutplandate { get; set; }
		public virtual TimeSpan? Toutplantime { get; set; }
		public virtual DateTime? Toutplandatetime { get; set; }
		public virtual DateTime? Ainplandate { get; set; }
		public virtual TimeSpan? Ainplantime { get; set; }
		public virtual DateTime? Ainplandatetime { get; set; }
		public virtual DateTime? Aoutplandate { get; set; }
		public virtual TimeSpan? Aoutplantime { get; set; }
		public virtual DateTime? Aoutplandatetime { get; set; }
		public virtual DateTime? Lineoffdate { get; set; }
		public virtual TimeSpan? Lineofftime { get; set; }
		public virtual DateTime? Lineoffdatetime { get; set; }
		public virtual DateTime? Pdidate { get; set; }
		public virtual TimeSpan? Pditime { get; set; }
		public virtual DateTime? Pdidatetime { get; set; }
		[StringLength(MaxIsprojectLength)]
		public virtual string Isproject { get; set; }
		[StringLength(MaxVehicleidLength)]
		public virtual string Vehicleid { get; set; }
		[StringLength(MaxIndentlineLength)]
		public virtual string Indentline { get; set; }
		[StringLength(MaxColortypeLength)]
		public virtual string Colortype { get; set; }
		[StringLength(MaxEngineidLength)]
		public virtual string Engineid { get; set; }
		[StringLength(MaxGoshicarLength)]
		public virtual string Goshicar { get; set; }
		[StringLength(MaxSalessfxLength)]
		public virtual string Salessfx { get; set; }
		[StringLength(MaxSsnoLength)]
		public virtual string Ssno { get; set; }
		[StringLength(MaxTransidLength)]
		public virtual string Transid { get; set; }
	}
}
</v>
      </c>
      <c r="D68" s="48" t="str">
        <f>A.Backend!O7</f>
        <v xml:space="preserve">		public const string Pages_Inventory_CKD_InvoiceDetails = "Pages.Inventory.CKD.InvoiceDetails";
		public const string Pages_Inventory_CKD_InvoiceDetails_CreateEdit = "Pages.Inventory.CKD.InvoiceDetails.CreateEdit";
		public const string Pages_Inventory_CKD_InvoiceDetails_Delete = "Pages.Inventory.CKD.InvoiceDetails.Delete";
</v>
      </c>
      <c r="E68" s="48" t="str">
        <f>A.Backend!N7</f>
        <v xml:space="preserve">		var perInvCkdInvoiceDetails = PARENTS.CreateChildPermission(AppPermissions.Pages_Inventory_CKD_InvoiceDetails, L( "InventoryCKDInvoiceDetails"), multiTenancySides: MultiTenancySides.Tenant);
		perInvCkdInvoiceDetails.CreateChildPermission(AppPermissions.Pages_Inventory_CKD_InvoiceDetails_CreateEdit, L( "InventoryCKDInvoiceDetailsCreateEdit"), multiTenancySides: MultiTenancySides.Tenant);
		perInvCkdInvoiceDetails.CreateChildPermission(AppPermissions.Pages_Inventory_CKD_InvoiceDetails_Delete, L( "InventoryCKDInvoiceDetailsDelete"), multiTenancySides: MultiTenancySides.Tenant);</v>
      </c>
      <c r="F68" s="48" t="str">
        <f>A.Backend!K7</f>
        <v>public virtual DbSet&lt;InvCkdInvoiceDetails&gt; InvCkdInvoiceDetailss { get; set; }</v>
      </c>
      <c r="G68" s="48" t="str">
        <f ca="1">A.Backend!L7</f>
        <v xml:space="preserve">namespace prod.Inventory.CKD
{
	public class InvCkdInvoiceDetailsConsts	
	{
		public const int MaxProdlineLength = 2;
		public const int MaxCfcLength = 4;
		public const int MaxModelLength = 1;
		public const int MaxGradeLength = 2;
		public const int MaxColorLength = 20;
		public const int MaxBodynoLength = 10;
		public const int MaxLotnoLength = 20;
		public const int MaxVinnoLength = 17;
		public const int MaxIsprojectLength = 1;
		public const int MaxVehicleidLength = 10;
		public const int MaxIndentlineLength = 3;
		public const int MaxColortypeLength = 4;
		public const int MaxEngineidLength = 12;
		public const int MaxGoshicarLength = 1;
		public const int MaxSalessfxLength = 2;
		public const int MaxSsnoLength = 2;
		public const int MaxTransidLength = 18;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prod.Inventory.CKD.Dto
{
	public class InvCkdInvoiceDetailsDto : EntityDto&lt;long?&gt;	
	{
		public virtual long? No { get; set; }
		public virtual string Prodline { get; set; }
		public virtual string Cfc { get; set; }
		public virtual string Model { get; set; }
		public virtual string Grade { get; set; }
		public virtual string Color { get; set; }
		public virtual string Bodyno { get; set; }
		public virtual string Lotno { get; set; }
		public virtual int? Noinlot { get; set; }
		public virtual string Vinno { get; set; }
		public virtual DateTime? Winplandate { get; set; }
		public virtual TimeSpan? Winplantime { get; set; }
		public virtual DateTime? Winplandatetime { get; set; }
		public virtual DateTime? Woutplandate { get; set; }
		public virtual TimeSpan? Woutplantime { get; set; }
		public virtual DateTime? Woutplandatetime { get; set; }
		public virtual DateTime? Tinplandate { get; set; }
		public virtual TimeSpan? Tinplantime { get; set; }
		public virtual DateTime? Tinplandatetime { get; set; }
		public virtual DateTime? Toutplandate { get; set; }
		public virtual TimeSpan? Toutplantime { get; set; }
		public virtual DateTime? Toutplandatetime { get; set; }
		public virtual DateTime? Ainplandate { get; set; }
		public virtual TimeSpan? Ainplantime { get; set; }
		public virtual DateTime? Ainplandatetime { get; set; }
		public virtual DateTime? Aoutplandate { get; set; }
		public virtual TimeSpan? Aoutplantime { get; set; }
		public virtual DateTime? Aoutplandatetime { get; set; }
		public virtual DateTime? Lineoffdate { get; set; }
		public virtual TimeSpan? Lineofftime { get; set; }
		public virtual DateTime? Lineoffdatetime { get; set; }
		public virtual DateTime? Pdidate { get; set; }
		public virtual TimeSpan? Pditime { get; set; }
		public virtual DateTime? Pdidatetime { get; set; }
		public virtual string Isproject { get; set; }
		public virtual string Vehicleid { get; set; }
		public virtual string Indentline { get; set; }
		public virtual string Colortype { get; set; }
		public virtual string Engineid { get; set; }
		public virtual string Goshicar { get; set; }
		public virtual string Salessfx { get; set; }
		public virtual string Ssno { get; set; }
		public virtual string Transid { get; set; }
	}
	public class CreateOrEditInvCkdInvoiceDetailsDto : EntityDto&lt;long?&gt;	
	{
		public virtual long? No { get; set; }
		[StringLength(InvCkdInvoiceDetailsConsts.MaxProdlineLength)]
		public virtual string Prodline { get; set; }
		[StringLength(InvCkdInvoiceDetailsConsts.MaxCfcLength)]
		public virtual string Cfc { get; set; }
		[StringLength(InvCkdInvoiceDetailsConsts.MaxModelLength)]
		public virtual string Model { get; set; }
		[StringLength(InvCkdInvoiceDetailsConsts.MaxGradeLength)]
		public virtual string Grade { get; set; }
		[StringLength(InvCkdInvoiceDetailsConsts.MaxColorLength)]
		public virtual string Color { get; set; }
		[StringLength(InvCkdInvoiceDetailsConsts.MaxBodynoLength)]
		public virtual string Bodyno { get; set; }
		[StringLength(InvCkdInvoiceDetailsConsts.MaxLotnoLength)]
		public virtual string Lotno { get; set; }
		public virtual int? Noinlot { get; set; }
		[StringLength(InvCkdInvoiceDetailsConsts.MaxVinnoLength)]
		public virtual string Vinno { get; set; }
		public virtual DateTime? Winplandate { get; set; }
		public virtual TimeSpan? Winplantime { get; set; }
		public virtual DateTime? Winplandatetime { get; set; }
		public virtual DateTime? Woutplandate { get; set; }
		public virtual TimeSpan? Woutplantime { get; set; }
		public virtual DateTime? Woutplandatetime { get; set; }
		public virtual DateTime? Tinplandate { get; set; }
		public virtual TimeSpan? Tinplantime { get; set; }
		public virtual DateTime? Tinplandatetime { get; set; }
		public virtual DateTime? Toutplandate { get; set; }
		public virtual TimeSpan? Toutplantime { get; set; }
		public virtual DateTime? Toutplandatetime { get; set; }
		public virtual DateTime? Ainplandate { get; set; }
		public virtual TimeSpan? Ainplantime { get; set; }
		public virtual DateTime? Ainplandatetime { get; set; }
		public virtual DateTime? Aoutplandate { get; set; }
		public virtual TimeSpan? Aoutplantime { get; set; }
		public virtual DateTime? Aoutplandatetime { get; set; }
		public virtual DateTime? Lineoffdate { get; set; }
		public virtual TimeSpan? Lineofftime { get; set; }
		public virtual DateTime? Lineoffdatetime { get; set; }
		public virtual DateTime? Pdidate { get; set; }
		public virtual TimeSpan? Pditime { get; set; }
		public virtual DateTime? Pdidatetime { get; set; }
		[StringLength(InvCkdInvoiceDetailsConsts.MaxIsprojectLength)]
		public virtual string Isproject { get; set; }
		[StringLength(InvCkdInvoiceDetailsConsts.MaxVehicleidLength)]
		public virtual string Vehicleid { get; set; }
		[StringLength(InvCkdInvoiceDetailsConsts.MaxIndentlineLength)]
		public virtual string Indentline { get; set; }
		[StringLength(InvCkdInvoiceDetailsConsts.MaxColortypeLength)]
		public virtual string Colortype { get; set; }
		[StringLength(InvCkdInvoiceDetailsConsts.MaxEngineidLength)]
		public virtual string Engineid { get; set; }
		[StringLength(InvCkdInvoiceDetailsConsts.MaxGoshicarLength)]
		public virtual string Goshicar { get; set; }
		[StringLength(InvCkdInvoiceDetailsConsts.MaxSalessfxLength)]
		public virtual string Salessfx { get; set; }
		[StringLength(InvCkdInvoiceDetailsConsts.MaxSsnoLength)]
		public virtual string Ssno { get; set; }
		[StringLength(InvCkdInvoiceDetailsConsts.MaxTransidLength)]
		public virtual string Transid { get; set; }
	}
	public class GetInvCkdInvoiceDetailsInput : PagedAndSortedResultRequestDto	
	{
		public virtual string Prodline { get; set; }
		public virtual string Cfc { get; set; }
		public virtual string Model { get; set; }
		public virtual string Grade { get; set; }
		public virtual string Color { get; set; }
		public virtual string Bodyno { get; set; }
		public virtual string Lotno { get; set; }
		public virtual string Vinno { get; set; }
		public virtual string Isproject { get; set; }
		public virtual string Vehicleid { get; set; }
		public virtual string Indentline { get; set; }
		public virtual string Colortype { get; set; }
		public virtual string Engineid { get; set; }
		public virtual string Goshicar { get; set; }
		public virtual string Salessfx { get; set; }
		public virtual string Ssno { get; set; }
		public virtual string Transid { get; set; }
	}
}
</v>
      </c>
      <c r="I68" s="48" t="str">
        <f ca="1">A.Backend!R7</f>
        <v xml:space="preserve">using Abp.Application.Services.Dto;
using System;
using System.ComponentModel.DataAnnotations;
namespace prod.Inventory.CKD.Dto
{
	public class InvCkdInvoiceDetailsExportInput{
		public virtual long? No { get; set; }
		public virtual string Prodline { get; set; }
		public virtual string Cfc { get; set; }
		public virtual string Model { get; set; }
		public virtual string Grade { get; set; }
		public virtual string Color { get; set; }
		public virtual string Bodyno { get; set; }
		public virtual string Lotno { get; set; }
		public virtual int? Noinlot { get; set; }
		public virtual string Vinno { get; set; }
		public virtual DateTime? Winplandate { get; set; }
		public virtual TimeSpan? Winplantime { get; set; }
		public virtual DateTime? Winplandatetime { get; set; }
		public virtual DateTime? Woutplandate { get; set; }
		public virtual TimeSpan? Woutplantime { get; set; }
		public virtual DateTime? Woutplandatetime { get; set; }
		public virtual DateTime? Tinplandate { get; set; }
		public virtual TimeSpan? Tinplantime { get; set; }
		public virtual DateTime? Tinplandatetime { get; set; }
		public virtual DateTime? Toutplandate { get; set; }
		public virtual TimeSpan? Toutplantime { get; set; }
		public virtual DateTime? Toutplandatetime { get; set; }
		public virtual DateTime? Ainplandate { get; set; }
		public virtual TimeSpan? Ainplantime { get; set; }
		public virtual DateTime? Ainplandatetime { get; set; }
		public virtual DateTime? Aoutplandate { get; set; }
		public virtual TimeSpan? Aoutplantime { get; set; }
		public virtual DateTime? Aoutplandatetime { get; set; }
		public virtual DateTime? Lineoffdate { get; set; }
		public virtual TimeSpan? Lineofftime { get; set; }
		public virtual DateTime? Lineoffdatetime { get; set; }
		public virtual DateTime? Pdidate { get; set; }
		public virtual TimeSpan? Pditime { get; set; }
		public virtual DateTime? Pdidatetime { get; set; }
		public virtual string Isproject { get; set; }
		public virtual string Vehicleid { get; set; }
		public virtual string Indentline { get; set; }
		public virtual string Colortype { get; set; }
		public virtual string Engineid { get; set; }
		public virtual string Goshicar { get; set; }
		public virtual string Salessfx { get; set; }
		public virtual string Ssno { get; set; }
		public virtual string Transid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vovina.Inventory.CKD.Dto;
namespace prod.Inventory.CKD
{
	public interface IInvCkdInvoiceDetailsAppService : IApplicationService
	{
		Task&lt;PagedResultDto&lt;InvCkdInvoiceDetailsDto&gt;&gt; GetAll(GetInvCkdInvoiceDetailsInput input);
		Task CreateOrEdit(CreateOrEditInvCkdInvoiceDetailsDto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IInvCkdInvoiceDetailsExcelExporter : IApplicationService
	{
		FileDto ExportToFile(List&lt;InvCkdInvoiceDetailsDto&gt; invckdinvoicedetails);
	}
}
</v>
      </c>
      <c r="L68" s="48" t="str">
        <f ca="1">A.Backend!T7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InvCkdInvoiceDetailsExcelExporter : NpoiExcelExporterBase, IInvCkdInvoiceDetailsExcelExporter
    {
        public InvCkdInvoiceDetailsExcelExporter(ITempFileCacheManager tempFileCacheManager) : base(tempFileCacheManager) { }
        public FileDto ExportToFile(List&lt;InvCkdInvoiceDetailsDto&gt; invoicedetails)
        {
            return CreateExcelPackage(
				"InventoryCKDInvoiceDetails.xlsx",
				excelPackage =&gt;
				 {
					var sheet = excelPackage.CreateSheet("InvoiceDetails");
					AddHeader(
								sheet,
								("No"),
								("Prodline"),
								("Cfc"),
								("Model"),
								("Grade"),
								("Color"),
								("Bodyno"),
								("Lotno"),
								("Noinlot"),
								("Vinno"),
								("Winplandate"),
								("Winplantime"),
								("Winplandatetime"),
								("Woutplandate"),
								("Woutplantime"),
								("Woutplandatetime"),
								("Tinplandate"),
								("Tinplantime"),
								("Tinplandatetime"),
								("Toutplandate"),
								("Toutplantime"),
								("Toutplandatetime"),
								("Ainplandate"),
								("Ainplantime"),
								("Ainplandatetime"),
								("Aoutplandate"),
								("Aoutplantime"),
								("Aoutplandatetime"),
								("Lineoffdate"),
								("Lineofftime"),
								("Lineoffdatetime"),
								("Pdidate"),
								("Pditime"),
								("Pdidatetime"),
								("Isproject"),
								("Vehicleid"),
								("Indentline"),
								("Colortype"),
								("Engineid"),
								("Goshicar"),
								("Salessfx"),
								("Ssno"),
								("Transid"),
							   );
					AddObjects(
						 sheet, 1, invoicedetails,                                       
								_ =&gt; _.No,
								_ =&gt; _.Prodline,
								_ =&gt; _.Cfc,
								_ =&gt; _.Model,
								_ =&gt; _.Grade,
								_ =&gt; _.Color,
								_ =&gt; _.Bodyno,
								_ =&gt; _.Lotno,
								_ =&gt; _.Noinlot,
								_ =&gt; _.Vinno,
								_ =&gt; _.Winplandate,
								_ =&gt; _.Winplantime,
								_ =&gt; _.Winplandatetime,
								_ =&gt; _.Woutplandate,
								_ =&gt; _.Woutplantime,
								_ =&gt; _.Woutplandatetime,
								_ =&gt; _.Tinplandate,
								_ =&gt; _.Tinplantime,
								_ =&gt; _.Tinplandatetime,
								_ =&gt; _.Toutplandate,
								_ =&gt; _.Toutplantime,
								_ =&gt; _.Toutplandatetime,
								_ =&gt; _.Ainplandate,
								_ =&gt; _.Ainplantime,
								_ =&gt; _.Ainplandatetime,
								_ =&gt; _.Aoutplandate,
								_ =&gt; _.Aoutplantime,
								_ =&gt; _.Aoutplandatetime,
								_ =&gt; _.Lineoffdate,
								_ =&gt; _.Lineofftime,
								_ =&gt; _.Lineoffdatetime,
								_ =&gt; _.Pdidate,
								_ =&gt; _.Pditime,
								_ =&gt; _.Pdidatetime,
								_ =&gt; _.Isproject,
								_ =&gt; _.Vehicleid,
								_ =&gt; _.Indentline,
								_ =&gt; _.Colortype,
								_ =&gt; _.Engineid,
								_ =&gt; _.Goshicar,
								_ =&gt; _.Salessfx,
								_ =&gt; _.Ssno,
								_ =&gt; _.Transid,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[AbpAuthorize(AppPermissions.Pages_Inventory_CKD_InvoiceDetails)]
    public class InvCkdInvoiceDetailsAppService : vovinaAppServiceBase, IInvCkdInvoiceDetailsAppService
    {
        private readonly IDapperRepository&lt;InvCkdInvoiceDetails, long&gt; _dapperRepo;
        private readonly IRepository&lt;InvCkdInvoiceDetails, long&gt; _repo;
        private readonly IInvCkdInvoiceDetailsExcelExporter _calendarListExcelExporter;
        public InvCkdInvoiceDetailsAppService(IRepository&lt;InvCkdInvoiceDetails,long&gt; repo, 
                                         IDapperRepository&lt;InvCkdInvoiceDetails,long&gt; dapperRepo,
                                        IInvCkdInvoiceDetailsExcelExporter calendarListExcelExporter
            )
        {
            _repo = repo;
            _dapperRepo = dapperRepo;
            _calendarListExcelExporter = calendarListExcelExporter;
        }
        [AbpAuthorize(AppPermissions.Pages_Inventory_CKD_InvoiceDetails_CreateEdit)]
        public async Task CreateOrEdit(CreateOrEditInvCkdInvoiceDetailsDto input)
        {
            if (input.Id == null) await Create(input);
            else await Update(input);
        }
        //CREATE
        private async Task Create(CreateOrEditInvCkdInvoiceDetailsDto input)
        {          
            var mainObj = ObjectMapper.Map&lt;InvCkdInvoiceDetails&gt;(input);
            await CurrentUnitOfWork.GetDbContext&lt;vovinaDbContext&gt;().AddAsync(mainObj);
        }
        // EDIT
        private async Task Update(CreateOrEditInvCkdInvoiceDetailsDto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[AbpAuthorize(AppPermissions.Pages_Inventory_CKD_InvoiceDetails_Delete)]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Task&lt;PagedResultDto&lt;InvCkdInvoiceDetailsDto&gt;&gt; GetAll(GetInvCkdInvoiceDetailsInput input)
        {
            var filtered = _repo.GetAll()
				.WhereIf(!string.IsNullOrWhiteSpace(input.Prodline), e =&gt; e.Prodline.Contains(input.Prodline))
				.WhereIf(!string.IsNullOrWhiteSpace(input.Cfc), e =&gt; e.Cfc.Contains(input.Cfc))
				.WhereIf(!string.IsNullOrWhiteSpace(input.Model), e =&gt; e.Model.Contains(input.Model))
				.WhereIf(!string.IsNullOrWhiteSpace(input.Grade), e =&gt; e.Grade.Contains(input.Grade))
				.WhereIf(!string.IsNullOrWhiteSpace(input.Color), e =&gt; e.Color.Contains(input.Color))
				.WhereIf(!string.IsNullOrWhiteSpace(input.Bodyno), e =&gt; e.Bodyno.Contains(input.Bodyno))
				.WhereIf(!string.IsNullOrWhiteSpace(input.Lotno), e =&gt; e.Lotno.Contains(input.Lotno))
				.WhereIf(!string.IsNullOrWhiteSpace(input.Vinno), e =&gt; e.Vinno.Contains(input.Vinno))
				.WhereIf(!string.IsNullOrWhiteSpace(input.Isproject), e =&gt; e.Isproject.Contains(input.Isproject))
				.WhereIf(!string.IsNullOrWhiteSpace(input.Vehicleid), e =&gt; e.Vehicleid.Contains(input.Vehicleid))
				.WhereIf(!string.IsNullOrWhiteSpace(input.Indentline), e =&gt; e.Indentline.Contains(input.Indentline))
				.WhereIf(!string.IsNullOrWhiteSpace(input.Colortype), e =&gt; e.Colortype.Contains(input.Colortype))
				.WhereIf(!string.IsNullOrWhiteSpace(input.Engineid), e =&gt; e.Engineid.Contains(input.Engineid))
				.WhereIf(!string.IsNullOrWhiteSpace(input.Goshicar), e =&gt; e.Goshicar.Contains(input.Goshicar))
				.WhereIf(!string.IsNullOrWhiteSpace(input.Salessfx), e =&gt; e.Salessfx.Contains(input.Salessfx))
				.WhereIf(!string.IsNullOrWhiteSpace(input.Ssno), e =&gt; e.Ssno.Contains(input.Ssno))
				.WhereIf(!string.IsNullOrWhiteSpace(input.Transid), e =&gt; e.Transid.Contains(input.Transid))                   
				;
            var pageAndFiltered = filtered.OrderBy(s =&gt; s.Id);
            var system = from o in pageAndFiltered
                         select new InvCkdInvoiceDetailsDto
                        {
							Id = o.Id,
							No = o.No,
							Prodline = o.Prodline,
							Cfc = o.Cfc,
							Model = o.Model,
							Grade = o.Grade,
							Color = o.Color,
							Bodyno = o.Bodyno,
							Lotno = o.Lotno,
							Noinlot = o.Noinlot,
							Vinno = o.Vinno,
							Winplandate = o.Winplandate,
							Winplantime = o.Winplantime,
							Winplandatetime = o.Winplandatetime,
							Woutplandate = o.Woutplandate,
							Woutplantime = o.Woutplantime,
							Woutplandatetime = o.Woutplandatetime,
							Tinplandate = o.Tinplandate,
							Tinplantime = o.Tinplantime,
							Tinplandatetime = o.Tinplandatetime,
							Toutplandate = o.Toutplandate,
							Toutplantime = o.Toutplantime,
							Toutplandatetime = o.Toutplandatetime,
							Ainplandate = o.Ainplandate,
							Ainplantime = o.Ainplantime,
							Ainplandatetime = o.Ainplandatetime,
							Aoutplandate = o.Aoutplandate,
							Aoutplantime = o.Aoutplantime,
							Aoutplandatetime = o.Aoutplandatetime,
							Lineoffdate = o.Lineoffdate,
							Lineofftime = o.Lineofftime,
							Lineoffdatetime = o.Lineoffdatetime,
							Pdidate = o.Pdidate,
							Pditime = o.Pditime,
							Pdidatetime = o.Pdidatetime,
							Isproject = o.Isproject,
							Vehicleid = o.Vehicleid,
							Indentline = o.Indentline,
							Colortype = o.Colortype,
							Engineid = o.Engineid,
							Goshicar = o.Goshicar,
							Salessfx = o.Salessfx,
							Ssno = o.Ssno,
							Transid = o.Transid,
                        };
            var totalCount = await filtered.CountAsync();
			var paged = system.PageBy(input);
            return new PagedResultDto&lt;InvCkdInvoiceDetailsDto&gt;(
                totalCount,
                 await paged.ToListAsync()
            );
        }
        public async Task&lt;FileDto&gt; GetInvoiceDetailsToExcel(InvCkdInvoiceDetailsExportInput input)
        {
            var query = from o in _repo.GetAll()
                        select new InvCkdInvoiceDetailsDto
                        {
							Id = o.Id,
							No = o.No,
							Prodline = o.Prodline,
							Cfc = o.Cfc,
							Model = o.Model,
							Grade = o.Grade,
							Color = o.Color,
							Bodyno = o.Bodyno,
							Lotno = o.Lotno,
							Noinlot = o.Noinlot,
							Vinno = o.Vinno,
							Winplandate = o.Winplandate,
							Winplantime = o.Winplantime,
							Winplandatetime = o.Winplandatetime,
							Woutplandate = o.Woutplandate,
							Woutplantime = o.Woutplantime,
							Woutplandatetime = o.Woutplandatetime,
							Tinplandate = o.Tinplandate,
							Tinplantime = o.Tinplantime,
							Tinplandatetime = o.Tinplandatetime,
							Toutplandate = o.Toutplandate,
							Toutplantime = o.Toutplantime,
							Toutplandatetime = o.Toutplandatetime,
							Ainplandate = o.Ainplandate,
							Ainplantime = o.Ainplantime,
							Ainplandatetime = o.Ainplandatetime,
							Aoutplandate = o.Aoutplandate,
							Aoutplantime = o.Aoutplantime,
							Aoutplandatetime = o.Aoutplandatetime,
							Lineoffdate = o.Lineoffdate,
							Lineofftime = o.Lineofftime,
							Lineoffdatetime = o.Lineoffdatetime,
							Pdidate = o.Pdidate,
							Pditime = o.Pditime,
							Pdidatetime = o.Pdidatetime,
							Isproject = o.Isproject,
							Vehicleid = o.Vehicleid,
							Indentline = o.Indentline,
							Colortype = o.Colortype,
							Engineid = o.Engineid,
							Goshicar = o.Goshicar,
							Salessfx = o.Salessfx,
							Ssno = o.Ssno,
							Transid = o.Transid,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_dapperRepo.ExecuteAsync(InvCkdInvoiceDetailsConsts.SP_MST_WPT_CALENDAR_GENERATE);
       // }
    }
}</v>
      </c>
      <c r="N68" s="58" t="str">
        <f>A.Backend!U7</f>
        <v xml:space="preserve">  configuration.CreateMap&lt;InvCkdInvoiceDetailsDto, InvCkdInvoiceDetails&gt;();
  configuration.CreateMap&lt;InvCkdInvoiceDetails, InvCkdInvoiceDetailsDto&gt;();
  configuration.CreateMap&lt;CreateOrEditInvCkdInvoiceDetailsDto, InvCkdInvoiceDetails&gt;();</v>
      </c>
    </row>
    <row r="69" spans="2:14" s="15" customFormat="1" ht="21.75" customHeight="1" x14ac:dyDescent="0.3">
      <c r="C69" s="60"/>
      <c r="H69" s="61"/>
      <c r="I69" s="61"/>
      <c r="M69" s="61"/>
    </row>
    <row r="70" spans="2:14" s="15" customFormat="1" ht="21.75" customHeight="1" x14ac:dyDescent="0.3"/>
    <row r="71" spans="2:14" s="15" customFormat="1" ht="21.75" customHeight="1" x14ac:dyDescent="0.3"/>
    <row r="72" spans="2:14" x14ac:dyDescent="0.3">
      <c r="B72" s="1" t="s">
        <v>70</v>
      </c>
    </row>
    <row r="73" spans="2:14" ht="21" x14ac:dyDescent="0.4">
      <c r="B73" t="str">
        <f>B.Frontend!B8</f>
        <v>invoicedetails</v>
      </c>
      <c r="C73" s="67" t="str">
        <f>"create folder " &amp;B73</f>
        <v>create folder invoicedetails</v>
      </c>
      <c r="D73" s="67"/>
      <c r="E73" s="67"/>
      <c r="F73" s="67"/>
      <c r="G73" s="67"/>
      <c r="H73" s="67"/>
      <c r="I73" s="67"/>
      <c r="J73" s="67"/>
      <c r="K73" s="68" t="s">
        <v>224</v>
      </c>
      <c r="L73" s="68"/>
      <c r="M73" s="28"/>
    </row>
    <row r="74" spans="2:14" s="26" customFormat="1" ht="18" customHeight="1" x14ac:dyDescent="0.3">
      <c r="B74" s="56" t="s">
        <v>225</v>
      </c>
      <c r="C74" s="28" t="str">
        <f>B.Frontend!H14</f>
        <v>invoicedetails.component.ts</v>
      </c>
      <c r="D74" s="28" t="str">
        <f>B.Frontend!I14</f>
        <v>invoicedetails.component.html</v>
      </c>
      <c r="E74" s="28" t="str">
        <f>B.Frontend!J14</f>
        <v>invoicedetails.component.less</v>
      </c>
      <c r="F74" s="28" t="str">
        <f>B.Frontend!K14</f>
        <v>create-or-edit-invoicedetails-modal.component.html</v>
      </c>
      <c r="G74" s="28" t="str">
        <f>B.Frontend!L14</f>
        <v>create-or-edit-invoicedetails-modal.component.ts</v>
      </c>
      <c r="H74" s="28" t="str">
        <f>B.Frontend!M14</f>
        <v>create-or-edit-invoicedetails-modal.component.less</v>
      </c>
      <c r="I74" s="28" t="str">
        <f>B.Frontend!N14</f>
        <v>invoicedetails.module.ts</v>
      </c>
      <c r="J74" s="28" t="str">
        <f>B.Frontend!O14</f>
        <v>invoicedetails-routing.module.ts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3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InvCkdInvoiceDetailsDto, InvCkdInvoiceDetailsServiceProxy } from '@shared/service-proxies/service-proxies';
import { finalize } from 'rxjs/internal/operators/finalize';
import { CreateOrEditInvoiceDetailsModalComponent } from './create-or-edit-invoicedetails-modal.component';
import { DatePipe } from '@angular/common';
import { FileDownloadService } from '@shared/utils/file-download.service';
import ceil from 'lodash-es/ceil';
import { Paginator } from 'primeng/paginator';
@Component({
    templateUrl: './invoicedetails.component.html',
    styleUrls: ['./invoicedetails.component.less'],
})
export class InvoiceDetailsComponent extends AppComponentBase implements OnInit {
    @ViewChild('createOrEditModalInvoiceDetails', { static: true }) createOrEditModalInvoiceDetails:| CreateOrEditInvoiceDetailsModalComponent|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InvCkdInvoiceDetailsDto = new InvCkdInvoiceDetailsDto();
    saveSelectedRow: InvCkdInvoiceDetailsDto = new InvCkdInvoiceDetailsDto();
    datas: InvCkdInvoiceDetailsDto = new InvCkdInvoiceDetailsDto();
    isLoading: boolean = false;
    dataParams: GridParams | undefined;
    rowData: any[] = [];
    gridApi!: GridApi;
    rowSelection = 'multiple';
    filter: string = '';
	pipe = new DatePipe('en-US');
	frameworkComponents: FrameworkComponent;
    	no
	prodline : string = '' ; 
	cfc : string = '' ; 
	model : string = '' ; 
	grade : string = '' ; 
	color : string = '' ; 
	bodyno : string = '' ; 
	lotno : string = '' ; 
	noinlot
	vinno : string = '' ; 
	winplandate
	winplantime
	winplandatetime
	woutplandate
	woutplantime
	woutplandatetime
	tinplandate
	tinplantime
	tinplandatetime
	toutplandate
	toutplantime
	toutplandatetime
	ainplandate
	ainplantime
	ainplandatetime
	aoutplandate
	aoutplantime
	aoutplandatetime
	lineoffdate
	lineofftime
	lineoffdatetime
	pdidate
	pditime
	pdidatetime
	isproject : string = '' ; 
	vehicleid : string = '' ; 
	indentline : string = '' ; 
	colortype : string = '' ; 
	engineid : string = '' ; 
	goshicar : string = '' ; 
	salessfx : string = '' ; 
	ssno : string = '' ; 
	transid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InvCkdInvoiceDetailsServiceProxy,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this.l('No'),headerTooltip: this.l('No'),field: 'no',flex: 1},
			{headerName: this.l('Prodline'),headerTooltip: this.l('Prodline'),field: 'prodline',flex: 1},
			{headerName: this.l('Cfc'),headerTooltip: this.l('Cfc'),field: 'cfc',flex: 1},
			{headerName: this.l('Model'),headerTooltip: this.l('Model'),field:  'model', cellClass: ['text-center'], width: 120, cellRenderer: 'agCellButtonComponent',
buttonDefTwo: { text: params =&gt; (params.data?.'model' == 'Y') ? 'Active' : 'Inactive',iconName: 'fa fa-circle',className: params =&gt; (params.data?.'model' == 'Y') ? 'btnActive' : 'btnInActive',},}
			{headerName: this.l('Grade'),headerTooltip: this.l('Grade'),field: 'grade',flex: 1},
			{headerName: this.l('Color'),headerTooltip: this.l('Color'),field: 'color',flex: 1},
			{headerName: this.l('Bodyno'),headerTooltip: this.l('Bodyno'),field: 'bodyno',flex: 1},
			{headerName: this.l('Lotno'),headerTooltip: this.l('Lotno'),field: 'lotno',flex: 1},
			{headerName: this.l('Noinlot'),headerTooltip: this.l('Noinlot'),field: 'noinlot',flex: 1},
			{headerName: this.l('Vinno'),headerTooltip: this.l('Vinno'),field: 'vinno',flex: 1},
			{headerName: this.l('Winplandate'),headerTooltip: this.l('Winplandate'),field: 'winplandate',flex: 1},
			{headerName: this.l('Winplantime'),headerTooltip: this.l('Winplantime'),field: 'winplantime',flex: 1},
			{headerName: this.l('Winplandatetime'),headerTooltip: this.l('Winplandatetime'),field: 'winplandatetime',flex: 1},
			{headerName: this.l('Woutplandate'),headerTooltip: this.l('Woutplandate'),field: 'woutplandate',flex: 1},
			{headerName: this.l('Woutplantime'),headerTooltip: this.l('Woutplantime'),field: 'woutplantime',flex: 1},
			{headerName: this.l('Woutplandatetime'),headerTooltip: this.l('Woutplandatetime'),field: 'woutplandatetime',flex: 1},
			{headerName: this.l('Tinplandate'),headerTooltip: this.l('Tinplandate'),field: 'tinplandate',flex: 1},
			{headerName: this.l('Tinplantime'),headerTooltip: this.l('Tinplantime'),field: 'tinplantime',flex: 1},
			{headerName: this.l('Tinplandatetime'),headerTooltip: this.l('Tinplandatetime'),field: 'tinplandatetime',flex: 1},
			{headerName: this.l('Toutplandate'),headerTooltip: this.l('Toutplandate'),field: 'toutplandate',flex: 1},
			{headerName: this.l('Toutplantime'),headerTooltip: this.l('Toutplantime'),field: 'toutplantime',flex: 1},
			{headerName: this.l('Toutplandatetime'),headerTooltip: this.l('Toutplandatetime'),field: 'toutplandatetime',flex: 1},
			{headerName: this.l('Ainplandate'),headerTooltip: this.l('Ainplandate'),field: 'ainplandate',flex: 1},
			{headerName: this.l('Ainplantime'),headerTooltip: this.l('Ainplantime'),field: 'ainplantime',flex: 1},
			{headerName: this.l('Ainplandatetime'),headerTooltip: this.l('Ainplandatetime'),field: 'ainplandatetime',flex: 1},
			{headerName: this.l('Aoutplandate'),headerTooltip: this.l('Aoutplandate'),field: 'aoutplandate',flex: 1},
			{headerName: this.l('Aoutplantime'),headerTooltip: this.l('Aoutplantime'),field: 'aoutplantime',flex: 1},
			{headerName: this.l('Aoutplandatetime'),headerTooltip: this.l('Aoutplandatetime'),field: 'aoutplandatetime',flex: 1},
			{headerName: this.l('Lineoffdate'),headerTooltip: this.l('Lineoffdate'),field: 'lineoffdate',flex: 1},
			{headerName: this.l('Lineofftime'),headerTooltip: this.l('Lineofftime'),field: 'lineofftime',flex: 1},
			{headerName: this.l('Lineoffdatetime'),headerTooltip: this.l('Lineoffdatetime'),field: 'lineoffdatetime',flex: 1},
			{headerName: this.l('Pdidate'),headerTooltip: this.l('Pdidate'),field: 'pdidate',flex: 1},
			{headerName: this.l('Pditime'),headerTooltip: this.l('Pditime'),field: 'pditime',flex: 1},
			{headerName: this.l('Pdidatetime'),headerTooltip: this.l('Pdidatetime'),field: 'pdidatetime',flex: 1},
			{headerName: this.l('Isproject'),headerTooltip: this.l('Isproject'),field:  'isproject', cellClass: ['text-center'], width: 120, cellRenderer: 'agCellButtonComponent',
buttonDefTwo: { text: params =&gt; (params.data?.'isproject' == 'Y') ? 'Active' : 'Inactive',iconName: 'fa fa-circle',className: params =&gt; (params.data?.'isproject' == 'Y') ? 'btnActive' : 'btnInActive',},}
			{headerName: this.l('Vehicleid'),headerTooltip: this.l('Vehicleid'),field: 'vehicleid',flex: 1},
			{headerName: this.l('Indentline'),headerTooltip: this.l('Indentline'),field: 'indentline',flex: 1},
			{headerName: this.l('Colortype'),headerTooltip: this.l('Colortype'),field: 'colortype',flex: 1},
			{headerName: this.l('Engineid'),headerTooltip: this.l('Engineid'),field: 'engineid',flex: 1},
			{headerName: this.l('Goshicar'),headerTooltip: this.l('Goshicar'),field:  'goshicar', cellClass: ['text-center'], width: 120, cellRenderer: 'agCellButtonComponent',
buttonDefTwo: { text: params =&gt; (params.data?.'goshicar' == 'Y') ? 'Active' : 'Inactive',iconName: 'fa fa-circle',className: params =&gt; (params.data?.'goshicar' == 'Y') ? 'btnActive' : 'btnInActive',},}
			{headerName: this.l('Salessfx'),headerTooltip: this.l('Salessfx'),field: 'salessfx',flex: 1},
			{headerName: this.l('Ssno'),headerTooltip: this.l('Ssno'),field: 'ssno',flex: 1},
			{headerName: this.l('Transid'),headerTooltip: this.l('Transid'),field: 'transid',flex: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this.no,
			this.prodline,
			this.cfc,
			this.model,
			this.grade,
			this.color,
			this.bodyno,
			this.lotno,
			this.noinlot,
			this.vinno,
			this.winplandate,
			this.winplantime,
			this.winplandatetime,
			this.woutplandate,
			this.woutplantime,
			this.woutplandatetime,
			this.tinplandate,
			this.tinplantime,
			this.tinplandatetime,
			this.toutplandate,
			this.toutplantime,
			this.toutplandatetime,
			this.ainplandate,
			this.ainplantime,
			this.ainplandatetime,
			this.aoutplandate,
			this.aoutplantime,
			this.aoutplandatetime,
			this.lineoffdate,
			this.lineofftime,
			this.lineoffdatetime,
			this.pdidate,
			this.pditime,
			this.pdidatetime,
			this.isproject,
			this.vehicleid,
			this.indentline,
			this.colortype,
			this.engineid,
			this.goshicar,
			this.salessfx,
			this.ssno,
			this.transid,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this.no = '',
		this.prodline = '',
		this.cfc = '',
		this.model = '',
		this.grade = '',
		this.color = '',
		this.bodyno = '',
		this.lotno = '',
		this.noinlot = '',
		this.vinno = '',
		this.winplandate = '',
		this.winplantime = '',
		this.winplandatetime = '',
		this.woutplandate = '',
		this.woutplantime = '',
		this.woutplandatetime = '',
		this.tinplandate = '',
		this.tinplantime = '',
		this.tinplandatetime = '',
		this.toutplandate = '',
		this.toutplantime = '',
		this.toutplandatetime = '',
		this.ainplandate = '',
		this.ainplantime = '',
		this.ainplandatetime = '',
		this.aoutplandate = '',
		this.aoutplantime = '',
		this.aoutplandatetime = '',
		this.lineoffdate = '',
		this.lineofftime = '',
		this.lineoffdatetime = '',
		this.pdidate = '',
		this.pditime = '',
		this.pdidatetime = '',
		this.isproject = '',
		this.vehicleid = '',
		this.indentline = '',
		this.colortype = '',
		this.engineid = '',
		this.goshicar = '',
		this.salessfx = '',
		this.ssno = '',
		this.transid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this.no,
			this.prodline,
			this.cfc,
			this.model,
			this.grade,
			this.color,
			this.bodyno,
			this.lotno,
			this.noinlot,
			this.vinno,
			this.winplandate,
			this.winplantime,
			this.winplandatetime,
			this.woutplandate,
			this.woutplantime,
			this.woutplandatetime,
			this.tinplandate,
			this.tinplantime,
			this.tinplandatetime,
			this.toutplandate,
			this.toutplantime,
			this.toutplandatetime,
			this.ainplandate,
			this.ainplantime,
			this.ainplandatetime,
			this.aoutplandate,
			this.aoutplantime,
			this.aoutplandatetime,
			this.lineoffdate,
			this.lineofftime,
			this.lineoffdatetime,
			this.pdidate,
			this.pditime,
			this.pdidatetime,
			this.isproject,
			this.vehicleid,
			this.indentline,
			this.colortype,
			this.engineid,
			this.goshicar,
			this.salessfx,
			this.ssno,
			this.transid,
			'',
            this.paginationParams.skipCount,
            this.paginationParams.pageSize
        );
    }
    onChangeRowSelection(params: { api: { getSelectedRows: () =&gt; InvCkdInvoiceDetailsDto[] } }) {
        this.saveSelectedRow = params.api.getSelectedRows()[0] ?? new InvCkdInvoiceDetailsDto();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InvCkdInvoiceDetailsDto):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this._service.getInvoiceDetailsToExcel(
			this.no,
			this.prodline,
			this.cfc,
			this.model,
			this.grade,
			this.color,
			this.bodyno,
			this.lotno,
			this.noinlot,
			this.vinno,
			this.winplandate,
			this.winplantime,
			this.winplandatetime,
			this.woutplandate,
			this.woutplantime,
			this.woutplandatetime,
			this.tinplandate,
			this.tinplantime,
			this.tinplandatetime,
			this.toutplandate,
			this.toutplantime,
			this.toutplandatetime,
			this.ainplandate,
			this.ainplantime,
			this.ainplandatetime,
			this.aoutplandate,
			this.aoutplantime,
			this.aoutplandatetime,
			this.lineoffdate,
			this.lineofftime,
			this.lineoffdatetime,
			this.pdidate,
			this.pditime,
			this.pdidatetime,
			this.isproject,
			this.vehicleid,
			this.indentline,
			this.colortype,
			this.engineid,
			this.goshicar,
			this.salessfx,
			this.ssno,
			this.transid,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Invoice Details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[(ngModel)]='prodline' name='prodline'
									class='form-control' [placeholder]="l('Prodline')"
									type='text' (keyup.enter)='searchDatas()'&gt;
								&lt;/div&gt;
								&lt;div class='input-search'&gt;
									&lt;input [(ngModel)]='cfc' name='cfc'
									class='form-control' [placeholder]="l('Cfc')"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[(ngModel)]='bodyno' name='bodyno'
									class='form-control' [placeholder]="l('Bodyno')"
									type='text' (keyup.enter)='searchDatas()'&gt;
								&lt;/div&gt;
								&lt;div class='input-search'&gt;
									&lt;input [(ngModel)]='lotno' name='lotno'
									class='form-control' [placeholder]="l('Lotno')"
									type='text' (keyup.enter)='searchDatas()'&gt;
								&lt;/div&gt;
								&lt;div class='input-search'&gt;
									&lt;input [(ngModel)]='vinno' name='vinno'
									class='form-control' [placeholder]="l('Vinno')"
									type='text' (keyup.enter)='searchDatas()'&gt;
								&lt;/div&gt;
								&lt;div class='input-search'&gt;
									&lt;input [(ngModel)]='isproject' name='isproject'
									class='form-control' [placeholder]="l('Isproject')"
									type='text' (keyup.enter)='searchDatas()'&gt;
								&lt;/div&gt;
								&lt;div class='input-search'&gt;
									&lt;input [(ngModel)]='vehicleid' name='vehicleid'
									class='form-control' [placeholder]="l('Vehicleid')"
									type='text' (keyup.enter)='searchDatas()'&gt;
								&lt;/div&gt;
								&lt;div class='input-search'&gt;
									&lt;input [(ngModel)]='indentline' name='indentline'
									class='form-control' [placeholder]="l('Indentline')"
									type='text' (keyup.enter)='searchDatas()'&gt;
								&lt;/div&gt;
								&lt;div class='input-search'&gt;
									&lt;input [(ngModel)]='colortype' name='colortype'
									class='form-control' [placeholder]="l('Colortype')"
									type='text' (keyup.enter)='searchDatas()'&gt;
								&lt;/div&gt;
								&lt;div class='input-search'&gt;
									&lt;input [(ngModel)]='engineid' name='engineid'
									class='form-control' [placeholder]="l('Engineid')"
									type='text' (keyup.enter)='searchDatas()'&gt;
								&lt;/div&gt;
								&lt;div class='input-search'&gt;
									&lt;input [(ngModel)]='goshicar' name='goshicar'
									class='form-control' [placeholder]="l('Goshicar')"
									type='text' (keyup.enter)='searchDatas()'&gt;
								&lt;/div&gt;
								&lt;div class='input-search'&gt;
									&lt;input [(ngModel)]='salessfx' name='salessfx'
									class='form-control' [placeholder]="l('Salessfx')"
									type='text' (keyup.enter)='searchDatas()'&gt;
								&lt;/div&gt;
								&lt;div class='input-search'&gt;
									&lt;input [(ngModel)]='ssno' name='ssno'
									class='form-control' [placeholder]="l('Ssno')"
									type='text' (keyup.enter)='searchDatas()'&gt;
								&lt;/div&gt;
								&lt;div class='input-search'&gt;
									&lt;input [(ngModel)]='transid' name='transid'
									class='form-control' [placeholder]="l('Transid')"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(click)="createOrEditModalInvoiceDetails.show()"&gt;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(click)="createOrEditModalInvoiceDetails.show(selectedRow)"&gt;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&lt;create-or-edit-invoicedetails-modal
    #createOrEditModalInvoiceDetails
    (modalSave)="callBackDataGrid(dataParams)"
    (modalClose)="onChangeRowSelection(dataParams)"
&gt;
&lt;/create-or-edit-invoicedetails-modal&gt;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#createOrEditModalInvoiceDetails="bs-modal"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InvoiceDetails')}}&lt;/h3&gt;
                    &lt;h3 *ngIf="!rowdata.id"&gt;{{('Create New InvoiceDetails')}}&lt;/h3&gt;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title'&gt;Prodline&lt;/label&gt;
						&lt;input type='text' class='col-md-10 form-control input-text' name='Prodline' [(ngModel)]='rowdata.prodline'&gt;
					&lt;/div&gt;
					&lt;div class='col-md-12 form-group row'&gt;
						&lt;label class='col-md-2 form-control title'&gt;Cfc&lt;/label&gt;
						&lt;input type='text' class='col-md-10 form-control input-text' name='Cfc' [(ngModel)]='rowdata.cfc'&gt;
					&lt;/div&gt;
					&lt;div class='col-md-12 form-group row'&gt;
						&lt;label class='col-md-2 form-control title'&gt;Model&lt;/label&gt;
						&lt;new-checkbox [(ngModel)]='_model' name='model' className='col-md-10' &gt; &lt;/new-checkbox&gt;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title'&gt;Bodyno&lt;/label&gt;
						&lt;input type='text' class='col-md-10 form-control input-text' name='Bodyno' [(ngModel)]='rowdata.bodyno'&gt;
					&lt;/div&gt;
					&lt;div class='col-md-12 form-group row'&gt;
						&lt;label class='col-md-2 form-control title'&gt;Lotno&lt;/label&gt;
						&lt;input type='text' class='col-md-10 form-control input-text' name='Lotno' [(ngModel)]='rowdata.lotno'&gt;
					&lt;/div&gt;
					&lt;div class='col-md-12 form-group row'&gt;
						&lt;label class='col-md-2 form-control title'&gt;Vinno&lt;/label&gt;
						&lt;input type='text' class='col-md-10 form-control input-text' name='Vinno' [(ngModel)]='rowdata.vinno'&gt;
					&lt;/div&gt;
					&lt;div class='col-md-12 form-group row'&gt;
						&lt;label class='col-md-2 form-control title'&gt;Isproject&lt;/label&gt;
						&lt;new-checkbox [(ngModel)]='_isproject' name='isproject' className='col-md-10' &gt; &lt;/new-checkbox&gt;
					&lt;/div&gt;
					&lt;div class='col-md-12 form-group row'&gt;
						&lt;label class='col-md-2 form-control title'&gt;Vehicleid&lt;/label&gt;
						&lt;input type='text' class='col-md-10 form-control input-text' name='Vehicleid' [(ngModel)]='rowdata.vehicleid'&gt;
					&lt;/div&gt;
					&lt;div class='col-md-12 form-group row'&gt;
						&lt;label class='col-md-2 form-control title'&gt;Indentline&lt;/label&gt;
						&lt;input type='text' class='col-md-10 form-control input-text' name='Indentline' [(ngModel)]='rowdata.indentline'&gt;
					&lt;/div&gt;
					&lt;div class='col-md-12 form-group row'&gt;
						&lt;label class='col-md-2 form-control title'&gt;Colortype&lt;/label&gt;
						&lt;input type='text' class='col-md-10 form-control input-text' name='Colortype' [(ngModel)]='rowdata.colortype'&gt;
					&lt;/div&gt;
					&lt;div class='col-md-12 form-group row'&gt;
						&lt;label class='col-md-2 form-control title'&gt;Engineid&lt;/label&gt;
						&lt;input type='text' class='col-md-10 form-control input-text' name='Engineid' [(ngModel)]='rowdata.engineid'&gt;
					&lt;/div&gt;
					&lt;div class='col-md-12 form-group row'&gt;
						&lt;label class='col-md-2 form-control title'&gt;Goshicar&lt;/label&gt;
						&lt;new-checkbox [(ngModel)]='_goshicar' name='goshicar' className='col-md-10' &gt; &lt;/new-checkbox&gt;
					&lt;/div&gt;
					&lt;div class='col-md-12 form-group row'&gt;
						&lt;label class='col-md-2 form-control title'&gt;Salessfx&lt;/label&gt;
						&lt;input type='text' class='col-md-10 form-control input-text' name='Salessfx' [(ngModel)]='rowdata.salessfx'&gt;
					&lt;/div&gt;
					&lt;div class='col-md-12 form-group row'&gt;
						&lt;label class='col-md-2 form-control title'&gt;Ssno&lt;/label&gt;
						&lt;input type='text' class='col-md-10 form-control input-text' name='Ssno' [(ngModel)]='rowdata.ssno'&gt;
					&lt;/div&gt;
					&lt;div class='col-md-12 form-group row'&gt;
						&lt;label class='col-md-2 form-control title'&gt;Transid&lt;/label&gt;
						&lt;input type='text' class='col-md-10 form-control input-text' name='Transid' [(ngModel)]='rowdata.transid'&gt;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CreateOrEditInvCkdInvoiceDetailsDto, InvCkdInvoiceDetailsServiceProxy } from '@shared/service-proxies/service-proxies';
import { BsDatepickerDirective } from 'ngx-bootstrap/datepicker';
@Component({
    selector: 'create-or-edit-invoicedetails-modal',
    templateUrl: './create-or-edit-invoicedetails-modal.component.html',
    styleUrls: ['./create-or-edit-invoicedetails-modal.component.less']
    })
export class CreateOrEditInvoiceDetailsModalComponent extends AppComponentBase {
    @ViewChild('createOrEditModalInvoiceDetails',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CreateOrEditInvCkdInvoiceDetailsDto = new CreateOrEditInvCkdInvoiceDetailsDto();
    active: boolean = false;
    saving: boolean = false;
    _model
isproject
goshicar
: boolean;
    constructor(
        injector: Injector,
        private _mstwptInvoiceDetailsService: InvCkdInvoiceDetailsServiceProxy,
    ) 
    {
        super(injector);
    }
    show(rowdata?: CreateOrEditInvCkdInvoiceDetailsDto): void {
        if (!rowdata) this.rowdata = new CreateOrEditInvCkdInvoiceDetailsDto();
        else this.rowdata = rowdata;
        this._model
isproject
goshicar
 = (this.rowdata.model
isproject
goshicar
 == "N")? false: true;
        this.active = true;
        this.modal.show();
    } 
    changeActive(event){
        this._model
isproject
goshicar
 = event.target.checked;
    }
    save(): void {
    this.saving = true; 
    this.rowdata.model
isproject
goshicar
 = (this._model
isproject
goshicar
 == true) ? 'Y' : 'N'
    this._mstwptInvoiceDetailsService.createOrEdit(this.rowdata)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InvoiceDetailsRoutingModule } from './invoicedetails-routing.module';
import { InvoiceDetailsComponent } from './invoicedetails.component';
import { CreateOrEditInvoiceDetailsModalComponent } from './create-or-edit-invoicedetails-modal.component';
@NgModule({
    declarations: [
       InvoiceDetailsComponent, 
        CreateOrEditInvoiceDetailsModalComponent
    ],
    imports: [
        AppSharedModule, InvoiceDetailsRoutingModule]
})
export class InvoiceDetailsModule {}</v>
      </c>
      <c r="J75" s="46" t="str">
        <f>B.Frontend!O10</f>
        <v>import {NgModule} from '@angular/core';
import {RouterModule, Routes} from '@angular/router';
import { InvoiceDetailsComponent } from './invoicedetails.component';
const routes: Routes = [{
    path: '',
    component: InvoiceDetailsComponent,
    pathMatch: 'full'
}];
@NgModule({
    imports: [RouterModule.forChild(routes)],
    exports: [RouterModule],
})
export class InvoiceDetailsRoutingModule {}</v>
      </c>
      <c r="K75" s="46" t="str">
        <f>B.Frontend!P10</f>
        <v xml:space="preserve"> new AppMenuItem("InvoiceDetails", "Pages.Inventory.CKD.InvoiceDetails", "flaticon-book",   "/app/main/inventory/ckd/invoicedetails"),</v>
      </c>
      <c r="L75" s="47" t="str">
        <f>B.Frontend!Q10</f>
        <v>{
    path: 'inventory/ckd/invoicedetails',
    loadChildren: () =&gt; import('./inventory/ckd/invoicedetails/invoicedetails.module').then(m =&gt; m.InvoiceDetailsModule),
    data: { permission: 'Pages.Inventory.CKD.InvoiceDetails' }
},</v>
      </c>
      <c r="M75" s="45" t="str">
        <f>B.Frontend!R10</f>
        <v>ApiServiceProxies.InvCkdInvoiceDetailsServiceProxy,</v>
      </c>
    </row>
    <row r="77" spans="2:14" x14ac:dyDescent="0.3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53"/>
  <sheetViews>
    <sheetView topLeftCell="A40" workbookViewId="0">
      <pane xSplit="1" topLeftCell="B1" activePane="topRight" state="frozen"/>
      <selection pane="topRight" activeCell="C63" sqref="C63"/>
    </sheetView>
  </sheetViews>
  <sheetFormatPr defaultColWidth="9.21875" defaultRowHeight="14.4" x14ac:dyDescent="0.3"/>
  <cols>
    <col min="1" max="1" width="20.77734375" style="7" customWidth="1"/>
    <col min="2" max="2" width="20.44140625" style="8" customWidth="1"/>
    <col min="3" max="3" width="19.44140625" style="7" customWidth="1"/>
    <col min="4" max="4" width="23.44140625" style="7" customWidth="1"/>
    <col min="5" max="5" width="14.44140625" style="7" customWidth="1"/>
    <col min="6" max="6" width="14.77734375" style="7" customWidth="1"/>
    <col min="7" max="7" width="17.21875" style="7" bestFit="1" customWidth="1"/>
    <col min="8" max="8" width="15" style="7" customWidth="1"/>
    <col min="9" max="9" width="16" style="7" customWidth="1"/>
    <col min="10" max="10" width="15.77734375" style="7" customWidth="1"/>
    <col min="11" max="11" width="16" style="7" customWidth="1"/>
    <col min="12" max="12" width="16.77734375" style="7" customWidth="1"/>
    <col min="13" max="13" width="17.44140625" style="7" customWidth="1"/>
    <col min="14" max="14" width="16.21875" style="7" customWidth="1"/>
    <col min="15" max="15" width="14.77734375" style="7" customWidth="1"/>
    <col min="16" max="16" width="16" style="7" customWidth="1"/>
    <col min="17" max="17" width="15.77734375" style="7" customWidth="1"/>
    <col min="18" max="18" width="19.44140625" style="7" customWidth="1"/>
    <col min="19" max="19" width="20.44140625" style="7" customWidth="1"/>
    <col min="20" max="20" width="17" style="7" customWidth="1"/>
    <col min="21" max="21" width="14" style="7" customWidth="1"/>
    <col min="22" max="22" width="15.21875" style="7" customWidth="1"/>
    <col min="23" max="23" width="27.77734375" style="8" customWidth="1"/>
    <col min="24" max="16384" width="9.21875" style="7"/>
  </cols>
  <sheetData>
    <row r="1" spans="1:23" s="10" customFormat="1" ht="14.25" customHeight="1" x14ac:dyDescent="0.3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vovina.Inventory.CKD.Dto;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3">
      <c r="A2" s="1" t="s">
        <v>12</v>
      </c>
      <c r="B2" s="27" t="s">
        <v>348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3">
      <c r="A3" s="1" t="s">
        <v>5</v>
      </c>
      <c r="B3" s="27" t="s">
        <v>355</v>
      </c>
      <c r="C3" s="9" t="s">
        <v>41</v>
      </c>
      <c r="D3" s="9" t="s">
        <v>42</v>
      </c>
      <c r="E3" s="9" t="s">
        <v>37</v>
      </c>
      <c r="F3" s="10" t="str">
        <f>"J"&amp;COUNTA($A:$A)</f>
        <v>J51</v>
      </c>
      <c r="G3" s="4" t="s">
        <v>54</v>
      </c>
      <c r="H3" s="9" t="str">
        <f>"I"&amp;COUNTA($A:$A)</f>
        <v>I51</v>
      </c>
      <c r="I3" s="9" t="str">
        <f>REPT(CHAR(9),2)&amp;"[Required]"&amp;"
"</f>
        <v xml:space="preserve">		[Required]
</v>
      </c>
      <c r="J3" s="10" t="str">
        <f>"L"&amp;COUNTA($A:$A)</f>
        <v>L51</v>
      </c>
      <c r="K3" s="5" t="s">
        <v>53</v>
      </c>
      <c r="L3" s="10" t="str">
        <f>"M"&amp;COUNTA($A:$A)</f>
        <v>M51</v>
      </c>
      <c r="M3" s="10" t="str">
        <f>"N"&amp;COUNTA($A:$A)</f>
        <v>N51</v>
      </c>
      <c r="N3" s="10" t="str">
        <f>"O"&amp;COUNTA($A:$A)</f>
        <v>O51</v>
      </c>
      <c r="O3" s="10" t="str">
        <f>"P"&amp;COUNTA($A:$A)</f>
        <v>P51</v>
      </c>
      <c r="Q3" s="10" t="str">
        <f>RIGHT(B2,(LEN(B2)-FIND(".",B2,1)))</f>
        <v>CKD</v>
      </c>
      <c r="R3" s="29" t="str">
        <f>REPT(CHAR(9),1)&amp;"public class "&amp;B3&amp;"ExportInput"&amp;C3</f>
        <v xml:space="preserve">	public class InvCkdInvoiceDetailsExportInput{
</v>
      </c>
      <c r="S3" s="10" t="str">
        <f>"namespace "&amp;$B$6&amp;".Exporting
"&amp;$C$3</f>
        <v xml:space="preserve">namespace prod.Inventory.CKD.Exporting
{
</v>
      </c>
      <c r="T3" s="10" t="str">
        <f>"T"&amp;COUNTA($A:$A)</f>
        <v>T51</v>
      </c>
      <c r="V3" s="10" t="str">
        <f>"V"&amp;COUNTA($A:$A)</f>
        <v>V51</v>
      </c>
      <c r="W3" s="9" t="str">
        <f>"W"&amp;COUNTA($A:$A)</f>
        <v>W51</v>
      </c>
    </row>
    <row r="4" spans="1:23" s="10" customFormat="1" ht="33" customHeight="1" x14ac:dyDescent="0.3">
      <c r="A4" s="1" t="s">
        <v>233</v>
      </c>
      <c r="B4" s="65" t="s">
        <v>319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3">
      <c r="A5" s="1" t="s">
        <v>234</v>
      </c>
      <c r="B5" s="65" t="s">
        <v>356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5.05" customHeight="1" x14ac:dyDescent="0.3">
      <c r="A6" s="1" t="s">
        <v>6</v>
      </c>
      <c r="B6" s="9" t="str">
        <f>"prod."&amp;B2</f>
        <v>prod.Inventory.CKD</v>
      </c>
      <c r="C6" s="10" t="str">
        <f>"namespace "&amp;$B$6&amp;"
"&amp;$C$3</f>
        <v xml:space="preserve">namespace prod.Inventory.CKD
{
</v>
      </c>
      <c r="D6" s="10" t="str">
        <f>REPT(CHAR(9),1)&amp;"public class "&amp;B3&amp;G3&amp;REPT(CHAR(9),1)&amp;"
"&amp;REPT(CHAR(9),1)&amp;C3</f>
        <v xml:space="preserve">	public class InvCkdInvoiceDetails: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InvCkdInvoiceDetailsConsts	
	{
</v>
      </c>
      <c r="F6" s="10" t="str">
        <f>REPT(CHAR(9),1)&amp;"public class "&amp;B3&amp;"Dto"&amp;K3&amp;REPT(CHAR(9),1)&amp;"
"&amp;REPT(CHAR(9),1)&amp;C3</f>
        <v xml:space="preserve">	public class InvCkdInvoiceDetailsDto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CreateOrEditInvCkdInvoiceDetailsDto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GetInvCkdInvoiceDetailsInput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5.05" customHeight="1" x14ac:dyDescent="0.3">
      <c r="A7" s="1" t="s">
        <v>13</v>
      </c>
      <c r="B7" s="9" t="str">
        <f>B3</f>
        <v>InvCkdInvoiceDetails</v>
      </c>
      <c r="C7" s="10" t="str">
        <f>REPT(CHAR(9),1)&amp;"[Table("""&amp;B7&amp;""")]"&amp;"
"</f>
        <v xml:space="preserve">	[Table("InvCkdInvoiceDetails")]
</v>
      </c>
      <c r="D7" s="10"/>
      <c r="E7" s="10"/>
      <c r="F7" s="10"/>
      <c r="G7" s="10"/>
      <c r="H7" s="10"/>
      <c r="I7" s="10"/>
      <c r="J7" t="str">
        <f ca="1">SUBSTITUTE(SUBSTITUTE((B1&amp;C6&amp;C7&amp;K53&amp;D6&amp;I53&amp;E3&amp;J53&amp;""&amp;REPT(CHAR(9),1)&amp;D3&amp;D3),"WorkingPattern",$Q$3),"Master",$B$4)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[Table("InvCkdInvoiceDetails")]
	public class InvCkdInvoiceDetails: FullAuditedEntity&lt;long&gt;, IEntity&lt;long&gt;	
	{
		public const int MaxProdlineLength = 2;
		public const int MaxCfcLength = 4;
		public const int MaxModelLength = 1;
		public const int MaxGradeLength = 2;
		public const int MaxColorLength = 20;
		public const int MaxBodynoLength = 10;
		public const int MaxLotnoLength = 20;
		public const int MaxVinnoLength = 17;
		public const int MaxIsprojectLength = 1;
		public const int MaxVehicleidLength = 10;
		public const int MaxIndentlineLength = 3;
		public const int MaxColortypeLength = 4;
		public const int MaxEngineidLength = 12;
		public const int MaxGoshicarLength = 1;
		public const int MaxSalessfxLength = 2;
		public const int MaxSsnoLength = 2;
		public const int MaxTransidLength = 18;
		public virtual long? No { get; set; }
		[StringLength(MaxProdlineLength)]
		public virtual string Prodline { get; set; }
		[StringLength(MaxCfcLength)]
		public virtual string Cfc { get; set; }
		[StringLength(MaxModelLength)]
		public virtual string Model { get; set; }
		[StringLength(MaxGradeLength)]
		public virtual string Grade { get; set; }
		[StringLength(MaxColorLength)]
		public virtual string Color { get; set; }
		[StringLength(MaxBodynoLength)]
		public virtual string Bodyno { get; set; }
		[StringLength(MaxLotnoLength)]
		public virtual string Lotno { get; set; }
		public virtual int? Noinlot { get; set; }
		[StringLength(MaxVinnoLength)]
		public virtual string Vinno { get; set; }
		public virtual DateTime? Winplandate { get; set; }
		public virtual TimeSpan? Winplantime { get; set; }
		public virtual DateTime? Winplandatetime { get; set; }
		public virtual DateTime? Woutplandate { get; set; }
		public virtual TimeSpan? Woutplantime { get; set; }
		public virtual DateTime? Woutplandatetime { get; set; }
		public virtual DateTime? Tinplandate { get; set; }
		public virtual TimeSpan? Tinplantime { get; set; }
		public virtual DateTime? Tinplandatetime { get; set; }
		public virtual DateTime? Toutplandate { get; set; }
		public virtual TimeSpan? Toutplantime { get; set; }
		public virtual DateTime? Toutplandatetime { get; set; }
		public virtual DateTime? Ainplandate { get; set; }
		public virtual TimeSpan? Ainplantime { get; set; }
		public virtual DateTime? Ainplandatetime { get; set; }
		public virtual DateTime? Aoutplandate { get; set; }
		public virtual TimeSpan? Aoutplantime { get; set; }
		public virtual DateTime? Aoutplandatetime { get; set; }
		public virtual DateTime? Lineoffdate { get; set; }
		public virtual TimeSpan? Lineofftime { get; set; }
		public virtual DateTime? Lineoffdatetime { get; set; }
		public virtual DateTime? Pdidate { get; set; }
		public virtual TimeSpan? Pditime { get; set; }
		public virtual DateTime? Pdidatetime { get; set; }
		[StringLength(MaxIsprojectLength)]
		public virtual string Isproject { get; set; }
		[StringLength(MaxVehicleidLength)]
		public virtual string Vehicleid { get; set; }
		[StringLength(MaxIndentlineLength)]
		public virtual string Indentline { get; set; }
		[StringLength(MaxColortypeLength)]
		public virtual string Colortype { get; set; }
		[StringLength(MaxEngineidLength)]
		public virtual string Engineid { get; set; }
		[StringLength(MaxGoshicarLength)]
		public virtual string Goshicar { get; set; }
		[StringLength(MaxSalessfxLength)]
		public virtual string Salessfx { get; set; }
		[StringLength(MaxSsnoLength)]
		public virtual string Ssno { get; set; }
		[StringLength(MaxTransidLength)]
		public virtual string Transid { get; set; }
	}
}
</v>
      </c>
      <c r="K7" t="str">
        <f>SUBSTITUTE(SUBSTITUTE(("public virtual DbSet&lt;"&amp;B3&amp;"&gt; "&amp;B3&amp;"s { get; set; }"),"WorkingPattern",$Q$3),"Master",$B$4)</f>
        <v>public virtual DbSet&lt;InvCkdInvoiceDetails&gt; InvCkdInvoiceDetailss { get; set; }</v>
      </c>
      <c r="L7" t="str">
        <f ca="1">SUBSTITUTE(SUBSTITUTE((C6&amp;E6&amp;I53&amp;"
"&amp;REPT(CHAR(9),2)&amp;"// Define Store Name: Format SP_ + &lt;Store Name&gt; = &lt;Store Name&gt;
"&amp;E3&amp;REPT(CHAR(9),1)&amp;D3&amp;D3),"WorkingPattern",$Q$3),"Master",$B$4)</f>
        <v xml:space="preserve">namespace prod.Inventory.CKD
{
	public class InvCkdInvoiceDetailsConsts	
	{
		public const int MaxProdlineLength = 2;
		public const int MaxCfcLength = 4;
		public const int MaxModelLength = 1;
		public const int MaxGradeLength = 2;
		public const int MaxColorLength = 20;
		public const int MaxBodynoLength = 10;
		public const int MaxLotnoLength = 20;
		public const int MaxVinnoLength = 17;
		public const int MaxIsprojectLength = 1;
		public const int MaxVehicleidLength = 10;
		public const int MaxIndentlineLength = 3;
		public const int MaxColortypeLength = 4;
		public const int MaxEngineidLength = 12;
		public const int MaxGoshicarLength = 1;
		public const int MaxSalessfxLength = 2;
		public const int MaxSsnoLength = 2;
		public const int MaxTransidLength = 18;
		// Define Store Name: Format SP_ + &lt;Store Name&gt; = &lt;Store Name&gt;
	}
}
</v>
      </c>
      <c r="M7" t="str">
        <f ca="1">SUBSTITUTE(SUBSTITUTE((C1&amp;"namespace "&amp;B6&amp;".Dto"&amp;E3&amp;C3&amp;F6&amp;M53&amp;E3&amp;REPT(CHAR(9),1)&amp;D3&amp;G6&amp;N53&amp;REPT(CHAR(9),1)&amp;D3&amp;H6&amp;O53&amp;"
"&amp;REPT(CHAR(9),1)&amp;D3&amp;D3),"WorkingPattern",$Q$3),"Master",$B$4)</f>
        <v xml:space="preserve">using Abp.Application.Services.Dto;
using System;
using System.ComponentModel.DataAnnotations;
namespace prod.Inventory.CKD.Dto
{
	public class InvCkdInvoiceDetailsDto : EntityDto&lt;long?&gt;	
	{
		public virtual long? No { get; set; }
		public virtual string Prodline { get; set; }
		public virtual string Cfc { get; set; }
		public virtual string Model { get; set; }
		public virtual string Grade { get; set; }
		public virtual string Color { get; set; }
		public virtual string Bodyno { get; set; }
		public virtual string Lotno { get; set; }
		public virtual int? Noinlot { get; set; }
		public virtual string Vinno { get; set; }
		public virtual DateTime? Winplandate { get; set; }
		public virtual TimeSpan? Winplantime { get; set; }
		public virtual DateTime? Winplandatetime { get; set; }
		public virtual DateTime? Woutplandate { get; set; }
		public virtual TimeSpan? Woutplantime { get; set; }
		public virtual DateTime? Woutplandatetime { get; set; }
		public virtual DateTime? Tinplandate { get; set; }
		public virtual TimeSpan? Tinplantime { get; set; }
		public virtual DateTime? Tinplandatetime { get; set; }
		public virtual DateTime? Toutplandate { get; set; }
		public virtual TimeSpan? Toutplantime { get; set; }
		public virtual DateTime? Toutplandatetime { get; set; }
		public virtual DateTime? Ainplandate { get; set; }
		public virtual TimeSpan? Ainplantime { get; set; }
		public virtual DateTime? Ainplandatetime { get; set; }
		public virtual DateTime? Aoutplandate { get; set; }
		public virtual TimeSpan? Aoutplantime { get; set; }
		public virtual DateTime? Aoutplandatetime { get; set; }
		public virtual DateTime? Lineoffdate { get; set; }
		public virtual TimeSpan? Lineofftime { get; set; }
		public virtual DateTime? Lineoffdatetime { get; set; }
		public virtual DateTime? Pdidate { get; set; }
		public virtual TimeSpan? Pditime { get; set; }
		public virtual DateTime? Pdidatetime { get; set; }
		public virtual string Isproject { get; set; }
		public virtual string Vehicleid { get; set; }
		public virtual string Indentline { get; set; }
		public virtual string Colortype { get; set; }
		public virtual string Engineid { get; set; }
		public virtual string Goshicar { get; set; }
		public virtual string Salessfx { get; set; }
		public virtual string Ssno { get; set; }
		public virtual string Transid { get; set; }
	}
	public class CreateOrEditInvCkdInvoiceDetailsDto : EntityDto&lt;long?&gt;	
	{
		public virtual long? No { get; set; }
		[StringLength(InvCkdInvoiceDetailsConsts.MaxProdlineLength)]
		public virtual string Prodline { get; set; }
		[StringLength(InvCkdInvoiceDetailsConsts.MaxCfcLength)]
		public virtual string Cfc { get; set; }
		[StringLength(InvCkdInvoiceDetailsConsts.MaxModelLength)]
		public virtual string Model { get; set; }
		[StringLength(InvCkdInvoiceDetailsConsts.MaxGradeLength)]
		public virtual string Grade { get; set; }
		[StringLength(InvCkdInvoiceDetailsConsts.MaxColorLength)]
		public virtual string Color { get; set; }
		[StringLength(InvCkdInvoiceDetailsConsts.MaxBodynoLength)]
		public virtual string Bodyno { get; set; }
		[StringLength(InvCkdInvoiceDetailsConsts.MaxLotnoLength)]
		public virtual string Lotno { get; set; }
		public virtual int? Noinlot { get; set; }
		[StringLength(InvCkdInvoiceDetailsConsts.MaxVinnoLength)]
		public virtual string Vinno { get; set; }
		public virtual DateTime? Winplandate { get; set; }
		public virtual TimeSpan? Winplantime { get; set; }
		public virtual DateTime? Winplandatetime { get; set; }
		public virtual DateTime? Woutplandate { get; set; }
		public virtual TimeSpan? Woutplantime { get; set; }
		public virtual DateTime? Woutplandatetime { get; set; }
		public virtual DateTime? Tinplandate { get; set; }
		public virtual TimeSpan? Tinplantime { get; set; }
		public virtual DateTime? Tinplandatetime { get; set; }
		public virtual DateTime? Toutplandate { get; set; }
		public virtual TimeSpan? Toutplantime { get; set; }
		public virtual DateTime? Toutplandatetime { get; set; }
		public virtual DateTime? Ainplandate { get; set; }
		public virtual TimeSpan? Ainplantime { get; set; }
		public virtual DateTime? Ainplandatetime { get; set; }
		public virtual DateTime? Aoutplandate { get; set; }
		public virtual TimeSpan? Aoutplantime { get; set; }
		public virtual DateTime? Aoutplandatetime { get; set; }
		public virtual DateTime? Lineoffdate { get; set; }
		public virtual TimeSpan? Lineofftime { get; set; }
		public virtual DateTime? Lineoffdatetime { get; set; }
		public virtual DateTime? Pdidate { get; set; }
		public virtual TimeSpan? Pditime { get; set; }
		public virtual DateTime? Pdidatetime { get; set; }
		[StringLength(InvCkdInvoiceDetailsConsts.MaxIsprojectLength)]
		public virtual string Isproject { get; set; }
		[StringLength(InvCkdInvoiceDetailsConsts.MaxVehicleidLength)]
		public virtual string Vehicleid { get; set; }
		[StringLength(InvCkdInvoiceDetailsConsts.MaxIndentlineLength)]
		public virtual string Indentline { get; set; }
		[StringLength(InvCkdInvoiceDetailsConsts.MaxColortypeLength)]
		public virtual string Colortype { get; set; }
		[StringLength(InvCkdInvoiceDetailsConsts.MaxEngineidLength)]
		public virtual string Engineid { get; set; }
		[StringLength(InvCkdInvoiceDetailsConsts.MaxGoshicarLength)]
		public virtual string Goshicar { get; set; }
		[StringLength(InvCkdInvoiceDetailsConsts.MaxSalessfxLength)]
		public virtual string Salessfx { get; set; }
		[StringLength(InvCkdInvoiceDetailsConsts.MaxSsnoLength)]
		public virtual string Ssno { get; set; }
		[StringLength(InvCkdInvoiceDetailsConsts.MaxTransidLength)]
		public virtual string Transid { get; set; }
	}
	public class GetInvCkdInvoiceDetailsInput : PagedAndSortedResultRequestDto	
	{
		public virtual string Prodline { get; set; }
		public virtual string Cfc { get; set; }
		public virtual string Model { get; set; }
		public virtual string Grade { get; set; }
		public virtual string Color { get; set; }
		public virtual string Bodyno { get; set; }
		public virtual string Lotno { get; set; }
		public virtual string Vinno { get; set; }
		public virtual string Isproject { get; set; }
		public virtual string Vehicleid { get; set; }
		public virtual string Indentline { get; set; }
		public virtual string Colortype { get; set; }
		public virtual string Engineid { get; set; }
		public virtual string Goshicar { get; set; }
		public virtual string Salessfx { get; set; }
		public virtual string Ssno { get; set; }
		public virtual string Transid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perInvCkdInvoiceDetails = PARENTS.CreateChildPermission(AppPermissions.Pages_Inventory_CKD_InvoiceDetails, L( "InventoryCKDInvoiceDetails"), multiTenancySides: MultiTenancySides.Tenant);
		perInvCkdInvoiceDetails.CreateChildPermission(AppPermissions.Pages_Inventory_CKD_InvoiceDetails_CreateEdit, L( "InventoryCKDInvoiceDetailsCreateEdit"), multiTenancySides: MultiTenancySides.Tenant);
		perInvCkdInvoiceDetails.CreateChildPermission(AppPermissions.Pages_Inventory_CKD_InvoiceDetails_Delete, L( "InventoryCKDInvoiceDetailsDelete"),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Pages_Inventory_CKD_InvoiceDetails = "Pages.Inventory.CKD.InvoiceDetails";
		public const string Pages_Inventory_CKD_InvoiceDetails_CreateEdit = "Pages.Inventory.CKD.InvoiceDetails.CreateEdit";
		public const string Pages_Inventory_CKD_InvoiceDetails_Delete = "Pages.Inventory.CKD.InvoiceDetails.Delete";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
{
	public interface IInvCkdInvoiceDetailsAppService : IApplicationService
	{
		Task&lt;PagedResultDto&lt;InvCkdInvoiceDetailsDto&gt;&gt; GetAll(GetInvCkdInvoiceDetailsInput input);
		Task CreateOrEdit(CreateOrEditInvCkdInvoiceDetailsDto input);
		Task Delete(EntityDto input);
	}
}
</v>
      </c>
      <c r="Q7" t="str">
        <f ca="1">SUBSTITUTE(SUBSTITUTE(SUBSTITUTE(SUBSTITUTE(SUBSTITUTE(SUBSTITUTE(E1,"MstWptCalendar",$B$3),"&lt;PROPERTIES&gt;",P53),"Calendar",$B$5),"WorkingPattern",$Q$3),"Master",$B$4),"&lt;PARAMS_SEARCH&gt;",$W$53)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[AbpAuthorize(AppPermissions.Pages_Inventory_CKD_InvoiceDetails)]
    public class InvCkdInvoiceDetailsAppService : vovinaAppServiceBase, IInvCkdInvoiceDetailsAppService
    {
        private readonly IDapperRepository&lt;InvCkdInvoiceDetails, long&gt; _dapperRepo;
        private readonly IRepository&lt;InvCkdInvoiceDetails, long&gt; _repo;
        private readonly IInvCkdInvoiceDetailsExcelExporter _calendarListExcelExporter;
        public InvCkdInvoiceDetailsAppService(IRepository&lt;InvCkdInvoiceDetails,long&gt; repo, 
                                         IDapperRepository&lt;InvCkdInvoiceDetails,long&gt; dapperRepo,
                                        IInvCkdInvoiceDetailsExcelExporter calendarListExcelExporter
            )
        {
            _repo = repo;
            _dapperRepo = dapperRepo;
            _calendarListExcelExporter = calendarListExcelExporter;
        }
        [AbpAuthorize(AppPermissions.Pages_Inventory_CKD_InvoiceDetails_CreateEdit)]
        public async Task CreateOrEdit(CreateOrEditInvCkdInvoiceDetailsDto input)
        {
            if (input.Id == null) await Create(input);
            else await Update(input);
        }
        //CREATE
        private async Task Create(CreateOrEditInvCkdInvoiceDetailsDto input)
        {          
            var mainObj = ObjectMapper.Map&lt;InvCkdInvoiceDetails&gt;(input);
            await CurrentUnitOfWork.GetDbContext&lt;vovinaDbContext&gt;().AddAsync(mainObj);
        }
        // EDIT
        private async Task Update(CreateOrEditInvCkdInvoiceDetailsDto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[AbpAuthorize(AppPermissions.Pages_Inventory_CKD_InvoiceDetails_Delete)]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Task&lt;PagedResultDto&lt;InvCkdInvoiceDetailsDto&gt;&gt; GetAll(GetInvCkdInvoiceDetailsInput input)
        {
            var filtered = _repo.GetAll()
				.WhereIf(!string.IsNullOrWhiteSpace(input.Prodline), e =&gt; e.Prodline.Contains(input.Prodline))
				.WhereIf(!string.IsNullOrWhiteSpace(input.Cfc), e =&gt; e.Cfc.Contains(input.Cfc))
				.WhereIf(!string.IsNullOrWhiteSpace(input.Model), e =&gt; e.Model.Contains(input.Model))
				.WhereIf(!string.IsNullOrWhiteSpace(input.Grade), e =&gt; e.Grade.Contains(input.Grade))
				.WhereIf(!string.IsNullOrWhiteSpace(input.Color), e =&gt; e.Color.Contains(input.Color))
				.WhereIf(!string.IsNullOrWhiteSpace(input.Bodyno), e =&gt; e.Bodyno.Contains(input.Bodyno))
				.WhereIf(!string.IsNullOrWhiteSpace(input.Lotno), e =&gt; e.Lotno.Contains(input.Lotno))
				.WhereIf(!string.IsNullOrWhiteSpace(input.Vinno), e =&gt; e.Vinno.Contains(input.Vinno))
				.WhereIf(!string.IsNullOrWhiteSpace(input.Isproject), e =&gt; e.Isproject.Contains(input.Isproject))
				.WhereIf(!string.IsNullOrWhiteSpace(input.Vehicleid), e =&gt; e.Vehicleid.Contains(input.Vehicleid))
				.WhereIf(!string.IsNullOrWhiteSpace(input.Indentline), e =&gt; e.Indentline.Contains(input.Indentline))
				.WhereIf(!string.IsNullOrWhiteSpace(input.Colortype), e =&gt; e.Colortype.Contains(input.Colortype))
				.WhereIf(!string.IsNullOrWhiteSpace(input.Engineid), e =&gt; e.Engineid.Contains(input.Engineid))
				.WhereIf(!string.IsNullOrWhiteSpace(input.Goshicar), e =&gt; e.Goshicar.Contains(input.Goshicar))
				.WhereIf(!string.IsNullOrWhiteSpace(input.Salessfx), e =&gt; e.Salessfx.Contains(input.Salessfx))
				.WhereIf(!string.IsNullOrWhiteSpace(input.Ssno), e =&gt; e.Ssno.Contains(input.Ssno))
				.WhereIf(!string.IsNullOrWhiteSpace(input.Transid), e =&gt; e.Transid.Contains(input.Transid))                   
				;
            var pageAndFiltered = filtered.OrderBy(s =&gt; s.Id);
            var system = from o in pageAndFiltered
                         select new InvCkdInvoiceDetailsDto
                        {
							Id = o.Id,
							No = o.No,
							Prodline = o.Prodline,
							Cfc = o.Cfc,
							Model = o.Model,
							Grade = o.Grade,
							Color = o.Color,
							Bodyno = o.Bodyno,
							Lotno = o.Lotno,
							Noinlot = o.Noinlot,
							Vinno = o.Vinno,
							Winplandate = o.Winplandate,
							Winplantime = o.Winplantime,
							Winplandatetime = o.Winplandatetime,
							Woutplandate = o.Woutplandate,
							Woutplantime = o.Woutplantime,
							Woutplandatetime = o.Woutplandatetime,
							Tinplandate = o.Tinplandate,
							Tinplantime = o.Tinplantime,
							Tinplandatetime = o.Tinplandatetime,
							Toutplandate = o.Toutplandate,
							Toutplantime = o.Toutplantime,
							Toutplandatetime = o.Toutplandatetime,
							Ainplandate = o.Ainplandate,
							Ainplantime = o.Ainplantime,
							Ainplandatetime = o.Ainplandatetime,
							Aoutplandate = o.Aoutplandate,
							Aoutplantime = o.Aoutplantime,
							Aoutplandatetime = o.Aoutplandatetime,
							Lineoffdate = o.Lineoffdate,
							Lineofftime = o.Lineofftime,
							Lineoffdatetime = o.Lineoffdatetime,
							Pdidate = o.Pdidate,
							Pditime = o.Pditime,
							Pdidatetime = o.Pdidatetime,
							Isproject = o.Isproject,
							Vehicleid = o.Vehicleid,
							Indentline = o.Indentline,
							Colortype = o.Colortype,
							Engineid = o.Engineid,
							Goshicar = o.Goshicar,
							Salessfx = o.Salessfx,
							Ssno = o.Ssno,
							Transid = o.Transid,
                        };
            var totalCount = await filtered.CountAsync();
			var paged = system.PageBy(input);
            return new PagedResultDto&lt;InvCkdInvoiceDetailsDto&gt;(
                totalCount,
                 await paged.ToListAsync()
            );
        }
        public async Task&lt;FileDto&gt; GetInvoiceDetailsToExcel(InvCkdInvoiceDetailsExportInput input)
        {
            var query = from o in _repo.GetAll()
                        select new InvCkdInvoiceDetailsDto
                        {
							Id = o.Id,
							No = o.No,
							Prodline = o.Prodline,
							Cfc = o.Cfc,
							Model = o.Model,
							Grade = o.Grade,
							Color = o.Color,
							Bodyno = o.Bodyno,
							Lotno = o.Lotno,
							Noinlot = o.Noinlot,
							Vinno = o.Vinno,
							Winplandate = o.Winplandate,
							Winplantime = o.Winplantime,
							Winplandatetime = o.Winplandatetime,
							Woutplandate = o.Woutplandate,
							Woutplantime = o.Woutplantime,
							Woutplandatetime = o.Woutplandatetime,
							Tinplandate = o.Tinplandate,
							Tinplantime = o.Tinplantime,
							Tinplandatetime = o.Tinplandatetime,
							Toutplandate = o.Toutplandate,
							Toutplantime = o.Toutplantime,
							Toutplandatetime = o.Toutplandatetime,
							Ainplandate = o.Ainplandate,
							Ainplantime = o.Ainplantime,
							Ainplandatetime = o.Ainplandatetime,
							Aoutplandate = o.Aoutplandate,
							Aoutplantime = o.Aoutplantime,
							Aoutplandatetime = o.Aoutplandatetime,
							Lineoffdate = o.Lineoffdate,
							Lineofftime = o.Lineofftime,
							Lineoffdatetime = o.Lineoffdatetime,
							Pdidate = o.Pdidate,
							Pditime = o.Pditime,
							Pdidatetime = o.Pdidatetime,
							Isproject = o.Isproject,
							Vehicleid = o.Vehicleid,
							Indentline = o.Indentline,
							Colortype = o.Colortype,
							Engineid = o.Engineid,
							Goshicar = o.Goshicar,
							Salessfx = o.Salessfx,
							Ssno = o.Ssno,
							Transid = o.Transid,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_dapperRepo.ExecuteAsync(InvCkdInvoiceDetailsConsts.SP_MST_WPT_CALENDAR_GENERATE);
       // }
    }
}</v>
      </c>
      <c r="R7" t="str">
        <f ca="1">SUBSTITUTE(SUBSTITUTE((C1&amp;"namespace "&amp;B6&amp;".Dto"&amp;E3&amp;C3&amp;R3&amp;M53&amp;E3&amp;REPT(CHAR(9),1)&amp;D3&amp;D3),"WorkingPattern",$Q$3),"Master",$B$4)</f>
        <v xml:space="preserve">using Abp.Application.Services.Dto;
using System;
using System.ComponentModel.DataAnnotations;
namespace prod.Inventory.CKD.Dto
{
	public class InvCkdInvoiceDetailsExportInput{
		public virtual long? No { get; set; }
		public virtual string Prodline { get; set; }
		public virtual string Cfc { get; set; }
		public virtual string Model { get; set; }
		public virtual string Grade { get; set; }
		public virtual string Color { get; set; }
		public virtual string Bodyno { get; set; }
		public virtual string Lotno { get; set; }
		public virtual int? Noinlot { get; set; }
		public virtual string Vinno { get; set; }
		public virtual DateTime? Winplandate { get; set; }
		public virtual TimeSpan? Winplantime { get; set; }
		public virtual DateTime? Winplandatetime { get; set; }
		public virtual DateTime? Woutplandate { get; set; }
		public virtual TimeSpan? Woutplantime { get; set; }
		public virtual DateTime? Woutplandatetime { get; set; }
		public virtual DateTime? Tinplandate { get; set; }
		public virtual TimeSpan? Tinplantime { get; set; }
		public virtual DateTime? Tinplandatetime { get; set; }
		public virtual DateTime? Toutplandate { get; set; }
		public virtual TimeSpan? Toutplantime { get; set; }
		public virtual DateTime? Toutplandatetime { get; set; }
		public virtual DateTime? Ainplandate { get; set; }
		public virtual TimeSpan? Ainplantime { get; set; }
		public virtual DateTime? Ainplandatetime { get; set; }
		public virtual DateTime? Aoutplandate { get; set; }
		public virtual TimeSpan? Aoutplantime { get; set; }
		public virtual DateTime? Aoutplandatetime { get; set; }
		public virtual DateTime? Lineoffdate { get; set; }
		public virtual TimeSpan? Lineofftime { get; set; }
		public virtual DateTime? Lineoffdatetime { get; set; }
		public virtual DateTime? Pdidate { get; set; }
		public virtual TimeSpan? Pditime { get; set; }
		public virtual DateTime? Pdidatetime { get; set; }
		public virtual string Isproject { get; set; }
		public virtual string Vehicleid { get; set; }
		public virtual string Indentline { get; set; }
		public virtual string Colortype { get; set; }
		public virtual string Engineid { get; set; }
		public virtual string Goshicar { get; set; }
		public virtual string Salessfx { get; set; }
		public virtual string Ssno { get; set; }
		public virtual string Transid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IInvCkdInvoiceDetailsExcelExporter : IApplicationService
	{
		FileDto ExportToFile(List&lt;InvCkdInvoiceDetailsDto&gt; invckdinvoicedetails);
	}
}
</v>
      </c>
      <c r="T7" s="26" t="str">
        <f ca="1">SUBSTITUTE(SUBSTITUTE(SUBSTITUTE(SUBSTITUTE(SUBSTITUTE(SUBSTITUTE(SUBSTITUTE(T1,"MstWptCalendar",$B$3),"&lt;PROPERTIES1&gt;",V53),"&lt;PROPERTIES&gt;",T53),"Calendar",$B$5),"calendar",LOWER(B5)),"WorkingPattern",$Q$3),"Master",$B$4)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InvCkdInvoiceDetailsExcelExporter : NpoiExcelExporterBase, IInvCkdInvoiceDetailsExcelExporter
    {
        public InvCkdInvoiceDetailsExcelExporter(ITempFileCacheManager tempFileCacheManager) : base(tempFileCacheManager) { }
        public FileDto ExportToFile(List&lt;InvCkdInvoiceDetailsDto&gt; invoicedetails)
        {
            return CreateExcelPackage(
				"InventoryCKDInvoiceDetails.xlsx",
				excelPackage =&gt;
				 {
					var sheet = excelPackage.CreateSheet("InvoiceDetails");
					AddHeader(
								sheet,
								("No"),
								("Prodline"),
								("Cfc"),
								("Model"),
								("Grade"),
								("Color"),
								("Bodyno"),
								("Lotno"),
								("Noinlot"),
								("Vinno"),
								("Winplandate"),
								("Winplantime"),
								("Winplandatetime"),
								("Woutplandate"),
								("Woutplantime"),
								("Woutplandatetime"),
								("Tinplandate"),
								("Tinplantime"),
								("Tinplandatetime"),
								("Toutplandate"),
								("Toutplantime"),
								("Toutplandatetime"),
								("Ainplandate"),
								("Ainplantime"),
								("Ainplandatetime"),
								("Aoutplandate"),
								("Aoutplantime"),
								("Aoutplandatetime"),
								("Lineoffdate"),
								("Lineofftime"),
								("Lineoffdatetime"),
								("Pdidate"),
								("Pditime"),
								("Pdidatetime"),
								("Isproject"),
								("Vehicleid"),
								("Indentline"),
								("Colortype"),
								("Engineid"),
								("Goshicar"),
								("Salessfx"),
								("Ssno"),
								("Transid"),
							   );
					AddObjects(
						 sheet, 1, invoicedetails,                                       
								_ =&gt; _.No,
								_ =&gt; _.Prodline,
								_ =&gt; _.Cfc,
								_ =&gt; _.Model,
								_ =&gt; _.Grade,
								_ =&gt; _.Color,
								_ =&gt; _.Bodyno,
								_ =&gt; _.Lotno,
								_ =&gt; _.Noinlot,
								_ =&gt; _.Vinno,
								_ =&gt; _.Winplandate,
								_ =&gt; _.Winplantime,
								_ =&gt; _.Winplandatetime,
								_ =&gt; _.Woutplandate,
								_ =&gt; _.Woutplantime,
								_ =&gt; _.Woutplandatetime,
								_ =&gt; _.Tinplandate,
								_ =&gt; _.Tinplantime,
								_ =&gt; _.Tinplandatetime,
								_ =&gt; _.Toutplandate,
								_ =&gt; _.Toutplantime,
								_ =&gt; _.Toutplandatetime,
								_ =&gt; _.Ainplandate,
								_ =&gt; _.Ainplantime,
								_ =&gt; _.Ainplandatetime,
								_ =&gt; _.Aoutplandate,
								_ =&gt; _.Aoutplantime,
								_ =&gt; _.Aoutplandatetime,
								_ =&gt; _.Lineoffdate,
								_ =&gt; _.Lineofftime,
								_ =&gt; _.Lineoffdatetime,
								_ =&gt; _.Pdidate,
								_ =&gt; _.Pditime,
								_ =&gt; _.Pdidatetime,
								_ =&gt; _.Isproject,
								_ =&gt; _.Vehicleid,
								_ =&gt; _.Indentline,
								_ =&gt; _.Colortype,
								_ =&gt; _.Engineid,
								_ =&gt; _.Goshicar,
								_ =&gt; _.Salessfx,
								_ =&gt; _.Ssno,
								_ =&gt; _.Transid,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configuration.CreateMap&lt;InvCkdInvoiceDetailsDto, InvCkdInvoiceDetails&gt;();
  configuration.CreateMap&lt;InvCkdInvoiceDetails, InvCkdInvoiceDetailsDto&gt;();
  configuration.CreateMap&lt;CreateOrEditInvCkdInvoiceDetailsDto, InvCkdInvoiceDetails&gt;();</v>
      </c>
      <c r="V7" s="26"/>
      <c r="W7" s="26"/>
    </row>
    <row r="8" spans="1:23" s="2" customFormat="1" x14ac:dyDescent="0.3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3">
      <c r="A9" s="66" t="s">
        <v>358</v>
      </c>
      <c r="B9" s="66" t="s">
        <v>0</v>
      </c>
      <c r="C9" t="s">
        <v>1</v>
      </c>
      <c r="D9" t="str">
        <f t="shared" ref="D9" si="0">SUBSTITUTE(PROPER(A9),"_","")</f>
        <v>No</v>
      </c>
      <c r="E9" t="str">
        <f t="shared" ref="E9" si="1">IFERROR(LEFT(B9, FIND("(",B9)-1),B9)</f>
        <v>bigint</v>
      </c>
      <c r="F9" s="6"/>
      <c r="G9" t="str">
        <f t="shared" ref="G9" si="2">IFERROR(MID(B9,FIND("(",B9) +1, FIND(")",B9) - FIND("(",B9) - 1),"")</f>
        <v/>
      </c>
      <c r="H9" t="str">
        <f>+VLOOKUP(E9,'Data Type Mapping'!A:B,2,)</f>
        <v>long?</v>
      </c>
      <c r="I9" t="str">
        <f t="shared" ref="I9" si="3">IF(H9="string",REPT(CHAR(9),2)&amp;"public const int Max"&amp;D9&amp;"Length = "&amp;G9&amp;";"&amp;$E$3,"" )</f>
        <v/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public virtual long? No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long? No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public virtual long? No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/>
      </c>
      <c r="P9" t="str">
        <f t="shared" ref="P9" si="9">REPT(CHAR(9),7)&amp;D9&amp;" = o." &amp;D9 &amp;","</f>
        <v xml:space="preserve">							No = o.No,</v>
      </c>
      <c r="T9" s="63" t="str">
        <f t="shared" ref="T9" si="10">REPT(CHAR(9),8)&amp;"("""&amp;D9&amp;"""),"</f>
        <v xml:space="preserve">								("No"),</v>
      </c>
      <c r="V9" s="64" t="str">
        <f t="shared" ref="V9" si="11">REPT(CHAR(9),8)&amp;"_ =&gt; _."&amp;D9&amp;","</f>
        <v xml:space="preserve">								_ =&gt; _.No,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18.75" customHeight="1" x14ac:dyDescent="0.3">
      <c r="A10" s="66" t="s">
        <v>359</v>
      </c>
      <c r="B10" s="66" t="s">
        <v>360</v>
      </c>
      <c r="C10" t="s">
        <v>1</v>
      </c>
      <c r="D10" t="str">
        <f t="shared" ref="D10:D11" si="13">SUBSTITUTE(PROPER(A10),"_","")</f>
        <v>Prodline</v>
      </c>
      <c r="E10" t="str">
        <f t="shared" ref="E10:E11" si="14">IFERROR(LEFT(B10, FIND("(",B10)-1),B10)</f>
        <v>nvarchar</v>
      </c>
      <c r="F10" s="6"/>
      <c r="G10" t="str">
        <f t="shared" ref="G10:G11" si="15">IFERROR(MID(B10,FIND("(",B10) +1, FIND(")",B10) - FIND("(",B10) - 1),"")</f>
        <v>2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MaxProdlineLength = 2;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[StringLength(MaxProdlineLength)]
		public virtual string Prodline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Prodline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[StringLength(InvCkdInvoiceDetailsConsts.MaxProdlineLength)]
		public virtual string Prodline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Prodline { get; set; }
</v>
      </c>
      <c r="P10" t="str">
        <f t="shared" ref="P10:P11" si="22">REPT(CHAR(9),7)&amp;D10&amp;" = o." &amp;D10 &amp;","</f>
        <v xml:space="preserve">							Prodline = o.Prodline,</v>
      </c>
      <c r="T10" s="63" t="str">
        <f t="shared" ref="T10:T11" si="23">REPT(CHAR(9),8)&amp;"("""&amp;D10&amp;"""),"</f>
        <v xml:space="preserve">								("Prodline"),</v>
      </c>
      <c r="V10" s="64" t="str">
        <f t="shared" ref="V10:V11" si="24">REPT(CHAR(9),8)&amp;"_ =&gt; _."&amp;D10&amp;","</f>
        <v xml:space="preserve">								_ =&gt; _.Prodline,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.WhereIf(!string.IsNullOrWhiteSpace(input.Prodline), e =&gt; e.Prodline.Contains(input.Prodline))</v>
      </c>
    </row>
    <row r="11" spans="1:23" customFormat="1" ht="18.75" customHeight="1" x14ac:dyDescent="0.3">
      <c r="A11" s="66" t="s">
        <v>361</v>
      </c>
      <c r="B11" s="66" t="s">
        <v>362</v>
      </c>
      <c r="C11" t="s">
        <v>1</v>
      </c>
      <c r="D11" t="str">
        <f t="shared" si="13"/>
        <v>Cfc</v>
      </c>
      <c r="E11" t="str">
        <f t="shared" si="14"/>
        <v>nvarchar</v>
      </c>
      <c r="F11" s="6"/>
      <c r="G11" t="str">
        <f t="shared" si="15"/>
        <v>4</v>
      </c>
      <c r="H11" t="str">
        <f>+VLOOKUP(E11,'Data Type Mapping'!A:B,2,)</f>
        <v>string</v>
      </c>
      <c r="I11" t="str">
        <f t="shared" si="16"/>
        <v xml:space="preserve">		public const int MaxCfcLength = 4;
</v>
      </c>
      <c r="J11" t="str">
        <f t="shared" si="17"/>
        <v xml:space="preserve">		[StringLength(MaxCfcLength)]
		public virtual string Cfc { get; set; }
</v>
      </c>
      <c r="K11" s="6"/>
      <c r="L11" t="str">
        <f t="shared" si="18"/>
        <v/>
      </c>
      <c r="M11" t="str">
        <f t="shared" si="19"/>
        <v xml:space="preserve">		public virtual string Cfc { get; set; }
</v>
      </c>
      <c r="N11" t="str">
        <f t="shared" si="20"/>
        <v xml:space="preserve">		[StringLength(InvCkdInvoiceDetailsConsts.MaxCfcLength)]
		public virtual string Cfc { get; set; }
</v>
      </c>
      <c r="O11" t="str">
        <f t="shared" si="21"/>
        <v xml:space="preserve">		public virtual string Cfc { get; set; }
</v>
      </c>
      <c r="P11" t="str">
        <f t="shared" si="22"/>
        <v xml:space="preserve">							Cfc = o.Cfc,</v>
      </c>
      <c r="T11" s="63" t="str">
        <f t="shared" si="23"/>
        <v xml:space="preserve">								("Cfc"),</v>
      </c>
      <c r="V11" s="64" t="str">
        <f t="shared" si="24"/>
        <v xml:space="preserve">								_ =&gt; _.Cfc,</v>
      </c>
      <c r="W11" s="63" t="str">
        <f t="shared" si="25"/>
        <v xml:space="preserve">				.WhereIf(!string.IsNullOrWhiteSpace(input.Cfc), e =&gt; e.Cfc.Contains(input.Cfc))</v>
      </c>
    </row>
    <row r="12" spans="1:23" customFormat="1" ht="18.75" customHeight="1" x14ac:dyDescent="0.3">
      <c r="A12" s="66" t="s">
        <v>363</v>
      </c>
      <c r="B12" s="66" t="s">
        <v>364</v>
      </c>
      <c r="C12" t="s">
        <v>1</v>
      </c>
      <c r="D12" t="str">
        <f t="shared" ref="D12:D15" si="26">SUBSTITUTE(PROPER(A12),"_","")</f>
        <v>Model</v>
      </c>
      <c r="E12" t="str">
        <f t="shared" ref="E12:E15" si="27">IFERROR(LEFT(B12, FIND("(",B12)-1),B12)</f>
        <v>nvarchar</v>
      </c>
      <c r="F12" s="6"/>
      <c r="G12" t="str">
        <f t="shared" ref="G12:G15" si="28">IFERROR(MID(B12,FIND("(",B12) +1, FIND(")",B12) - FIND("(",B12) - 1),"")</f>
        <v>1</v>
      </c>
      <c r="H12" t="str">
        <f>+VLOOKUP(E12,'Data Type Mapping'!A:B,2,)</f>
        <v>string</v>
      </c>
      <c r="I12" t="str">
        <f t="shared" ref="I12:I15" si="29">IF(H12="string",REPT(CHAR(9),2)&amp;"public const int Max"&amp;D12&amp;"Length = "&amp;G12&amp;";"&amp;$E$3,"" )</f>
        <v xml:space="preserve">		public const int MaxModelLength = 1;
</v>
      </c>
      <c r="J12" t="str">
        <f t="shared" ref="J12:J15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[StringLength(MaxModelLength)]
		public virtual string Model { get; set; }
</v>
      </c>
      <c r="K12" s="6"/>
      <c r="L12" t="str">
        <f t="shared" ref="L12:L15" si="31">IF(K12="","",REPT(CHAR(9),1)&amp;"[Index(nameof("&amp;IF(D12="","",""&amp;D12)&amp;")"&amp;", Name="&amp;"""IX_"&amp;$B$7&amp;"_"&amp;D12&amp;""")]")</f>
        <v/>
      </c>
      <c r="M12" t="str">
        <f t="shared" ref="M12:M15" si="32">REPT(CHAR(9),2)&amp;"public virtual "&amp;IF(OR(H12="DateTime",H12="TimeSpan"),H12&amp;"?",H12)&amp;IF(C12="?","? "," ")&amp;D12&amp;" { get; set; }" &amp; "
"</f>
        <v xml:space="preserve">		public virtual string Model { get; set; }
</v>
      </c>
      <c r="N12" t="str">
        <f t="shared" ref="N12:N15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[StringLength(InvCkdInvoiceDetailsConsts.MaxModelLength)]
		public virtual string Model { get; set; }
</v>
      </c>
      <c r="O12" t="str">
        <f t="shared" ref="O12:O15" si="34">IF(OR(H12="string",H12="DateTime",H12="int"),REPT(CHAR(9),2)&amp;"public virtual "&amp;IF(OR(H12="DateTime",H12="TimeSpan"),H12&amp;"?",H12)&amp;IF(C12="?","? "," ")&amp;D12&amp;" { get; set; }"&amp;$E$3,"")</f>
        <v xml:space="preserve">		public virtual string Model { get; set; }
</v>
      </c>
      <c r="P12" t="str">
        <f t="shared" ref="P12:P15" si="35">REPT(CHAR(9),7)&amp;D12&amp;" = o." &amp;D12 &amp;","</f>
        <v xml:space="preserve">							Model = o.Model,</v>
      </c>
      <c r="T12" s="63" t="str">
        <f t="shared" ref="T12:T15" si="36">REPT(CHAR(9),8)&amp;"("""&amp;D12&amp;"""),"</f>
        <v xml:space="preserve">								("Model"),</v>
      </c>
      <c r="V12" s="64" t="str">
        <f t="shared" ref="V12:V15" si="37">REPT(CHAR(9),8)&amp;"_ =&gt; _."&amp;D12&amp;","</f>
        <v xml:space="preserve">								_ =&gt; _.Model,</v>
      </c>
      <c r="W12" s="63" t="str">
        <f t="shared" ref="W12:W15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.WhereIf(!string.IsNullOrWhiteSpace(input.Model), e =&gt; e.Model.Contains(input.Model))</v>
      </c>
    </row>
    <row r="13" spans="1:23" customFormat="1" ht="18.75" customHeight="1" x14ac:dyDescent="0.3">
      <c r="A13" s="66" t="s">
        <v>365</v>
      </c>
      <c r="B13" s="66" t="s">
        <v>360</v>
      </c>
      <c r="C13" t="s">
        <v>1</v>
      </c>
      <c r="D13" t="str">
        <f t="shared" si="26"/>
        <v>Grade</v>
      </c>
      <c r="E13" t="str">
        <f t="shared" si="27"/>
        <v>nvarchar</v>
      </c>
      <c r="F13" s="6"/>
      <c r="G13" t="str">
        <f t="shared" si="28"/>
        <v>2</v>
      </c>
      <c r="H13" t="str">
        <f>+VLOOKUP(E13,'Data Type Mapping'!A:B,2,)</f>
        <v>string</v>
      </c>
      <c r="I13" t="str">
        <f t="shared" si="29"/>
        <v xml:space="preserve">		public const int MaxGradeLength = 2;
</v>
      </c>
      <c r="J13" t="str">
        <f t="shared" si="30"/>
        <v xml:space="preserve">		[StringLength(MaxGradeLength)]
		public virtual string Grade { get; set; }
</v>
      </c>
      <c r="K13" s="6"/>
      <c r="L13" t="str">
        <f t="shared" si="31"/>
        <v/>
      </c>
      <c r="M13" t="str">
        <f t="shared" si="32"/>
        <v xml:space="preserve">		public virtual string Grade { get; set; }
</v>
      </c>
      <c r="N13" t="str">
        <f t="shared" si="33"/>
        <v xml:space="preserve">		[StringLength(InvCkdInvoiceDetailsConsts.MaxGradeLength)]
		public virtual string Grade { get; set; }
</v>
      </c>
      <c r="O13" t="str">
        <f t="shared" si="34"/>
        <v xml:space="preserve">		public virtual string Grade { get; set; }
</v>
      </c>
      <c r="P13" t="str">
        <f t="shared" si="35"/>
        <v xml:space="preserve">							Grade = o.Grade,</v>
      </c>
      <c r="T13" s="63" t="str">
        <f t="shared" si="36"/>
        <v xml:space="preserve">								("Grade"),</v>
      </c>
      <c r="V13" s="64" t="str">
        <f t="shared" si="37"/>
        <v xml:space="preserve">								_ =&gt; _.Grade,</v>
      </c>
      <c r="W13" s="63" t="str">
        <f t="shared" si="38"/>
        <v xml:space="preserve">				.WhereIf(!string.IsNullOrWhiteSpace(input.Grade), e =&gt; e.Grade.Contains(input.Grade))</v>
      </c>
    </row>
    <row r="14" spans="1:23" customFormat="1" ht="18.75" customHeight="1" x14ac:dyDescent="0.3">
      <c r="A14" s="66" t="s">
        <v>366</v>
      </c>
      <c r="B14" s="66" t="s">
        <v>367</v>
      </c>
      <c r="C14" t="s">
        <v>1</v>
      </c>
      <c r="D14" t="str">
        <f t="shared" si="26"/>
        <v>Color</v>
      </c>
      <c r="E14" t="str">
        <f t="shared" si="27"/>
        <v>varchar</v>
      </c>
      <c r="F14" s="6"/>
      <c r="G14" t="str">
        <f t="shared" si="28"/>
        <v>20</v>
      </c>
      <c r="H14" t="str">
        <f>+VLOOKUP(E14,'Data Type Mapping'!A:B,2,)</f>
        <v>string</v>
      </c>
      <c r="I14" t="str">
        <f t="shared" si="29"/>
        <v xml:space="preserve">		public const int MaxColorLength = 20;
</v>
      </c>
      <c r="J14" t="str">
        <f t="shared" si="30"/>
        <v xml:space="preserve">		[StringLength(MaxColorLength)]
		public virtual string Color { get; set; }
</v>
      </c>
      <c r="K14" s="6"/>
      <c r="L14" t="str">
        <f t="shared" si="31"/>
        <v/>
      </c>
      <c r="M14" t="str">
        <f t="shared" si="32"/>
        <v xml:space="preserve">		public virtual string Color { get; set; }
</v>
      </c>
      <c r="N14" t="str">
        <f t="shared" si="33"/>
        <v xml:space="preserve">		[StringLength(InvCkdInvoiceDetailsConsts.MaxColorLength)]
		public virtual string Color { get; set; }
</v>
      </c>
      <c r="O14" t="str">
        <f t="shared" si="34"/>
        <v xml:space="preserve">		public virtual string Color { get; set; }
</v>
      </c>
      <c r="P14" t="str">
        <f t="shared" si="35"/>
        <v xml:space="preserve">							Color = o.Color,</v>
      </c>
      <c r="T14" s="63" t="str">
        <f t="shared" si="36"/>
        <v xml:space="preserve">								("Color"),</v>
      </c>
      <c r="V14" s="64" t="str">
        <f t="shared" si="37"/>
        <v xml:space="preserve">								_ =&gt; _.Color,</v>
      </c>
      <c r="W14" s="63" t="str">
        <f t="shared" si="38"/>
        <v xml:space="preserve">				.WhereIf(!string.IsNullOrWhiteSpace(input.Color), e =&gt; e.Color.Contains(input.Color))</v>
      </c>
    </row>
    <row r="15" spans="1:23" customFormat="1" ht="18.75" customHeight="1" x14ac:dyDescent="0.3">
      <c r="A15" s="66" t="s">
        <v>368</v>
      </c>
      <c r="B15" s="66" t="s">
        <v>369</v>
      </c>
      <c r="C15" t="s">
        <v>1</v>
      </c>
      <c r="D15" t="str">
        <f t="shared" si="26"/>
        <v>Bodyno</v>
      </c>
      <c r="E15" t="str">
        <f t="shared" si="27"/>
        <v>nvarchar</v>
      </c>
      <c r="F15" s="6"/>
      <c r="G15" t="str">
        <f t="shared" si="28"/>
        <v>10</v>
      </c>
      <c r="H15" t="str">
        <f>+VLOOKUP(E15,'Data Type Mapping'!A:B,2,)</f>
        <v>string</v>
      </c>
      <c r="I15" t="str">
        <f t="shared" si="29"/>
        <v xml:space="preserve">		public const int MaxBodynoLength = 10;
</v>
      </c>
      <c r="J15" t="str">
        <f t="shared" si="30"/>
        <v xml:space="preserve">		[StringLength(MaxBodynoLength)]
		public virtual string Bodyno { get; set; }
</v>
      </c>
      <c r="K15" s="6"/>
      <c r="L15" t="str">
        <f t="shared" si="31"/>
        <v/>
      </c>
      <c r="M15" t="str">
        <f t="shared" si="32"/>
        <v xml:space="preserve">		public virtual string Bodyno { get; set; }
</v>
      </c>
      <c r="N15" t="str">
        <f t="shared" si="33"/>
        <v xml:space="preserve">		[StringLength(InvCkdInvoiceDetailsConsts.MaxBodynoLength)]
		public virtual string Bodyno { get; set; }
</v>
      </c>
      <c r="O15" t="str">
        <f t="shared" si="34"/>
        <v xml:space="preserve">		public virtual string Bodyno { get; set; }
</v>
      </c>
      <c r="P15" t="str">
        <f t="shared" si="35"/>
        <v xml:space="preserve">							Bodyno = o.Bodyno,</v>
      </c>
      <c r="T15" s="63" t="str">
        <f t="shared" si="36"/>
        <v xml:space="preserve">								("Bodyno"),</v>
      </c>
      <c r="V15" s="64" t="str">
        <f t="shared" si="37"/>
        <v xml:space="preserve">								_ =&gt; _.Bodyno,</v>
      </c>
      <c r="W15" s="63" t="str">
        <f t="shared" si="38"/>
        <v xml:space="preserve">				.WhereIf(!string.IsNullOrWhiteSpace(input.Bodyno), e =&gt; e.Bodyno.Contains(input.Bodyno))</v>
      </c>
    </row>
    <row r="16" spans="1:23" customFormat="1" ht="18.75" customHeight="1" x14ac:dyDescent="0.3">
      <c r="A16" s="66" t="s">
        <v>370</v>
      </c>
      <c r="B16" s="66" t="s">
        <v>371</v>
      </c>
      <c r="C16" t="s">
        <v>1</v>
      </c>
      <c r="D16" t="str">
        <f t="shared" ref="D16:D51" si="39">SUBSTITUTE(PROPER(A16),"_","")</f>
        <v>Lotno</v>
      </c>
      <c r="E16" t="str">
        <f t="shared" ref="E16:E51" si="40">IFERROR(LEFT(B16, FIND("(",B16)-1),B16)</f>
        <v>nvarchar</v>
      </c>
      <c r="F16" s="6"/>
      <c r="G16" t="str">
        <f t="shared" ref="G16:G51" si="41">IFERROR(MID(B16,FIND("(",B16) +1, FIND(")",B16) - FIND("(",B16) - 1),"")</f>
        <v>20</v>
      </c>
      <c r="H16" t="str">
        <f>+VLOOKUP(E16,'Data Type Mapping'!A:B,2,)</f>
        <v>string</v>
      </c>
      <c r="I16" t="str">
        <f t="shared" ref="I16:I51" si="42">IF(H16="string",REPT(CHAR(9),2)&amp;"public const int Max"&amp;D16&amp;"Length = "&amp;G16&amp;";"&amp;$E$3,"" )</f>
        <v xml:space="preserve">		public const int MaxLotnoLength = 20;
</v>
      </c>
      <c r="J16" t="str">
        <f t="shared" ref="J16:J51" si="43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[StringLength(MaxLotnoLength)]
		public virtual string Lotno { get; set; }
</v>
      </c>
      <c r="K16" s="6"/>
      <c r="L16" t="str">
        <f t="shared" ref="L16:L51" si="44">IF(K16="","",REPT(CHAR(9),1)&amp;"[Index(nameof("&amp;IF(D16="","",""&amp;D16)&amp;")"&amp;", Name="&amp;"""IX_"&amp;$B$7&amp;"_"&amp;D16&amp;""")]")</f>
        <v/>
      </c>
      <c r="M16" t="str">
        <f t="shared" ref="M16:M51" si="45">REPT(CHAR(9),2)&amp;"public virtual "&amp;IF(OR(H16="DateTime",H16="TimeSpan"),H16&amp;"?",H16)&amp;IF(C16="?","? "," ")&amp;D16&amp;" { get; set; }" &amp; "
"</f>
        <v xml:space="preserve">		public virtual string Lotno { get; set; }
</v>
      </c>
      <c r="N16" t="str">
        <f t="shared" ref="N16:N51" si="46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[StringLength(InvCkdInvoiceDetailsConsts.MaxLotnoLength)]
		public virtual string Lotno { get; set; }
</v>
      </c>
      <c r="O16" t="str">
        <f t="shared" ref="O16:O51" si="47">IF(OR(H16="string",H16="DateTime",H16="int"),REPT(CHAR(9),2)&amp;"public virtual "&amp;IF(OR(H16="DateTime",H16="TimeSpan"),H16&amp;"?",H16)&amp;IF(C16="?","? "," ")&amp;D16&amp;" { get; set; }"&amp;$E$3,"")</f>
        <v xml:space="preserve">		public virtual string Lotno { get; set; }
</v>
      </c>
      <c r="P16" t="str">
        <f t="shared" ref="P16:P51" si="48">REPT(CHAR(9),7)&amp;D16&amp;" = o." &amp;D16 &amp;","</f>
        <v xml:space="preserve">							Lotno = o.Lotno,</v>
      </c>
      <c r="T16" s="63" t="str">
        <f t="shared" ref="T16:T51" si="49">REPT(CHAR(9),8)&amp;"("""&amp;D16&amp;"""),"</f>
        <v xml:space="preserve">								("Lotno"),</v>
      </c>
      <c r="V16" s="64" t="str">
        <f t="shared" ref="V16:V51" si="50">REPT(CHAR(9),8)&amp;"_ =&gt; _."&amp;D16&amp;","</f>
        <v xml:space="preserve">								_ =&gt; _.Lotno,</v>
      </c>
      <c r="W16" s="63" t="str">
        <f t="shared" ref="W16:W51" si="51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 xml:space="preserve">				.WhereIf(!string.IsNullOrWhiteSpace(input.Lotno), e =&gt; e.Lotno.Contains(input.Lotno))</v>
      </c>
    </row>
    <row r="17" spans="1:23" customFormat="1" ht="18.75" customHeight="1" x14ac:dyDescent="0.3">
      <c r="A17" s="66" t="s">
        <v>372</v>
      </c>
      <c r="B17" s="66" t="s">
        <v>4</v>
      </c>
      <c r="C17" t="s">
        <v>1</v>
      </c>
      <c r="D17" t="str">
        <f t="shared" si="39"/>
        <v>Noinlot</v>
      </c>
      <c r="E17" t="str">
        <f t="shared" si="40"/>
        <v>int</v>
      </c>
      <c r="F17" s="6"/>
      <c r="G17" t="str">
        <f t="shared" si="41"/>
        <v/>
      </c>
      <c r="H17" t="str">
        <f>+VLOOKUP(E17,'Data Type Mapping'!A:B,2,)</f>
        <v>int?</v>
      </c>
      <c r="I17" t="str">
        <f t="shared" si="42"/>
        <v/>
      </c>
      <c r="J17" t="str">
        <f t="shared" si="43"/>
        <v xml:space="preserve">		public virtual int? Noinlot { get; set; }
</v>
      </c>
      <c r="K17" s="6"/>
      <c r="L17" t="str">
        <f t="shared" si="44"/>
        <v/>
      </c>
      <c r="M17" t="str">
        <f t="shared" si="45"/>
        <v xml:space="preserve">		public virtual int? Noinlot { get; set; }
</v>
      </c>
      <c r="N17" t="str">
        <f t="shared" si="46"/>
        <v xml:space="preserve">		public virtual int? Noinlot { get; set; }
</v>
      </c>
      <c r="O17" t="str">
        <f t="shared" si="47"/>
        <v/>
      </c>
      <c r="P17" t="str">
        <f t="shared" si="48"/>
        <v xml:space="preserve">							Noinlot = o.Noinlot,</v>
      </c>
      <c r="T17" s="63" t="str">
        <f t="shared" si="49"/>
        <v xml:space="preserve">								("Noinlot"),</v>
      </c>
      <c r="V17" s="64" t="str">
        <f t="shared" si="50"/>
        <v xml:space="preserve">								_ =&gt; _.Noinlot,</v>
      </c>
      <c r="W17" s="63" t="str">
        <f t="shared" si="51"/>
        <v/>
      </c>
    </row>
    <row r="18" spans="1:23" customFormat="1" ht="18.75" customHeight="1" x14ac:dyDescent="0.3">
      <c r="A18" s="66" t="s">
        <v>373</v>
      </c>
      <c r="B18" s="66" t="s">
        <v>374</v>
      </c>
      <c r="C18" t="s">
        <v>1</v>
      </c>
      <c r="D18" t="str">
        <f t="shared" si="39"/>
        <v>Vinno</v>
      </c>
      <c r="E18" t="str">
        <f t="shared" si="40"/>
        <v>nvarchar</v>
      </c>
      <c r="F18" s="6"/>
      <c r="G18" t="str">
        <f t="shared" si="41"/>
        <v>17</v>
      </c>
      <c r="H18" t="str">
        <f>+VLOOKUP(E18,'Data Type Mapping'!A:B,2,)</f>
        <v>string</v>
      </c>
      <c r="I18" t="str">
        <f t="shared" si="42"/>
        <v xml:space="preserve">		public const int MaxVinnoLength = 17;
</v>
      </c>
      <c r="J18" t="str">
        <f t="shared" si="43"/>
        <v xml:space="preserve">		[StringLength(MaxVinnoLength)]
		public virtual string Vinno { get; set; }
</v>
      </c>
      <c r="K18" s="6"/>
      <c r="L18" t="str">
        <f t="shared" si="44"/>
        <v/>
      </c>
      <c r="M18" t="str">
        <f t="shared" si="45"/>
        <v xml:space="preserve">		public virtual string Vinno { get; set; }
</v>
      </c>
      <c r="N18" t="str">
        <f t="shared" si="46"/>
        <v xml:space="preserve">		[StringLength(InvCkdInvoiceDetailsConsts.MaxVinnoLength)]
		public virtual string Vinno { get; set; }
</v>
      </c>
      <c r="O18" t="str">
        <f t="shared" si="47"/>
        <v xml:space="preserve">		public virtual string Vinno { get; set; }
</v>
      </c>
      <c r="P18" t="str">
        <f t="shared" si="48"/>
        <v xml:space="preserve">							Vinno = o.Vinno,</v>
      </c>
      <c r="T18" s="63" t="str">
        <f t="shared" si="49"/>
        <v xml:space="preserve">								("Vinno"),</v>
      </c>
      <c r="V18" s="64" t="str">
        <f t="shared" si="50"/>
        <v xml:space="preserve">								_ =&gt; _.Vinno,</v>
      </c>
      <c r="W18" s="63" t="str">
        <f t="shared" si="51"/>
        <v xml:space="preserve">				.WhereIf(!string.IsNullOrWhiteSpace(input.Vinno), e =&gt; e.Vinno.Contains(input.Vinno))</v>
      </c>
    </row>
    <row r="19" spans="1:23" customFormat="1" ht="18.75" customHeight="1" x14ac:dyDescent="0.3">
      <c r="A19" s="66" t="s">
        <v>375</v>
      </c>
      <c r="B19" s="66" t="s">
        <v>3</v>
      </c>
      <c r="C19" t="s">
        <v>1</v>
      </c>
      <c r="D19" t="str">
        <f t="shared" si="39"/>
        <v>Winplandate</v>
      </c>
      <c r="E19" t="str">
        <f t="shared" si="40"/>
        <v>datetime</v>
      </c>
      <c r="F19" s="6"/>
      <c r="G19" t="str">
        <f t="shared" si="41"/>
        <v/>
      </c>
      <c r="H19" t="str">
        <f>+VLOOKUP(E19,'Data Type Mapping'!A:B,2,)</f>
        <v>DateTime?</v>
      </c>
      <c r="I19" t="str">
        <f t="shared" si="42"/>
        <v/>
      </c>
      <c r="J19" t="str">
        <f t="shared" si="43"/>
        <v xml:space="preserve">		public virtual DateTime? Winplandate { get; set; }
</v>
      </c>
      <c r="K19" s="6"/>
      <c r="L19" t="str">
        <f t="shared" si="44"/>
        <v/>
      </c>
      <c r="M19" t="str">
        <f t="shared" si="45"/>
        <v xml:space="preserve">		public virtual DateTime? Winplandate { get; set; }
</v>
      </c>
      <c r="N19" t="str">
        <f t="shared" si="46"/>
        <v xml:space="preserve">		public virtual DateTime? Winplandate { get; set; }
</v>
      </c>
      <c r="O19" t="str">
        <f t="shared" si="47"/>
        <v/>
      </c>
      <c r="P19" t="str">
        <f t="shared" si="48"/>
        <v xml:space="preserve">							Winplandate = o.Winplandate,</v>
      </c>
      <c r="T19" s="63" t="str">
        <f t="shared" si="49"/>
        <v xml:space="preserve">								("Winplandate"),</v>
      </c>
      <c r="V19" s="64" t="str">
        <f t="shared" si="50"/>
        <v xml:space="preserve">								_ =&gt; _.Winplandate,</v>
      </c>
      <c r="W19" s="63" t="str">
        <f t="shared" si="51"/>
        <v/>
      </c>
    </row>
    <row r="20" spans="1:23" customFormat="1" ht="18.75" customHeight="1" x14ac:dyDescent="0.3">
      <c r="A20" s="66" t="s">
        <v>376</v>
      </c>
      <c r="B20" s="66" t="s">
        <v>263</v>
      </c>
      <c r="C20" t="s">
        <v>1</v>
      </c>
      <c r="D20" t="str">
        <f t="shared" si="39"/>
        <v>Winplantime</v>
      </c>
      <c r="E20" t="str">
        <f t="shared" si="40"/>
        <v>time</v>
      </c>
      <c r="F20" s="6"/>
      <c r="G20" t="str">
        <f t="shared" si="41"/>
        <v/>
      </c>
      <c r="H20" t="str">
        <f>+VLOOKUP(E20,'Data Type Mapping'!A:B,2,)</f>
        <v>TimeSpan?</v>
      </c>
      <c r="I20" t="str">
        <f t="shared" si="42"/>
        <v/>
      </c>
      <c r="J20" t="str">
        <f t="shared" si="43"/>
        <v xml:space="preserve">		public virtual TimeSpan? Winplantime { get; set; }
</v>
      </c>
      <c r="K20" s="6"/>
      <c r="L20" t="str">
        <f t="shared" si="44"/>
        <v/>
      </c>
      <c r="M20" t="str">
        <f t="shared" si="45"/>
        <v xml:space="preserve">		public virtual TimeSpan? Winplantime { get; set; }
</v>
      </c>
      <c r="N20" t="str">
        <f t="shared" si="46"/>
        <v xml:space="preserve">		public virtual TimeSpan? Winplantime { get; set; }
</v>
      </c>
      <c r="O20" t="str">
        <f t="shared" si="47"/>
        <v/>
      </c>
      <c r="P20" t="str">
        <f t="shared" si="48"/>
        <v xml:space="preserve">							Winplantime = o.Winplantime,</v>
      </c>
      <c r="T20" s="63" t="str">
        <f t="shared" si="49"/>
        <v xml:space="preserve">								("Winplantime"),</v>
      </c>
      <c r="V20" s="64" t="str">
        <f t="shared" si="50"/>
        <v xml:space="preserve">								_ =&gt; _.Winplantime,</v>
      </c>
      <c r="W20" s="63" t="str">
        <f t="shared" si="51"/>
        <v/>
      </c>
    </row>
    <row r="21" spans="1:23" customFormat="1" ht="18.75" customHeight="1" x14ac:dyDescent="0.3">
      <c r="A21" s="66" t="s">
        <v>377</v>
      </c>
      <c r="B21" s="66" t="s">
        <v>33</v>
      </c>
      <c r="C21" t="s">
        <v>1</v>
      </c>
      <c r="D21" t="str">
        <f t="shared" si="39"/>
        <v>Winplandatetime</v>
      </c>
      <c r="E21" t="str">
        <f t="shared" si="40"/>
        <v>datetime2</v>
      </c>
      <c r="F21" s="6"/>
      <c r="G21" t="str">
        <f t="shared" si="41"/>
        <v/>
      </c>
      <c r="H21" t="str">
        <f>+VLOOKUP(E21,'Data Type Mapping'!A:B,2,)</f>
        <v>DateTime?</v>
      </c>
      <c r="I21" t="str">
        <f t="shared" si="42"/>
        <v/>
      </c>
      <c r="J21" t="str">
        <f t="shared" si="43"/>
        <v xml:space="preserve">		public virtual DateTime? Winplandatetime { get; set; }
</v>
      </c>
      <c r="K21" s="6"/>
      <c r="L21" t="str">
        <f t="shared" si="44"/>
        <v/>
      </c>
      <c r="M21" t="str">
        <f t="shared" si="45"/>
        <v xml:space="preserve">		public virtual DateTime? Winplandatetime { get; set; }
</v>
      </c>
      <c r="N21" t="str">
        <f t="shared" si="46"/>
        <v xml:space="preserve">		public virtual DateTime? Winplandatetime { get; set; }
</v>
      </c>
      <c r="O21" t="str">
        <f t="shared" si="47"/>
        <v/>
      </c>
      <c r="P21" t="str">
        <f t="shared" si="48"/>
        <v xml:space="preserve">							Winplandatetime = o.Winplandatetime,</v>
      </c>
      <c r="T21" s="63" t="str">
        <f t="shared" si="49"/>
        <v xml:space="preserve">								("Winplandatetime"),</v>
      </c>
      <c r="V21" s="64" t="str">
        <f t="shared" si="50"/>
        <v xml:space="preserve">								_ =&gt; _.Winplandatetime,</v>
      </c>
      <c r="W21" s="63" t="str">
        <f t="shared" si="51"/>
        <v/>
      </c>
    </row>
    <row r="22" spans="1:23" customFormat="1" ht="18.75" customHeight="1" x14ac:dyDescent="0.3">
      <c r="A22" s="66" t="s">
        <v>378</v>
      </c>
      <c r="B22" s="66" t="s">
        <v>3</v>
      </c>
      <c r="C22" t="s">
        <v>1</v>
      </c>
      <c r="D22" t="str">
        <f t="shared" si="39"/>
        <v>Woutplandate</v>
      </c>
      <c r="E22" t="str">
        <f t="shared" si="40"/>
        <v>datetime</v>
      </c>
      <c r="F22" s="6"/>
      <c r="G22" t="str">
        <f t="shared" si="41"/>
        <v/>
      </c>
      <c r="H22" t="str">
        <f>+VLOOKUP(E22,'Data Type Mapping'!A:B,2,)</f>
        <v>DateTime?</v>
      </c>
      <c r="I22" t="str">
        <f t="shared" si="42"/>
        <v/>
      </c>
      <c r="J22" t="str">
        <f t="shared" si="43"/>
        <v xml:space="preserve">		public virtual DateTime? Woutplandate { get; set; }
</v>
      </c>
      <c r="K22" s="6"/>
      <c r="L22" t="str">
        <f t="shared" si="44"/>
        <v/>
      </c>
      <c r="M22" t="str">
        <f t="shared" si="45"/>
        <v xml:space="preserve">		public virtual DateTime? Woutplandate { get; set; }
</v>
      </c>
      <c r="N22" t="str">
        <f t="shared" si="46"/>
        <v xml:space="preserve">		public virtual DateTime? Woutplandate { get; set; }
</v>
      </c>
      <c r="O22" t="str">
        <f t="shared" si="47"/>
        <v/>
      </c>
      <c r="P22" t="str">
        <f t="shared" si="48"/>
        <v xml:space="preserve">							Woutplandate = o.Woutplandate,</v>
      </c>
      <c r="T22" s="63" t="str">
        <f t="shared" si="49"/>
        <v xml:space="preserve">								("Woutplandate"),</v>
      </c>
      <c r="V22" s="64" t="str">
        <f t="shared" si="50"/>
        <v xml:space="preserve">								_ =&gt; _.Woutplandate,</v>
      </c>
      <c r="W22" s="63" t="str">
        <f t="shared" si="51"/>
        <v/>
      </c>
    </row>
    <row r="23" spans="1:23" customFormat="1" ht="18.75" customHeight="1" x14ac:dyDescent="0.3">
      <c r="A23" s="66" t="s">
        <v>379</v>
      </c>
      <c r="B23" s="66" t="s">
        <v>263</v>
      </c>
      <c r="C23" t="s">
        <v>1</v>
      </c>
      <c r="D23" t="str">
        <f t="shared" si="39"/>
        <v>Woutplantime</v>
      </c>
      <c r="E23" t="str">
        <f t="shared" si="40"/>
        <v>time</v>
      </c>
      <c r="F23" s="6"/>
      <c r="G23" t="str">
        <f t="shared" si="41"/>
        <v/>
      </c>
      <c r="H23" t="str">
        <f>+VLOOKUP(E23,'Data Type Mapping'!A:B,2,)</f>
        <v>TimeSpan?</v>
      </c>
      <c r="I23" t="str">
        <f t="shared" si="42"/>
        <v/>
      </c>
      <c r="J23" t="str">
        <f t="shared" si="43"/>
        <v xml:space="preserve">		public virtual TimeSpan? Woutplantime { get; set; }
</v>
      </c>
      <c r="K23" s="6"/>
      <c r="L23" t="str">
        <f t="shared" si="44"/>
        <v/>
      </c>
      <c r="M23" t="str">
        <f t="shared" si="45"/>
        <v xml:space="preserve">		public virtual TimeSpan? Woutplantime { get; set; }
</v>
      </c>
      <c r="N23" t="str">
        <f t="shared" si="46"/>
        <v xml:space="preserve">		public virtual TimeSpan? Woutplantime { get; set; }
</v>
      </c>
      <c r="O23" t="str">
        <f t="shared" si="47"/>
        <v/>
      </c>
      <c r="P23" t="str">
        <f t="shared" si="48"/>
        <v xml:space="preserve">							Woutplantime = o.Woutplantime,</v>
      </c>
      <c r="T23" s="63" t="str">
        <f t="shared" si="49"/>
        <v xml:space="preserve">								("Woutplantime"),</v>
      </c>
      <c r="V23" s="64" t="str">
        <f t="shared" si="50"/>
        <v xml:space="preserve">								_ =&gt; _.Woutplantime,</v>
      </c>
      <c r="W23" s="63" t="str">
        <f t="shared" si="51"/>
        <v/>
      </c>
    </row>
    <row r="24" spans="1:23" customFormat="1" ht="18.75" customHeight="1" x14ac:dyDescent="0.3">
      <c r="A24" s="66" t="s">
        <v>380</v>
      </c>
      <c r="B24" s="66" t="s">
        <v>33</v>
      </c>
      <c r="C24" t="s">
        <v>1</v>
      </c>
      <c r="D24" t="str">
        <f t="shared" ref="D24:D40" si="52">SUBSTITUTE(PROPER(A24),"_","")</f>
        <v>Woutplandatetime</v>
      </c>
      <c r="E24" t="str">
        <f t="shared" ref="E24:E40" si="53">IFERROR(LEFT(B24, FIND("(",B24)-1),B24)</f>
        <v>datetime2</v>
      </c>
      <c r="F24" s="6"/>
      <c r="G24" t="str">
        <f t="shared" ref="G24:G40" si="54">IFERROR(MID(B24,FIND("(",B24) +1, FIND(")",B24) - FIND("(",B24) - 1),"")</f>
        <v/>
      </c>
      <c r="H24" t="str">
        <f>+VLOOKUP(E24,'Data Type Mapping'!A:B,2,)</f>
        <v>DateTime?</v>
      </c>
      <c r="I24" t="str">
        <f t="shared" ref="I24:I40" si="55">IF(H24="string",REPT(CHAR(9),2)&amp;"public const int Max"&amp;D24&amp;"Length = "&amp;G24&amp;";"&amp;$E$3,"" )</f>
        <v/>
      </c>
      <c r="J24" t="str">
        <f t="shared" ref="J24:J40" si="56">IF(F24="","",REPT(CHAR(9),2)&amp;"[Column(TypeName="""&amp;F24&amp;""")]"&amp;$E$3)&amp;IF(C24="Checked","",$I$3)&amp;IF(H24="string",REPT(CHAR(9),2)&amp;"[StringLength(Max"&amp;D24&amp;"Length"&amp;")]"&amp;$E$3,"")&amp;REPT(CHAR(9),2)&amp;"public virtual "&amp;H24&amp;IF(C24="?","? "," ")&amp;D24&amp;" { get; set; }" &amp; "
"</f>
        <v xml:space="preserve">		public virtual DateTime? Woutplandatetime { get; set; }
</v>
      </c>
      <c r="K24" s="6"/>
      <c r="L24" t="str">
        <f t="shared" ref="L24:L40" si="57">IF(K24="","",REPT(CHAR(9),1)&amp;"[Index(nameof("&amp;IF(D24="","",""&amp;D24)&amp;")"&amp;", Name="&amp;"""IX_"&amp;$B$7&amp;"_"&amp;D24&amp;""")]")</f>
        <v/>
      </c>
      <c r="M24" t="str">
        <f t="shared" ref="M24:M40" si="58">REPT(CHAR(9),2)&amp;"public virtual "&amp;IF(OR(H24="DateTime",H24="TimeSpan"),H24&amp;"?",H24)&amp;IF(C24="?","? "," ")&amp;D24&amp;" { get; set; }" &amp; "
"</f>
        <v xml:space="preserve">		public virtual DateTime? Woutplandatetime { get; set; }
</v>
      </c>
      <c r="N24" t="str">
        <f t="shared" ref="N24:N40" si="59">IF(C24="Checked","",$I$3)&amp;IF(H24="string",REPT(CHAR(9),2)&amp;"[StringLength("&amp;$B$3&amp;"Consts.Max"&amp;D24&amp;"Length"&amp;")]"&amp;$E$3,"")&amp;REPT(CHAR(9),2)&amp;"public virtual "&amp;IF(OR(H24="DateTime",H24="TimeSpan"),H24&amp;"?",H24)&amp;IF(C24="?","? "," ")&amp;D24&amp;" { get; set; }" &amp; "
"</f>
        <v xml:space="preserve">		public virtual DateTime? Woutplandatetime { get; set; }
</v>
      </c>
      <c r="O24" t="str">
        <f t="shared" ref="O24:O40" si="60">IF(OR(H24="string",H24="DateTime",H24="int"),REPT(CHAR(9),2)&amp;"public virtual "&amp;IF(OR(H24="DateTime",H24="TimeSpan"),H24&amp;"?",H24)&amp;IF(C24="?","? "," ")&amp;D24&amp;" { get; set; }"&amp;$E$3,"")</f>
        <v/>
      </c>
      <c r="P24" t="str">
        <f t="shared" ref="P24:P40" si="61">REPT(CHAR(9),7)&amp;D24&amp;" = o." &amp;D24 &amp;","</f>
        <v xml:space="preserve">							Woutplandatetime = o.Woutplandatetime,</v>
      </c>
      <c r="T24" s="63" t="str">
        <f t="shared" ref="T24:T40" si="62">REPT(CHAR(9),8)&amp;"("""&amp;D24&amp;"""),"</f>
        <v xml:space="preserve">								("Woutplandatetime"),</v>
      </c>
      <c r="V24" s="64" t="str">
        <f t="shared" ref="V24:V40" si="63">REPT(CHAR(9),8)&amp;"_ =&gt; _."&amp;D24&amp;","</f>
        <v xml:space="preserve">								_ =&gt; _.Woutplandatetime,</v>
      </c>
      <c r="W24" s="63" t="str">
        <f t="shared" ref="W24:W40" si="64">IF(H24="string",REPT(CHAR(9),4)&amp;".WhereIf(!string.IsNullOrWhiteSpace(input."&amp;D24&amp;"), e =&gt; e."&amp;D24&amp;".Contains(input."&amp;D24&amp;"))",IF(H24="DateTime",REPT(CHAR(9),4)&amp;".WhereIf(input."&amp;D24&amp;".HasValue, t =&gt; t."&amp;D24&amp;" == input."&amp;D24&amp;".Value)",""))</f>
        <v/>
      </c>
    </row>
    <row r="25" spans="1:23" customFormat="1" ht="18.75" customHeight="1" x14ac:dyDescent="0.3">
      <c r="A25" s="66" t="s">
        <v>381</v>
      </c>
      <c r="B25" s="66" t="s">
        <v>2</v>
      </c>
      <c r="C25" t="s">
        <v>1</v>
      </c>
      <c r="D25" t="str">
        <f t="shared" si="52"/>
        <v>Tinplandate</v>
      </c>
      <c r="E25" t="str">
        <f t="shared" si="53"/>
        <v>date</v>
      </c>
      <c r="F25" s="6"/>
      <c r="G25" t="str">
        <f t="shared" si="54"/>
        <v/>
      </c>
      <c r="H25" t="str">
        <f>+VLOOKUP(E25,'Data Type Mapping'!A:B,2,)</f>
        <v>DateTime?</v>
      </c>
      <c r="I25" t="str">
        <f t="shared" si="55"/>
        <v/>
      </c>
      <c r="J25" t="str">
        <f t="shared" si="56"/>
        <v xml:space="preserve">		public virtual DateTime? Tinplandate { get; set; }
</v>
      </c>
      <c r="K25" s="6"/>
      <c r="L25" t="str">
        <f t="shared" si="57"/>
        <v/>
      </c>
      <c r="M25" t="str">
        <f t="shared" si="58"/>
        <v xml:space="preserve">		public virtual DateTime? Tinplandate { get; set; }
</v>
      </c>
      <c r="N25" t="str">
        <f t="shared" si="59"/>
        <v xml:space="preserve">		public virtual DateTime? Tinplandate { get; set; }
</v>
      </c>
      <c r="O25" t="str">
        <f t="shared" si="60"/>
        <v/>
      </c>
      <c r="P25" t="str">
        <f t="shared" si="61"/>
        <v xml:space="preserve">							Tinplandate = o.Tinplandate,</v>
      </c>
      <c r="T25" s="63" t="str">
        <f t="shared" si="62"/>
        <v xml:space="preserve">								("Tinplandate"),</v>
      </c>
      <c r="V25" s="64" t="str">
        <f t="shared" si="63"/>
        <v xml:space="preserve">								_ =&gt; _.Tinplandate,</v>
      </c>
      <c r="W25" s="63" t="str">
        <f t="shared" si="64"/>
        <v/>
      </c>
    </row>
    <row r="26" spans="1:23" customFormat="1" ht="18.75" customHeight="1" x14ac:dyDescent="0.3">
      <c r="A26" s="66" t="s">
        <v>382</v>
      </c>
      <c r="B26" s="66" t="s">
        <v>263</v>
      </c>
      <c r="C26" t="s">
        <v>1</v>
      </c>
      <c r="D26" t="str">
        <f t="shared" si="52"/>
        <v>Tinplantime</v>
      </c>
      <c r="E26" t="str">
        <f t="shared" si="53"/>
        <v>time</v>
      </c>
      <c r="F26" s="6"/>
      <c r="G26" t="str">
        <f t="shared" si="54"/>
        <v/>
      </c>
      <c r="H26" t="str">
        <f>+VLOOKUP(E26,'Data Type Mapping'!A:B,2,)</f>
        <v>TimeSpan?</v>
      </c>
      <c r="I26" t="str">
        <f t="shared" si="55"/>
        <v/>
      </c>
      <c r="J26" t="str">
        <f t="shared" si="56"/>
        <v xml:space="preserve">		public virtual TimeSpan? Tinplantime { get; set; }
</v>
      </c>
      <c r="K26" s="6"/>
      <c r="L26" t="str">
        <f t="shared" si="57"/>
        <v/>
      </c>
      <c r="M26" t="str">
        <f t="shared" si="58"/>
        <v xml:space="preserve">		public virtual TimeSpan? Tinplantime { get; set; }
</v>
      </c>
      <c r="N26" t="str">
        <f t="shared" si="59"/>
        <v xml:space="preserve">		public virtual TimeSpan? Tinplantime { get; set; }
</v>
      </c>
      <c r="O26" t="str">
        <f t="shared" si="60"/>
        <v/>
      </c>
      <c r="P26" t="str">
        <f t="shared" si="61"/>
        <v xml:space="preserve">							Tinplantime = o.Tinplantime,</v>
      </c>
      <c r="T26" s="63" t="str">
        <f t="shared" si="62"/>
        <v xml:space="preserve">								("Tinplantime"),</v>
      </c>
      <c r="V26" s="64" t="str">
        <f t="shared" si="63"/>
        <v xml:space="preserve">								_ =&gt; _.Tinplantime,</v>
      </c>
      <c r="W26" s="63" t="str">
        <f t="shared" si="64"/>
        <v/>
      </c>
    </row>
    <row r="27" spans="1:23" customFormat="1" ht="18.75" customHeight="1" x14ac:dyDescent="0.3">
      <c r="A27" s="66" t="s">
        <v>383</v>
      </c>
      <c r="B27" s="66" t="s">
        <v>33</v>
      </c>
      <c r="C27" t="s">
        <v>1</v>
      </c>
      <c r="D27" t="str">
        <f t="shared" si="52"/>
        <v>Tinplandatetime</v>
      </c>
      <c r="E27" t="str">
        <f t="shared" si="53"/>
        <v>datetime2</v>
      </c>
      <c r="F27" s="6"/>
      <c r="G27" t="str">
        <f t="shared" si="54"/>
        <v/>
      </c>
      <c r="H27" t="str">
        <f>+VLOOKUP(E27,'Data Type Mapping'!A:B,2,)</f>
        <v>DateTime?</v>
      </c>
      <c r="I27" t="str">
        <f t="shared" si="55"/>
        <v/>
      </c>
      <c r="J27" t="str">
        <f t="shared" si="56"/>
        <v xml:space="preserve">		public virtual DateTime? Tinplandatetime { get; set; }
</v>
      </c>
      <c r="K27" s="6"/>
      <c r="L27" t="str">
        <f t="shared" si="57"/>
        <v/>
      </c>
      <c r="M27" t="str">
        <f t="shared" si="58"/>
        <v xml:space="preserve">		public virtual DateTime? Tinplandatetime { get; set; }
</v>
      </c>
      <c r="N27" t="str">
        <f t="shared" si="59"/>
        <v xml:space="preserve">		public virtual DateTime? Tinplandatetime { get; set; }
</v>
      </c>
      <c r="O27" t="str">
        <f t="shared" si="60"/>
        <v/>
      </c>
      <c r="P27" t="str">
        <f t="shared" si="61"/>
        <v xml:space="preserve">							Tinplandatetime = o.Tinplandatetime,</v>
      </c>
      <c r="T27" s="63" t="str">
        <f t="shared" si="62"/>
        <v xml:space="preserve">								("Tinplandatetime"),</v>
      </c>
      <c r="V27" s="64" t="str">
        <f t="shared" si="63"/>
        <v xml:space="preserve">								_ =&gt; _.Tinplandatetime,</v>
      </c>
      <c r="W27" s="63" t="str">
        <f t="shared" si="64"/>
        <v/>
      </c>
    </row>
    <row r="28" spans="1:23" customFormat="1" ht="18.75" customHeight="1" x14ac:dyDescent="0.3">
      <c r="A28" s="66" t="s">
        <v>384</v>
      </c>
      <c r="B28" s="66" t="s">
        <v>2</v>
      </c>
      <c r="C28" t="s">
        <v>1</v>
      </c>
      <c r="D28" t="str">
        <f t="shared" si="52"/>
        <v>Toutplandate</v>
      </c>
      <c r="E28" t="str">
        <f t="shared" si="53"/>
        <v>date</v>
      </c>
      <c r="F28" s="6"/>
      <c r="G28" t="str">
        <f t="shared" si="54"/>
        <v/>
      </c>
      <c r="H28" t="str">
        <f>+VLOOKUP(E28,'Data Type Mapping'!A:B,2,)</f>
        <v>DateTime?</v>
      </c>
      <c r="I28" t="str">
        <f t="shared" si="55"/>
        <v/>
      </c>
      <c r="J28" t="str">
        <f t="shared" si="56"/>
        <v xml:space="preserve">		public virtual DateTime? Toutplandate { get; set; }
</v>
      </c>
      <c r="K28" s="6"/>
      <c r="L28" t="str">
        <f t="shared" si="57"/>
        <v/>
      </c>
      <c r="M28" t="str">
        <f t="shared" si="58"/>
        <v xml:space="preserve">		public virtual DateTime? Toutplandate { get; set; }
</v>
      </c>
      <c r="N28" t="str">
        <f t="shared" si="59"/>
        <v xml:space="preserve">		public virtual DateTime? Toutplandate { get; set; }
</v>
      </c>
      <c r="O28" t="str">
        <f t="shared" si="60"/>
        <v/>
      </c>
      <c r="P28" t="str">
        <f t="shared" si="61"/>
        <v xml:space="preserve">							Toutplandate = o.Toutplandate,</v>
      </c>
      <c r="T28" s="63" t="str">
        <f t="shared" si="62"/>
        <v xml:space="preserve">								("Toutplandate"),</v>
      </c>
      <c r="V28" s="64" t="str">
        <f t="shared" si="63"/>
        <v xml:space="preserve">								_ =&gt; _.Toutplandate,</v>
      </c>
      <c r="W28" s="63" t="str">
        <f t="shared" si="64"/>
        <v/>
      </c>
    </row>
    <row r="29" spans="1:23" customFormat="1" ht="18.75" customHeight="1" x14ac:dyDescent="0.3">
      <c r="A29" s="66" t="s">
        <v>385</v>
      </c>
      <c r="B29" s="66" t="s">
        <v>263</v>
      </c>
      <c r="C29" t="s">
        <v>1</v>
      </c>
      <c r="D29" t="str">
        <f t="shared" si="52"/>
        <v>Toutplantime</v>
      </c>
      <c r="E29" t="str">
        <f t="shared" si="53"/>
        <v>time</v>
      </c>
      <c r="F29" s="6"/>
      <c r="G29" t="str">
        <f t="shared" si="54"/>
        <v/>
      </c>
      <c r="H29" t="str">
        <f>+VLOOKUP(E29,'Data Type Mapping'!A:B,2,)</f>
        <v>TimeSpan?</v>
      </c>
      <c r="I29" t="str">
        <f t="shared" si="55"/>
        <v/>
      </c>
      <c r="J29" t="str">
        <f t="shared" si="56"/>
        <v xml:space="preserve">		public virtual TimeSpan? Toutplantime { get; set; }
</v>
      </c>
      <c r="K29" s="6"/>
      <c r="L29" t="str">
        <f t="shared" si="57"/>
        <v/>
      </c>
      <c r="M29" t="str">
        <f t="shared" si="58"/>
        <v xml:space="preserve">		public virtual TimeSpan? Toutplantime { get; set; }
</v>
      </c>
      <c r="N29" t="str">
        <f t="shared" si="59"/>
        <v xml:space="preserve">		public virtual TimeSpan? Toutplantime { get; set; }
</v>
      </c>
      <c r="O29" t="str">
        <f t="shared" si="60"/>
        <v/>
      </c>
      <c r="P29" t="str">
        <f t="shared" si="61"/>
        <v xml:space="preserve">							Toutplantime = o.Toutplantime,</v>
      </c>
      <c r="T29" s="63" t="str">
        <f t="shared" si="62"/>
        <v xml:space="preserve">								("Toutplantime"),</v>
      </c>
      <c r="V29" s="64" t="str">
        <f t="shared" si="63"/>
        <v xml:space="preserve">								_ =&gt; _.Toutplantime,</v>
      </c>
      <c r="W29" s="63" t="str">
        <f t="shared" si="64"/>
        <v/>
      </c>
    </row>
    <row r="30" spans="1:23" customFormat="1" ht="18.75" customHeight="1" x14ac:dyDescent="0.3">
      <c r="A30" s="66" t="s">
        <v>386</v>
      </c>
      <c r="B30" s="66" t="s">
        <v>33</v>
      </c>
      <c r="C30" t="s">
        <v>1</v>
      </c>
      <c r="D30" t="str">
        <f t="shared" si="52"/>
        <v>Toutplandatetime</v>
      </c>
      <c r="E30" t="str">
        <f t="shared" si="53"/>
        <v>datetime2</v>
      </c>
      <c r="F30" s="6"/>
      <c r="G30" t="str">
        <f t="shared" si="54"/>
        <v/>
      </c>
      <c r="H30" t="str">
        <f>+VLOOKUP(E30,'Data Type Mapping'!A:B,2,)</f>
        <v>DateTime?</v>
      </c>
      <c r="I30" t="str">
        <f t="shared" si="55"/>
        <v/>
      </c>
      <c r="J30" t="str">
        <f t="shared" si="56"/>
        <v xml:space="preserve">		public virtual DateTime? Toutplandatetime { get; set; }
</v>
      </c>
      <c r="K30" s="6"/>
      <c r="L30" t="str">
        <f t="shared" si="57"/>
        <v/>
      </c>
      <c r="M30" t="str">
        <f t="shared" si="58"/>
        <v xml:space="preserve">		public virtual DateTime? Toutplandatetime { get; set; }
</v>
      </c>
      <c r="N30" t="str">
        <f t="shared" si="59"/>
        <v xml:space="preserve">		public virtual DateTime? Toutplandatetime { get; set; }
</v>
      </c>
      <c r="O30" t="str">
        <f t="shared" si="60"/>
        <v/>
      </c>
      <c r="P30" t="str">
        <f t="shared" si="61"/>
        <v xml:space="preserve">							Toutplandatetime = o.Toutplandatetime,</v>
      </c>
      <c r="T30" s="63" t="str">
        <f t="shared" si="62"/>
        <v xml:space="preserve">								("Toutplandatetime"),</v>
      </c>
      <c r="V30" s="64" t="str">
        <f t="shared" si="63"/>
        <v xml:space="preserve">								_ =&gt; _.Toutplandatetime,</v>
      </c>
      <c r="W30" s="63" t="str">
        <f t="shared" si="64"/>
        <v/>
      </c>
    </row>
    <row r="31" spans="1:23" customFormat="1" ht="18.75" customHeight="1" x14ac:dyDescent="0.3">
      <c r="A31" s="66" t="s">
        <v>387</v>
      </c>
      <c r="B31" s="66" t="s">
        <v>2</v>
      </c>
      <c r="C31" t="s">
        <v>1</v>
      </c>
      <c r="D31" t="str">
        <f t="shared" si="52"/>
        <v>Ainplandate</v>
      </c>
      <c r="E31" t="str">
        <f t="shared" si="53"/>
        <v>date</v>
      </c>
      <c r="F31" s="6"/>
      <c r="G31" t="str">
        <f t="shared" si="54"/>
        <v/>
      </c>
      <c r="H31" t="str">
        <f>+VLOOKUP(E31,'Data Type Mapping'!A:B,2,)</f>
        <v>DateTime?</v>
      </c>
      <c r="I31" t="str">
        <f t="shared" si="55"/>
        <v/>
      </c>
      <c r="J31" t="str">
        <f t="shared" si="56"/>
        <v xml:space="preserve">		public virtual DateTime? Ainplandate { get; set; }
</v>
      </c>
      <c r="K31" s="6"/>
      <c r="L31" t="str">
        <f t="shared" si="57"/>
        <v/>
      </c>
      <c r="M31" t="str">
        <f t="shared" si="58"/>
        <v xml:space="preserve">		public virtual DateTime? Ainplandate { get; set; }
</v>
      </c>
      <c r="N31" t="str">
        <f t="shared" si="59"/>
        <v xml:space="preserve">		public virtual DateTime? Ainplandate { get; set; }
</v>
      </c>
      <c r="O31" t="str">
        <f t="shared" si="60"/>
        <v/>
      </c>
      <c r="P31" t="str">
        <f t="shared" si="61"/>
        <v xml:space="preserve">							Ainplandate = o.Ainplandate,</v>
      </c>
      <c r="T31" s="63" t="str">
        <f t="shared" si="62"/>
        <v xml:space="preserve">								("Ainplandate"),</v>
      </c>
      <c r="V31" s="64" t="str">
        <f t="shared" si="63"/>
        <v xml:space="preserve">								_ =&gt; _.Ainplandate,</v>
      </c>
      <c r="W31" s="63" t="str">
        <f t="shared" si="64"/>
        <v/>
      </c>
    </row>
    <row r="32" spans="1:23" customFormat="1" ht="18.75" customHeight="1" x14ac:dyDescent="0.3">
      <c r="A32" s="66" t="s">
        <v>388</v>
      </c>
      <c r="B32" s="66" t="s">
        <v>263</v>
      </c>
      <c r="C32" t="s">
        <v>1</v>
      </c>
      <c r="D32" t="str">
        <f t="shared" si="52"/>
        <v>Ainplantime</v>
      </c>
      <c r="E32" t="str">
        <f t="shared" si="53"/>
        <v>time</v>
      </c>
      <c r="F32" s="6"/>
      <c r="G32" t="str">
        <f t="shared" si="54"/>
        <v/>
      </c>
      <c r="H32" t="str">
        <f>+VLOOKUP(E32,'Data Type Mapping'!A:B,2,)</f>
        <v>TimeSpan?</v>
      </c>
      <c r="I32" t="str">
        <f t="shared" si="55"/>
        <v/>
      </c>
      <c r="J32" t="str">
        <f t="shared" si="56"/>
        <v xml:space="preserve">		public virtual TimeSpan? Ainplantime { get; set; }
</v>
      </c>
      <c r="K32" s="6"/>
      <c r="L32" t="str">
        <f t="shared" si="57"/>
        <v/>
      </c>
      <c r="M32" t="str">
        <f t="shared" si="58"/>
        <v xml:space="preserve">		public virtual TimeSpan? Ainplantime { get; set; }
</v>
      </c>
      <c r="N32" t="str">
        <f t="shared" si="59"/>
        <v xml:space="preserve">		public virtual TimeSpan? Ainplantime { get; set; }
</v>
      </c>
      <c r="O32" t="str">
        <f t="shared" si="60"/>
        <v/>
      </c>
      <c r="P32" t="str">
        <f t="shared" si="61"/>
        <v xml:space="preserve">							Ainplantime = o.Ainplantime,</v>
      </c>
      <c r="T32" s="63" t="str">
        <f t="shared" si="62"/>
        <v xml:space="preserve">								("Ainplantime"),</v>
      </c>
      <c r="V32" s="64" t="str">
        <f t="shared" si="63"/>
        <v xml:space="preserve">								_ =&gt; _.Ainplantime,</v>
      </c>
      <c r="W32" s="63" t="str">
        <f t="shared" si="64"/>
        <v/>
      </c>
    </row>
    <row r="33" spans="1:23" customFormat="1" ht="18.75" customHeight="1" x14ac:dyDescent="0.3">
      <c r="A33" s="66" t="s">
        <v>389</v>
      </c>
      <c r="B33" s="66" t="s">
        <v>33</v>
      </c>
      <c r="C33" t="s">
        <v>1</v>
      </c>
      <c r="D33" t="str">
        <f t="shared" si="52"/>
        <v>Ainplandatetime</v>
      </c>
      <c r="E33" t="str">
        <f t="shared" si="53"/>
        <v>datetime2</v>
      </c>
      <c r="F33" s="6"/>
      <c r="G33" t="str">
        <f t="shared" si="54"/>
        <v/>
      </c>
      <c r="H33" t="str">
        <f>+VLOOKUP(E33,'Data Type Mapping'!A:B,2,)</f>
        <v>DateTime?</v>
      </c>
      <c r="I33" t="str">
        <f t="shared" si="55"/>
        <v/>
      </c>
      <c r="J33" t="str">
        <f t="shared" si="56"/>
        <v xml:space="preserve">		public virtual DateTime? Ainplandatetime { get; set; }
</v>
      </c>
      <c r="K33" s="6"/>
      <c r="L33" t="str">
        <f t="shared" si="57"/>
        <v/>
      </c>
      <c r="M33" t="str">
        <f t="shared" si="58"/>
        <v xml:space="preserve">		public virtual DateTime? Ainplandatetime { get; set; }
</v>
      </c>
      <c r="N33" t="str">
        <f t="shared" si="59"/>
        <v xml:space="preserve">		public virtual DateTime? Ainplandatetime { get; set; }
</v>
      </c>
      <c r="O33" t="str">
        <f t="shared" si="60"/>
        <v/>
      </c>
      <c r="P33" t="str">
        <f t="shared" si="61"/>
        <v xml:space="preserve">							Ainplandatetime = o.Ainplandatetime,</v>
      </c>
      <c r="T33" s="63" t="str">
        <f t="shared" si="62"/>
        <v xml:space="preserve">								("Ainplandatetime"),</v>
      </c>
      <c r="V33" s="64" t="str">
        <f t="shared" si="63"/>
        <v xml:space="preserve">								_ =&gt; _.Ainplandatetime,</v>
      </c>
      <c r="W33" s="63" t="str">
        <f t="shared" si="64"/>
        <v/>
      </c>
    </row>
    <row r="34" spans="1:23" customFormat="1" ht="18.75" customHeight="1" x14ac:dyDescent="0.3">
      <c r="A34" s="66" t="s">
        <v>390</v>
      </c>
      <c r="B34" s="66" t="s">
        <v>2</v>
      </c>
      <c r="C34" t="s">
        <v>1</v>
      </c>
      <c r="D34" t="str">
        <f t="shared" si="52"/>
        <v>Aoutplandate</v>
      </c>
      <c r="E34" t="str">
        <f t="shared" si="53"/>
        <v>date</v>
      </c>
      <c r="F34" s="6"/>
      <c r="G34" t="str">
        <f t="shared" si="54"/>
        <v/>
      </c>
      <c r="H34" t="str">
        <f>+VLOOKUP(E34,'Data Type Mapping'!A:B,2,)</f>
        <v>DateTime?</v>
      </c>
      <c r="I34" t="str">
        <f t="shared" si="55"/>
        <v/>
      </c>
      <c r="J34" t="str">
        <f t="shared" si="56"/>
        <v xml:space="preserve">		public virtual DateTime? Aoutplandate { get; set; }
</v>
      </c>
      <c r="K34" s="6"/>
      <c r="L34" t="str">
        <f t="shared" si="57"/>
        <v/>
      </c>
      <c r="M34" t="str">
        <f t="shared" si="58"/>
        <v xml:space="preserve">		public virtual DateTime? Aoutplandate { get; set; }
</v>
      </c>
      <c r="N34" t="str">
        <f t="shared" si="59"/>
        <v xml:space="preserve">		public virtual DateTime? Aoutplandate { get; set; }
</v>
      </c>
      <c r="O34" t="str">
        <f t="shared" si="60"/>
        <v/>
      </c>
      <c r="P34" t="str">
        <f t="shared" si="61"/>
        <v xml:space="preserve">							Aoutplandate = o.Aoutplandate,</v>
      </c>
      <c r="T34" s="63" t="str">
        <f t="shared" si="62"/>
        <v xml:space="preserve">								("Aoutplandate"),</v>
      </c>
      <c r="V34" s="64" t="str">
        <f t="shared" si="63"/>
        <v xml:space="preserve">								_ =&gt; _.Aoutplandate,</v>
      </c>
      <c r="W34" s="63" t="str">
        <f t="shared" si="64"/>
        <v/>
      </c>
    </row>
    <row r="35" spans="1:23" customFormat="1" ht="18.75" customHeight="1" x14ac:dyDescent="0.3">
      <c r="A35" s="66" t="s">
        <v>391</v>
      </c>
      <c r="B35" s="66" t="s">
        <v>263</v>
      </c>
      <c r="C35" t="s">
        <v>1</v>
      </c>
      <c r="D35" t="str">
        <f t="shared" si="52"/>
        <v>Aoutplantime</v>
      </c>
      <c r="E35" t="str">
        <f t="shared" si="53"/>
        <v>time</v>
      </c>
      <c r="F35" s="6"/>
      <c r="G35" t="str">
        <f t="shared" si="54"/>
        <v/>
      </c>
      <c r="H35" t="str">
        <f>+VLOOKUP(E35,'Data Type Mapping'!A:B,2,)</f>
        <v>TimeSpan?</v>
      </c>
      <c r="I35" t="str">
        <f t="shared" si="55"/>
        <v/>
      </c>
      <c r="J35" t="str">
        <f t="shared" si="56"/>
        <v xml:space="preserve">		public virtual TimeSpan? Aoutplantime { get; set; }
</v>
      </c>
      <c r="K35" s="6"/>
      <c r="L35" t="str">
        <f t="shared" si="57"/>
        <v/>
      </c>
      <c r="M35" t="str">
        <f t="shared" si="58"/>
        <v xml:space="preserve">		public virtual TimeSpan? Aoutplantime { get; set; }
</v>
      </c>
      <c r="N35" t="str">
        <f t="shared" si="59"/>
        <v xml:space="preserve">		public virtual TimeSpan? Aoutplantime { get; set; }
</v>
      </c>
      <c r="O35" t="str">
        <f t="shared" si="60"/>
        <v/>
      </c>
      <c r="P35" t="str">
        <f t="shared" si="61"/>
        <v xml:space="preserve">							Aoutplantime = o.Aoutplantime,</v>
      </c>
      <c r="T35" s="63" t="str">
        <f t="shared" si="62"/>
        <v xml:space="preserve">								("Aoutplantime"),</v>
      </c>
      <c r="V35" s="64" t="str">
        <f t="shared" si="63"/>
        <v xml:space="preserve">								_ =&gt; _.Aoutplantime,</v>
      </c>
      <c r="W35" s="63" t="str">
        <f t="shared" si="64"/>
        <v/>
      </c>
    </row>
    <row r="36" spans="1:23" customFormat="1" ht="18.75" customHeight="1" x14ac:dyDescent="0.3">
      <c r="A36" s="66" t="s">
        <v>392</v>
      </c>
      <c r="B36" s="66" t="s">
        <v>33</v>
      </c>
      <c r="C36" t="s">
        <v>1</v>
      </c>
      <c r="D36" t="str">
        <f t="shared" si="52"/>
        <v>Aoutplandatetime</v>
      </c>
      <c r="E36" t="str">
        <f t="shared" si="53"/>
        <v>datetime2</v>
      </c>
      <c r="F36" s="6"/>
      <c r="G36" t="str">
        <f t="shared" si="54"/>
        <v/>
      </c>
      <c r="H36" t="str">
        <f>+VLOOKUP(E36,'Data Type Mapping'!A:B,2,)</f>
        <v>DateTime?</v>
      </c>
      <c r="I36" t="str">
        <f t="shared" si="55"/>
        <v/>
      </c>
      <c r="J36" t="str">
        <f t="shared" si="56"/>
        <v xml:space="preserve">		public virtual DateTime? Aoutplandatetime { get; set; }
</v>
      </c>
      <c r="K36" s="6"/>
      <c r="L36" t="str">
        <f t="shared" si="57"/>
        <v/>
      </c>
      <c r="M36" t="str">
        <f t="shared" si="58"/>
        <v xml:space="preserve">		public virtual DateTime? Aoutplandatetime { get; set; }
</v>
      </c>
      <c r="N36" t="str">
        <f t="shared" si="59"/>
        <v xml:space="preserve">		public virtual DateTime? Aoutplandatetime { get; set; }
</v>
      </c>
      <c r="O36" t="str">
        <f t="shared" si="60"/>
        <v/>
      </c>
      <c r="P36" t="str">
        <f t="shared" si="61"/>
        <v xml:space="preserve">							Aoutplandatetime = o.Aoutplandatetime,</v>
      </c>
      <c r="T36" s="63" t="str">
        <f t="shared" si="62"/>
        <v xml:space="preserve">								("Aoutplandatetime"),</v>
      </c>
      <c r="V36" s="64" t="str">
        <f t="shared" si="63"/>
        <v xml:space="preserve">								_ =&gt; _.Aoutplandatetime,</v>
      </c>
      <c r="W36" s="63" t="str">
        <f t="shared" si="64"/>
        <v/>
      </c>
    </row>
    <row r="37" spans="1:23" customFormat="1" ht="18.75" customHeight="1" x14ac:dyDescent="0.3">
      <c r="A37" s="66" t="s">
        <v>393</v>
      </c>
      <c r="B37" s="66" t="s">
        <v>2</v>
      </c>
      <c r="C37" t="s">
        <v>1</v>
      </c>
      <c r="D37" t="str">
        <f t="shared" si="52"/>
        <v>Lineoffdate</v>
      </c>
      <c r="E37" t="str">
        <f t="shared" si="53"/>
        <v>date</v>
      </c>
      <c r="F37" s="6"/>
      <c r="G37" t="str">
        <f t="shared" si="54"/>
        <v/>
      </c>
      <c r="H37" t="str">
        <f>+VLOOKUP(E37,'Data Type Mapping'!A:B,2,)</f>
        <v>DateTime?</v>
      </c>
      <c r="I37" t="str">
        <f t="shared" si="55"/>
        <v/>
      </c>
      <c r="J37" t="str">
        <f t="shared" si="56"/>
        <v xml:space="preserve">		public virtual DateTime? Lineoffdate { get; set; }
</v>
      </c>
      <c r="K37" s="6"/>
      <c r="L37" t="str">
        <f t="shared" si="57"/>
        <v/>
      </c>
      <c r="M37" t="str">
        <f t="shared" si="58"/>
        <v xml:space="preserve">		public virtual DateTime? Lineoffdate { get; set; }
</v>
      </c>
      <c r="N37" t="str">
        <f t="shared" si="59"/>
        <v xml:space="preserve">		public virtual DateTime? Lineoffdate { get; set; }
</v>
      </c>
      <c r="O37" t="str">
        <f t="shared" si="60"/>
        <v/>
      </c>
      <c r="P37" t="str">
        <f t="shared" si="61"/>
        <v xml:space="preserve">							Lineoffdate = o.Lineoffdate,</v>
      </c>
      <c r="T37" s="63" t="str">
        <f t="shared" si="62"/>
        <v xml:space="preserve">								("Lineoffdate"),</v>
      </c>
      <c r="V37" s="64" t="str">
        <f t="shared" si="63"/>
        <v xml:space="preserve">								_ =&gt; _.Lineoffdate,</v>
      </c>
      <c r="W37" s="63" t="str">
        <f t="shared" si="64"/>
        <v/>
      </c>
    </row>
    <row r="38" spans="1:23" customFormat="1" ht="18.75" customHeight="1" x14ac:dyDescent="0.3">
      <c r="A38" s="66" t="s">
        <v>394</v>
      </c>
      <c r="B38" s="66" t="s">
        <v>263</v>
      </c>
      <c r="C38" t="s">
        <v>1</v>
      </c>
      <c r="D38" t="str">
        <f t="shared" si="52"/>
        <v>Lineofftime</v>
      </c>
      <c r="E38" t="str">
        <f t="shared" si="53"/>
        <v>time</v>
      </c>
      <c r="F38" s="6"/>
      <c r="G38" t="str">
        <f t="shared" si="54"/>
        <v/>
      </c>
      <c r="H38" t="str">
        <f>+VLOOKUP(E38,'Data Type Mapping'!A:B,2,)</f>
        <v>TimeSpan?</v>
      </c>
      <c r="I38" t="str">
        <f t="shared" si="55"/>
        <v/>
      </c>
      <c r="J38" t="str">
        <f t="shared" si="56"/>
        <v xml:space="preserve">		public virtual TimeSpan? Lineofftime { get; set; }
</v>
      </c>
      <c r="K38" s="6"/>
      <c r="L38" t="str">
        <f t="shared" si="57"/>
        <v/>
      </c>
      <c r="M38" t="str">
        <f t="shared" si="58"/>
        <v xml:space="preserve">		public virtual TimeSpan? Lineofftime { get; set; }
</v>
      </c>
      <c r="N38" t="str">
        <f t="shared" si="59"/>
        <v xml:space="preserve">		public virtual TimeSpan? Lineofftime { get; set; }
</v>
      </c>
      <c r="O38" t="str">
        <f t="shared" si="60"/>
        <v/>
      </c>
      <c r="P38" t="str">
        <f t="shared" si="61"/>
        <v xml:space="preserve">							Lineofftime = o.Lineofftime,</v>
      </c>
      <c r="T38" s="63" t="str">
        <f t="shared" si="62"/>
        <v xml:space="preserve">								("Lineofftime"),</v>
      </c>
      <c r="V38" s="64" t="str">
        <f t="shared" si="63"/>
        <v xml:space="preserve">								_ =&gt; _.Lineofftime,</v>
      </c>
      <c r="W38" s="63" t="str">
        <f t="shared" si="64"/>
        <v/>
      </c>
    </row>
    <row r="39" spans="1:23" customFormat="1" ht="18.75" customHeight="1" x14ac:dyDescent="0.3">
      <c r="A39" s="66" t="s">
        <v>395</v>
      </c>
      <c r="B39" s="66" t="s">
        <v>33</v>
      </c>
      <c r="C39" t="s">
        <v>1</v>
      </c>
      <c r="D39" t="str">
        <f t="shared" si="52"/>
        <v>Lineoffdatetime</v>
      </c>
      <c r="E39" t="str">
        <f t="shared" si="53"/>
        <v>datetime2</v>
      </c>
      <c r="F39" s="6"/>
      <c r="G39" t="str">
        <f t="shared" si="54"/>
        <v/>
      </c>
      <c r="H39" t="str">
        <f>+VLOOKUP(E39,'Data Type Mapping'!A:B,2,)</f>
        <v>DateTime?</v>
      </c>
      <c r="I39" t="str">
        <f t="shared" si="55"/>
        <v/>
      </c>
      <c r="J39" t="str">
        <f t="shared" si="56"/>
        <v xml:space="preserve">		public virtual DateTime? Lineoffdatetime { get; set; }
</v>
      </c>
      <c r="K39" s="6"/>
      <c r="L39" t="str">
        <f t="shared" si="57"/>
        <v/>
      </c>
      <c r="M39" t="str">
        <f t="shared" si="58"/>
        <v xml:space="preserve">		public virtual DateTime? Lineoffdatetime { get; set; }
</v>
      </c>
      <c r="N39" t="str">
        <f t="shared" si="59"/>
        <v xml:space="preserve">		public virtual DateTime? Lineoffdatetime { get; set; }
</v>
      </c>
      <c r="O39" t="str">
        <f t="shared" si="60"/>
        <v/>
      </c>
      <c r="P39" t="str">
        <f t="shared" si="61"/>
        <v xml:space="preserve">							Lineoffdatetime = o.Lineoffdatetime,</v>
      </c>
      <c r="T39" s="63" t="str">
        <f t="shared" si="62"/>
        <v xml:space="preserve">								("Lineoffdatetime"),</v>
      </c>
      <c r="V39" s="64" t="str">
        <f t="shared" si="63"/>
        <v xml:space="preserve">								_ =&gt; _.Lineoffdatetime,</v>
      </c>
      <c r="W39" s="63" t="str">
        <f t="shared" si="64"/>
        <v/>
      </c>
    </row>
    <row r="40" spans="1:23" customFormat="1" ht="18.75" customHeight="1" x14ac:dyDescent="0.3">
      <c r="A40" s="66" t="s">
        <v>396</v>
      </c>
      <c r="B40" s="66" t="s">
        <v>2</v>
      </c>
      <c r="C40" t="s">
        <v>1</v>
      </c>
      <c r="D40" t="str">
        <f t="shared" si="52"/>
        <v>Pdidate</v>
      </c>
      <c r="E40" t="str">
        <f t="shared" si="53"/>
        <v>date</v>
      </c>
      <c r="F40" s="6"/>
      <c r="G40" t="str">
        <f t="shared" si="54"/>
        <v/>
      </c>
      <c r="H40" t="str">
        <f>+VLOOKUP(E40,'Data Type Mapping'!A:B,2,)</f>
        <v>DateTime?</v>
      </c>
      <c r="I40" t="str">
        <f t="shared" si="55"/>
        <v/>
      </c>
      <c r="J40" t="str">
        <f t="shared" si="56"/>
        <v xml:space="preserve">		public virtual DateTime? Pdidate { get; set; }
</v>
      </c>
      <c r="K40" s="6"/>
      <c r="L40" t="str">
        <f t="shared" si="57"/>
        <v/>
      </c>
      <c r="M40" t="str">
        <f t="shared" si="58"/>
        <v xml:space="preserve">		public virtual DateTime? Pdidate { get; set; }
</v>
      </c>
      <c r="N40" t="str">
        <f t="shared" si="59"/>
        <v xml:space="preserve">		public virtual DateTime? Pdidate { get; set; }
</v>
      </c>
      <c r="O40" t="str">
        <f t="shared" si="60"/>
        <v/>
      </c>
      <c r="P40" t="str">
        <f t="shared" si="61"/>
        <v xml:space="preserve">							Pdidate = o.Pdidate,</v>
      </c>
      <c r="T40" s="63" t="str">
        <f t="shared" si="62"/>
        <v xml:space="preserve">								("Pdidate"),</v>
      </c>
      <c r="V40" s="64" t="str">
        <f t="shared" si="63"/>
        <v xml:space="preserve">								_ =&gt; _.Pdidate,</v>
      </c>
      <c r="W40" s="63" t="str">
        <f t="shared" si="64"/>
        <v/>
      </c>
    </row>
    <row r="41" spans="1:23" customFormat="1" ht="18.75" customHeight="1" x14ac:dyDescent="0.3">
      <c r="A41" s="66" t="s">
        <v>397</v>
      </c>
      <c r="B41" s="66" t="s">
        <v>263</v>
      </c>
      <c r="C41" t="s">
        <v>1</v>
      </c>
      <c r="D41" t="str">
        <f t="shared" si="39"/>
        <v>Pditime</v>
      </c>
      <c r="E41" t="str">
        <f t="shared" si="40"/>
        <v>time</v>
      </c>
      <c r="F41" s="6"/>
      <c r="G41" t="str">
        <f t="shared" si="41"/>
        <v/>
      </c>
      <c r="H41" t="str">
        <f>+VLOOKUP(E41,'Data Type Mapping'!A:B,2,)</f>
        <v>TimeSpan?</v>
      </c>
      <c r="I41" t="str">
        <f t="shared" si="42"/>
        <v/>
      </c>
      <c r="J41" t="str">
        <f t="shared" si="43"/>
        <v xml:space="preserve">		public virtual TimeSpan? Pditime { get; set; }
</v>
      </c>
      <c r="K41" s="6"/>
      <c r="L41" t="str">
        <f t="shared" si="44"/>
        <v/>
      </c>
      <c r="M41" t="str">
        <f t="shared" si="45"/>
        <v xml:space="preserve">		public virtual TimeSpan? Pditime { get; set; }
</v>
      </c>
      <c r="N41" t="str">
        <f t="shared" si="46"/>
        <v xml:space="preserve">		public virtual TimeSpan? Pditime { get; set; }
</v>
      </c>
      <c r="O41" t="str">
        <f t="shared" si="47"/>
        <v/>
      </c>
      <c r="P41" t="str">
        <f t="shared" si="48"/>
        <v xml:space="preserve">							Pditime = o.Pditime,</v>
      </c>
      <c r="T41" s="63" t="str">
        <f t="shared" si="49"/>
        <v xml:space="preserve">								("Pditime"),</v>
      </c>
      <c r="V41" s="64" t="str">
        <f t="shared" si="50"/>
        <v xml:space="preserve">								_ =&gt; _.Pditime,</v>
      </c>
      <c r="W41" s="63" t="str">
        <f t="shared" si="51"/>
        <v/>
      </c>
    </row>
    <row r="42" spans="1:23" customFormat="1" ht="18.75" customHeight="1" x14ac:dyDescent="0.3">
      <c r="A42" s="66" t="s">
        <v>398</v>
      </c>
      <c r="B42" s="66" t="s">
        <v>33</v>
      </c>
      <c r="C42" t="s">
        <v>1</v>
      </c>
      <c r="D42" t="str">
        <f t="shared" si="39"/>
        <v>Pdidatetime</v>
      </c>
      <c r="E42" t="str">
        <f t="shared" si="40"/>
        <v>datetime2</v>
      </c>
      <c r="F42" s="6"/>
      <c r="G42" t="str">
        <f t="shared" si="41"/>
        <v/>
      </c>
      <c r="H42" t="str">
        <f>+VLOOKUP(E42,'Data Type Mapping'!A:B,2,)</f>
        <v>DateTime?</v>
      </c>
      <c r="I42" t="str">
        <f t="shared" si="42"/>
        <v/>
      </c>
      <c r="J42" t="str">
        <f t="shared" si="43"/>
        <v xml:space="preserve">		public virtual DateTime? Pdidatetime { get; set; }
</v>
      </c>
      <c r="K42" s="6"/>
      <c r="L42" t="str">
        <f t="shared" si="44"/>
        <v/>
      </c>
      <c r="M42" t="str">
        <f t="shared" si="45"/>
        <v xml:space="preserve">		public virtual DateTime? Pdidatetime { get; set; }
</v>
      </c>
      <c r="N42" t="str">
        <f t="shared" si="46"/>
        <v xml:space="preserve">		public virtual DateTime? Pdidatetime { get; set; }
</v>
      </c>
      <c r="O42" t="str">
        <f t="shared" si="47"/>
        <v/>
      </c>
      <c r="P42" t="str">
        <f t="shared" si="48"/>
        <v xml:space="preserve">							Pdidatetime = o.Pdidatetime,</v>
      </c>
      <c r="T42" s="63" t="str">
        <f t="shared" si="49"/>
        <v xml:space="preserve">								("Pdidatetime"),</v>
      </c>
      <c r="V42" s="64" t="str">
        <f t="shared" si="50"/>
        <v xml:space="preserve">								_ =&gt; _.Pdidatetime,</v>
      </c>
      <c r="W42" s="63" t="str">
        <f t="shared" si="51"/>
        <v/>
      </c>
    </row>
    <row r="43" spans="1:23" customFormat="1" ht="18.75" customHeight="1" x14ac:dyDescent="0.3">
      <c r="A43" s="66" t="s">
        <v>399</v>
      </c>
      <c r="B43" s="66" t="s">
        <v>364</v>
      </c>
      <c r="C43" t="s">
        <v>1</v>
      </c>
      <c r="D43" t="str">
        <f t="shared" si="39"/>
        <v>Isproject</v>
      </c>
      <c r="E43" t="str">
        <f t="shared" si="40"/>
        <v>nvarchar</v>
      </c>
      <c r="F43" s="6"/>
      <c r="G43" t="str">
        <f t="shared" si="41"/>
        <v>1</v>
      </c>
      <c r="H43" t="str">
        <f>+VLOOKUP(E43,'Data Type Mapping'!A:B,2,)</f>
        <v>string</v>
      </c>
      <c r="I43" t="str">
        <f t="shared" si="42"/>
        <v xml:space="preserve">		public const int MaxIsprojectLength = 1;
</v>
      </c>
      <c r="J43" t="str">
        <f t="shared" si="43"/>
        <v xml:space="preserve">		[StringLength(MaxIsprojectLength)]
		public virtual string Isproject { get; set; }
</v>
      </c>
      <c r="K43" s="6"/>
      <c r="L43" t="str">
        <f t="shared" si="44"/>
        <v/>
      </c>
      <c r="M43" t="str">
        <f t="shared" si="45"/>
        <v xml:space="preserve">		public virtual string Isproject { get; set; }
</v>
      </c>
      <c r="N43" t="str">
        <f t="shared" si="46"/>
        <v xml:space="preserve">		[StringLength(InvCkdInvoiceDetailsConsts.MaxIsprojectLength)]
		public virtual string Isproject { get; set; }
</v>
      </c>
      <c r="O43" t="str">
        <f t="shared" si="47"/>
        <v xml:space="preserve">		public virtual string Isproject { get; set; }
</v>
      </c>
      <c r="P43" t="str">
        <f t="shared" si="48"/>
        <v xml:space="preserve">							Isproject = o.Isproject,</v>
      </c>
      <c r="T43" s="63" t="str">
        <f t="shared" si="49"/>
        <v xml:space="preserve">								("Isproject"),</v>
      </c>
      <c r="V43" s="64" t="str">
        <f t="shared" si="50"/>
        <v xml:space="preserve">								_ =&gt; _.Isproject,</v>
      </c>
      <c r="W43" s="63" t="str">
        <f t="shared" si="51"/>
        <v xml:space="preserve">				.WhereIf(!string.IsNullOrWhiteSpace(input.Isproject), e =&gt; e.Isproject.Contains(input.Isproject))</v>
      </c>
    </row>
    <row r="44" spans="1:23" customFormat="1" ht="18.75" customHeight="1" x14ac:dyDescent="0.3">
      <c r="A44" s="66" t="s">
        <v>400</v>
      </c>
      <c r="B44" s="66" t="s">
        <v>369</v>
      </c>
      <c r="C44" t="s">
        <v>1</v>
      </c>
      <c r="D44" t="str">
        <f t="shared" si="39"/>
        <v>Vehicleid</v>
      </c>
      <c r="E44" t="str">
        <f t="shared" si="40"/>
        <v>nvarchar</v>
      </c>
      <c r="F44" s="6"/>
      <c r="G44" t="str">
        <f t="shared" si="41"/>
        <v>10</v>
      </c>
      <c r="H44" t="str">
        <f>+VLOOKUP(E44,'Data Type Mapping'!A:B,2,)</f>
        <v>string</v>
      </c>
      <c r="I44" t="str">
        <f t="shared" si="42"/>
        <v xml:space="preserve">		public const int MaxVehicleidLength = 10;
</v>
      </c>
      <c r="J44" t="str">
        <f t="shared" si="43"/>
        <v xml:space="preserve">		[StringLength(MaxVehicleidLength)]
		public virtual string Vehicleid { get; set; }
</v>
      </c>
      <c r="K44" s="6"/>
      <c r="L44" t="str">
        <f t="shared" si="44"/>
        <v/>
      </c>
      <c r="M44" t="str">
        <f t="shared" si="45"/>
        <v xml:space="preserve">		public virtual string Vehicleid { get; set; }
</v>
      </c>
      <c r="N44" t="str">
        <f t="shared" si="46"/>
        <v xml:space="preserve">		[StringLength(InvCkdInvoiceDetailsConsts.MaxVehicleidLength)]
		public virtual string Vehicleid { get; set; }
</v>
      </c>
      <c r="O44" t="str">
        <f t="shared" si="47"/>
        <v xml:space="preserve">		public virtual string Vehicleid { get; set; }
</v>
      </c>
      <c r="P44" t="str">
        <f t="shared" si="48"/>
        <v xml:space="preserve">							Vehicleid = o.Vehicleid,</v>
      </c>
      <c r="T44" s="63" t="str">
        <f t="shared" si="49"/>
        <v xml:space="preserve">								("Vehicleid"),</v>
      </c>
      <c r="V44" s="64" t="str">
        <f t="shared" si="50"/>
        <v xml:space="preserve">								_ =&gt; _.Vehicleid,</v>
      </c>
      <c r="W44" s="63" t="str">
        <f t="shared" si="51"/>
        <v xml:space="preserve">				.WhereIf(!string.IsNullOrWhiteSpace(input.Vehicleid), e =&gt; e.Vehicleid.Contains(input.Vehicleid))</v>
      </c>
    </row>
    <row r="45" spans="1:23" customFormat="1" ht="18.75" customHeight="1" x14ac:dyDescent="0.3">
      <c r="A45" s="66" t="s">
        <v>401</v>
      </c>
      <c r="B45" s="66" t="s">
        <v>402</v>
      </c>
      <c r="C45" t="s">
        <v>1</v>
      </c>
      <c r="D45" t="str">
        <f t="shared" si="39"/>
        <v>Indentline</v>
      </c>
      <c r="E45" t="str">
        <f t="shared" si="40"/>
        <v>nvarchar</v>
      </c>
      <c r="F45" s="6"/>
      <c r="G45" t="str">
        <f t="shared" si="41"/>
        <v>3</v>
      </c>
      <c r="H45" t="str">
        <f>+VLOOKUP(E45,'Data Type Mapping'!A:B,2,)</f>
        <v>string</v>
      </c>
      <c r="I45" t="str">
        <f t="shared" si="42"/>
        <v xml:space="preserve">		public const int MaxIndentlineLength = 3;
</v>
      </c>
      <c r="J45" t="str">
        <f t="shared" si="43"/>
        <v xml:space="preserve">		[StringLength(MaxIndentlineLength)]
		public virtual string Indentline { get; set; }
</v>
      </c>
      <c r="K45" s="6"/>
      <c r="L45" t="str">
        <f t="shared" si="44"/>
        <v/>
      </c>
      <c r="M45" t="str">
        <f t="shared" si="45"/>
        <v xml:space="preserve">		public virtual string Indentline { get; set; }
</v>
      </c>
      <c r="N45" t="str">
        <f t="shared" si="46"/>
        <v xml:space="preserve">		[StringLength(InvCkdInvoiceDetailsConsts.MaxIndentlineLength)]
		public virtual string Indentline { get; set; }
</v>
      </c>
      <c r="O45" t="str">
        <f t="shared" si="47"/>
        <v xml:space="preserve">		public virtual string Indentline { get; set; }
</v>
      </c>
      <c r="P45" t="str">
        <f t="shared" si="48"/>
        <v xml:space="preserve">							Indentline = o.Indentline,</v>
      </c>
      <c r="T45" s="63" t="str">
        <f t="shared" si="49"/>
        <v xml:space="preserve">								("Indentline"),</v>
      </c>
      <c r="V45" s="64" t="str">
        <f t="shared" si="50"/>
        <v xml:space="preserve">								_ =&gt; _.Indentline,</v>
      </c>
      <c r="W45" s="63" t="str">
        <f t="shared" si="51"/>
        <v xml:space="preserve">				.WhereIf(!string.IsNullOrWhiteSpace(input.Indentline), e =&gt; e.Indentline.Contains(input.Indentline))</v>
      </c>
    </row>
    <row r="46" spans="1:23" customFormat="1" ht="18.75" customHeight="1" x14ac:dyDescent="0.3">
      <c r="A46" s="66" t="s">
        <v>403</v>
      </c>
      <c r="B46" s="66" t="s">
        <v>362</v>
      </c>
      <c r="C46" t="s">
        <v>1</v>
      </c>
      <c r="D46" t="str">
        <f t="shared" si="39"/>
        <v>Colortype</v>
      </c>
      <c r="E46" t="str">
        <f t="shared" si="40"/>
        <v>nvarchar</v>
      </c>
      <c r="F46" s="6"/>
      <c r="G46" t="str">
        <f t="shared" si="41"/>
        <v>4</v>
      </c>
      <c r="H46" t="str">
        <f>+VLOOKUP(E46,'Data Type Mapping'!A:B,2,)</f>
        <v>string</v>
      </c>
      <c r="I46" t="str">
        <f t="shared" si="42"/>
        <v xml:space="preserve">		public const int MaxColortypeLength = 4;
</v>
      </c>
      <c r="J46" t="str">
        <f t="shared" si="43"/>
        <v xml:space="preserve">		[StringLength(MaxColortypeLength)]
		public virtual string Colortype { get; set; }
</v>
      </c>
      <c r="K46" s="6"/>
      <c r="L46" t="str">
        <f t="shared" si="44"/>
        <v/>
      </c>
      <c r="M46" t="str">
        <f t="shared" si="45"/>
        <v xml:space="preserve">		public virtual string Colortype { get; set; }
</v>
      </c>
      <c r="N46" t="str">
        <f t="shared" si="46"/>
        <v xml:space="preserve">		[StringLength(InvCkdInvoiceDetailsConsts.MaxColortypeLength)]
		public virtual string Colortype { get; set; }
</v>
      </c>
      <c r="O46" t="str">
        <f t="shared" si="47"/>
        <v xml:space="preserve">		public virtual string Colortype { get; set; }
</v>
      </c>
      <c r="P46" t="str">
        <f t="shared" si="48"/>
        <v xml:space="preserve">							Colortype = o.Colortype,</v>
      </c>
      <c r="T46" s="63" t="str">
        <f t="shared" si="49"/>
        <v xml:space="preserve">								("Colortype"),</v>
      </c>
      <c r="V46" s="64" t="str">
        <f t="shared" si="50"/>
        <v xml:space="preserve">								_ =&gt; _.Colortype,</v>
      </c>
      <c r="W46" s="63" t="str">
        <f t="shared" si="51"/>
        <v xml:space="preserve">				.WhereIf(!string.IsNullOrWhiteSpace(input.Colortype), e =&gt; e.Colortype.Contains(input.Colortype))</v>
      </c>
    </row>
    <row r="47" spans="1:23" customFormat="1" ht="18.75" customHeight="1" x14ac:dyDescent="0.3">
      <c r="A47" s="66" t="s">
        <v>404</v>
      </c>
      <c r="B47" s="66" t="s">
        <v>405</v>
      </c>
      <c r="C47" t="s">
        <v>1</v>
      </c>
      <c r="D47" t="str">
        <f t="shared" si="39"/>
        <v>Engineid</v>
      </c>
      <c r="E47" t="str">
        <f t="shared" si="40"/>
        <v>nvarchar</v>
      </c>
      <c r="F47" s="6"/>
      <c r="G47" t="str">
        <f t="shared" si="41"/>
        <v>12</v>
      </c>
      <c r="H47" t="str">
        <f>+VLOOKUP(E47,'Data Type Mapping'!A:B,2,)</f>
        <v>string</v>
      </c>
      <c r="I47" t="str">
        <f t="shared" si="42"/>
        <v xml:space="preserve">		public const int MaxEngineidLength = 12;
</v>
      </c>
      <c r="J47" t="str">
        <f t="shared" si="43"/>
        <v xml:space="preserve">		[StringLength(MaxEngineidLength)]
		public virtual string Engineid { get; set; }
</v>
      </c>
      <c r="K47" s="6"/>
      <c r="L47" t="str">
        <f t="shared" si="44"/>
        <v/>
      </c>
      <c r="M47" t="str">
        <f t="shared" si="45"/>
        <v xml:space="preserve">		public virtual string Engineid { get; set; }
</v>
      </c>
      <c r="N47" t="str">
        <f t="shared" si="46"/>
        <v xml:space="preserve">		[StringLength(InvCkdInvoiceDetailsConsts.MaxEngineidLength)]
		public virtual string Engineid { get; set; }
</v>
      </c>
      <c r="O47" t="str">
        <f t="shared" si="47"/>
        <v xml:space="preserve">		public virtual string Engineid { get; set; }
</v>
      </c>
      <c r="P47" t="str">
        <f t="shared" si="48"/>
        <v xml:space="preserve">							Engineid = o.Engineid,</v>
      </c>
      <c r="T47" s="63" t="str">
        <f t="shared" si="49"/>
        <v xml:space="preserve">								("Engineid"),</v>
      </c>
      <c r="V47" s="64" t="str">
        <f t="shared" si="50"/>
        <v xml:space="preserve">								_ =&gt; _.Engineid,</v>
      </c>
      <c r="W47" s="63" t="str">
        <f t="shared" si="51"/>
        <v xml:space="preserve">				.WhereIf(!string.IsNullOrWhiteSpace(input.Engineid), e =&gt; e.Engineid.Contains(input.Engineid))</v>
      </c>
    </row>
    <row r="48" spans="1:23" customFormat="1" ht="18.75" customHeight="1" x14ac:dyDescent="0.3">
      <c r="A48" s="66" t="s">
        <v>406</v>
      </c>
      <c r="B48" s="66" t="s">
        <v>364</v>
      </c>
      <c r="C48" t="s">
        <v>1</v>
      </c>
      <c r="D48" t="str">
        <f t="shared" si="39"/>
        <v>Goshicar</v>
      </c>
      <c r="E48" t="str">
        <f t="shared" si="40"/>
        <v>nvarchar</v>
      </c>
      <c r="F48" s="6"/>
      <c r="G48" t="str">
        <f t="shared" si="41"/>
        <v>1</v>
      </c>
      <c r="H48" t="str">
        <f>+VLOOKUP(E48,'Data Type Mapping'!A:B,2,)</f>
        <v>string</v>
      </c>
      <c r="I48" t="str">
        <f t="shared" si="42"/>
        <v xml:space="preserve">		public const int MaxGoshicarLength = 1;
</v>
      </c>
      <c r="J48" t="str">
        <f t="shared" si="43"/>
        <v xml:space="preserve">		[StringLength(MaxGoshicarLength)]
		public virtual string Goshicar { get; set; }
</v>
      </c>
      <c r="K48" s="6"/>
      <c r="L48" t="str">
        <f t="shared" si="44"/>
        <v/>
      </c>
      <c r="M48" t="str">
        <f t="shared" si="45"/>
        <v xml:space="preserve">		public virtual string Goshicar { get; set; }
</v>
      </c>
      <c r="N48" t="str">
        <f t="shared" si="46"/>
        <v xml:space="preserve">		[StringLength(InvCkdInvoiceDetailsConsts.MaxGoshicarLength)]
		public virtual string Goshicar { get; set; }
</v>
      </c>
      <c r="O48" t="str">
        <f t="shared" si="47"/>
        <v xml:space="preserve">		public virtual string Goshicar { get; set; }
</v>
      </c>
      <c r="P48" t="str">
        <f t="shared" si="48"/>
        <v xml:space="preserve">							Goshicar = o.Goshicar,</v>
      </c>
      <c r="T48" s="63" t="str">
        <f t="shared" si="49"/>
        <v xml:space="preserve">								("Goshicar"),</v>
      </c>
      <c r="V48" s="64" t="str">
        <f t="shared" si="50"/>
        <v xml:space="preserve">								_ =&gt; _.Goshicar,</v>
      </c>
      <c r="W48" s="63" t="str">
        <f t="shared" si="51"/>
        <v xml:space="preserve">				.WhereIf(!string.IsNullOrWhiteSpace(input.Goshicar), e =&gt; e.Goshicar.Contains(input.Goshicar))</v>
      </c>
    </row>
    <row r="49" spans="1:23" customFormat="1" ht="18.75" customHeight="1" x14ac:dyDescent="0.3">
      <c r="A49" s="66" t="s">
        <v>407</v>
      </c>
      <c r="B49" s="66" t="s">
        <v>360</v>
      </c>
      <c r="C49" t="s">
        <v>1</v>
      </c>
      <c r="D49" t="str">
        <f t="shared" si="39"/>
        <v>Salessfx</v>
      </c>
      <c r="E49" t="str">
        <f t="shared" si="40"/>
        <v>nvarchar</v>
      </c>
      <c r="F49" s="6"/>
      <c r="G49" t="str">
        <f t="shared" si="41"/>
        <v>2</v>
      </c>
      <c r="H49" t="str">
        <f>+VLOOKUP(E49,'Data Type Mapping'!A:B,2,)</f>
        <v>string</v>
      </c>
      <c r="I49" t="str">
        <f t="shared" si="42"/>
        <v xml:space="preserve">		public const int MaxSalessfxLength = 2;
</v>
      </c>
      <c r="J49" t="str">
        <f t="shared" si="43"/>
        <v xml:space="preserve">		[StringLength(MaxSalessfxLength)]
		public virtual string Salessfx { get; set; }
</v>
      </c>
      <c r="K49" s="6"/>
      <c r="L49" t="str">
        <f t="shared" si="44"/>
        <v/>
      </c>
      <c r="M49" t="str">
        <f t="shared" si="45"/>
        <v xml:space="preserve">		public virtual string Salessfx { get; set; }
</v>
      </c>
      <c r="N49" t="str">
        <f t="shared" si="46"/>
        <v xml:space="preserve">		[StringLength(InvCkdInvoiceDetailsConsts.MaxSalessfxLength)]
		public virtual string Salessfx { get; set; }
</v>
      </c>
      <c r="O49" t="str">
        <f t="shared" si="47"/>
        <v xml:space="preserve">		public virtual string Salessfx { get; set; }
</v>
      </c>
      <c r="P49" t="str">
        <f t="shared" si="48"/>
        <v xml:space="preserve">							Salessfx = o.Salessfx,</v>
      </c>
      <c r="T49" s="63" t="str">
        <f t="shared" si="49"/>
        <v xml:space="preserve">								("Salessfx"),</v>
      </c>
      <c r="V49" s="64" t="str">
        <f t="shared" si="50"/>
        <v xml:space="preserve">								_ =&gt; _.Salessfx,</v>
      </c>
      <c r="W49" s="63" t="str">
        <f t="shared" si="51"/>
        <v xml:space="preserve">				.WhereIf(!string.IsNullOrWhiteSpace(input.Salessfx), e =&gt; e.Salessfx.Contains(input.Salessfx))</v>
      </c>
    </row>
    <row r="50" spans="1:23" customFormat="1" ht="18.75" customHeight="1" x14ac:dyDescent="0.3">
      <c r="A50" s="66" t="s">
        <v>408</v>
      </c>
      <c r="B50" s="66" t="s">
        <v>360</v>
      </c>
      <c r="C50" t="s">
        <v>1</v>
      </c>
      <c r="D50" t="str">
        <f t="shared" si="39"/>
        <v>Ssno</v>
      </c>
      <c r="E50" t="str">
        <f t="shared" si="40"/>
        <v>nvarchar</v>
      </c>
      <c r="F50" s="6"/>
      <c r="G50" t="str">
        <f t="shared" si="41"/>
        <v>2</v>
      </c>
      <c r="H50" t="str">
        <f>+VLOOKUP(E50,'Data Type Mapping'!A:B,2,)</f>
        <v>string</v>
      </c>
      <c r="I50" t="str">
        <f t="shared" si="42"/>
        <v xml:space="preserve">		public const int MaxSsnoLength = 2;
</v>
      </c>
      <c r="J50" t="str">
        <f t="shared" si="43"/>
        <v xml:space="preserve">		[StringLength(MaxSsnoLength)]
		public virtual string Ssno { get; set; }
</v>
      </c>
      <c r="K50" s="6"/>
      <c r="L50" t="str">
        <f t="shared" si="44"/>
        <v/>
      </c>
      <c r="M50" t="str">
        <f t="shared" si="45"/>
        <v xml:space="preserve">		public virtual string Ssno { get; set; }
</v>
      </c>
      <c r="N50" t="str">
        <f t="shared" si="46"/>
        <v xml:space="preserve">		[StringLength(InvCkdInvoiceDetailsConsts.MaxSsnoLength)]
		public virtual string Ssno { get; set; }
</v>
      </c>
      <c r="O50" t="str">
        <f t="shared" si="47"/>
        <v xml:space="preserve">		public virtual string Ssno { get; set; }
</v>
      </c>
      <c r="P50" t="str">
        <f t="shared" si="48"/>
        <v xml:space="preserve">							Ssno = o.Ssno,</v>
      </c>
      <c r="T50" s="63" t="str">
        <f t="shared" si="49"/>
        <v xml:space="preserve">								("Ssno"),</v>
      </c>
      <c r="V50" s="64" t="str">
        <f t="shared" si="50"/>
        <v xml:space="preserve">								_ =&gt; _.Ssno,</v>
      </c>
      <c r="W50" s="63" t="str">
        <f t="shared" si="51"/>
        <v xml:space="preserve">				.WhereIf(!string.IsNullOrWhiteSpace(input.Ssno), e =&gt; e.Ssno.Contains(input.Ssno))</v>
      </c>
    </row>
    <row r="51" spans="1:23" customFormat="1" ht="18.75" customHeight="1" x14ac:dyDescent="0.3">
      <c r="A51" s="66" t="s">
        <v>409</v>
      </c>
      <c r="B51" s="66" t="s">
        <v>410</v>
      </c>
      <c r="C51" t="s">
        <v>1</v>
      </c>
      <c r="D51" t="str">
        <f t="shared" si="39"/>
        <v>Transid</v>
      </c>
      <c r="E51" t="str">
        <f t="shared" si="40"/>
        <v>nvarchar</v>
      </c>
      <c r="F51" s="6"/>
      <c r="G51" t="str">
        <f t="shared" si="41"/>
        <v>18</v>
      </c>
      <c r="H51" t="str">
        <f>+VLOOKUP(E51,'Data Type Mapping'!A:B,2,)</f>
        <v>string</v>
      </c>
      <c r="I51" t="str">
        <f t="shared" si="42"/>
        <v xml:space="preserve">		public const int MaxTransidLength = 18;
</v>
      </c>
      <c r="J51" t="str">
        <f t="shared" si="43"/>
        <v xml:space="preserve">		[StringLength(MaxTransidLength)]
		public virtual string Transid { get; set; }
</v>
      </c>
      <c r="K51" s="6"/>
      <c r="L51" t="str">
        <f t="shared" si="44"/>
        <v/>
      </c>
      <c r="M51" t="str">
        <f t="shared" si="45"/>
        <v xml:space="preserve">		public virtual string Transid { get; set; }
</v>
      </c>
      <c r="N51" t="str">
        <f t="shared" si="46"/>
        <v xml:space="preserve">		[StringLength(InvCkdInvoiceDetailsConsts.MaxTransidLength)]
		public virtual string Transid { get; set; }
</v>
      </c>
      <c r="O51" t="str">
        <f t="shared" si="47"/>
        <v xml:space="preserve">		public virtual string Transid { get; set; }
</v>
      </c>
      <c r="P51" t="str">
        <f t="shared" si="48"/>
        <v xml:space="preserve">							Transid = o.Transid,</v>
      </c>
      <c r="T51" s="63" t="str">
        <f t="shared" si="49"/>
        <v xml:space="preserve">								("Transid"),</v>
      </c>
      <c r="V51" s="64" t="str">
        <f t="shared" si="50"/>
        <v xml:space="preserve">								_ =&gt; _.Transid,</v>
      </c>
      <c r="W51" s="63" t="str">
        <f t="shared" si="51"/>
        <v xml:space="preserve">				.WhereIf(!string.IsNullOrWhiteSpace(input.Transid), e =&gt; e.Transid.Contains(input.Transid))</v>
      </c>
    </row>
    <row r="53" spans="1:23" ht="45.75" customHeight="1" x14ac:dyDescent="0.3">
      <c r="H53" s="11"/>
      <c r="I53" s="31" t="str">
        <f ca="1">TEXTJOIN2("
", TRUE,INDIRECT( $H$1):INDIRECT( $H$3))</f>
        <v xml:space="preserve">		public const int MaxProdlineLength = 2;
		public const int MaxCfcLength = 4;
		public const int MaxModelLength = 1;
		public const int MaxGradeLength = 2;
		public const int MaxColorLength = 20;
		public const int MaxBodynoLength = 10;
		public const int MaxLotnoLength = 20;
		public const int MaxVinnoLength = 17;
		public const int MaxIsprojectLength = 1;
		public const int MaxVehicleidLength = 10;
		public const int MaxIndentlineLength = 3;
		public const int MaxColortypeLength = 4;
		public const int MaxEngineidLength = 12;
		public const int MaxGoshicarLength = 1;
		public const int MaxSalessfxLength = 2;
		public const int MaxSsnoLength = 2;
		public const int MaxTransidLength = 18;
</v>
      </c>
      <c r="J53" s="30" t="str">
        <f ca="1">TEXTJOIN2("
", TRUE,INDIRECT( $F$1):INDIRECT( $F$3))</f>
        <v xml:space="preserve">		public virtual long? No { get; set; }
		[StringLength(MaxProdlineLength)]
		public virtual string Prodline { get; set; }
		[StringLength(MaxCfcLength)]
		public virtual string Cfc { get; set; }
		[StringLength(MaxModelLength)]
		public virtual string Model { get; set; }
		[StringLength(MaxGradeLength)]
		public virtual string Grade { get; set; }
		[StringLength(MaxColorLength)]
		public virtual string Color { get; set; }
		[StringLength(MaxBodynoLength)]
		public virtual string Bodyno { get; set; }
		[StringLength(MaxLotnoLength)]
		public virtual string Lotno { get; set; }
		public virtual int? Noinlot { get; set; }
		[StringLength(MaxVinnoLength)]
		public virtual string Vinno { get; set; }
		public virtual DateTime? Winplandate { get; set; }
		public virtual TimeSpan? Winplantime { get; set; }
		public virtual DateTime? Winplandatetime { get; set; }
		public virtual DateTime? Woutplandate { get; set; }
		public virtual TimeSpan? Woutplantime { get; set; }
		public virtual DateTime? Woutplandatetime { get; set; }
		public virtual DateTime? Tinplandate { get; set; }
		public virtual TimeSpan? Tinplantime { get; set; }
		public virtual DateTime? Tinplandatetime { get; set; }
		public virtual DateTime? Toutplandate { get; set; }
		public virtual TimeSpan? Toutplantime { get; set; }
		public virtual DateTime? Toutplandatetime { get; set; }
		public virtual DateTime? Ainplandate { get; set; }
		public virtual TimeSpan? Ainplantime { get; set; }
		public virtual DateTime? Ainplandatetime { get; set; }
		public virtual DateTime? Aoutplandate { get; set; }
		public virtual TimeSpan? Aoutplantime { get; set; }
		public virtual DateTime? Aoutplandatetime { get; set; }
		public virtual DateTime? Lineoffdate { get; set; }
		public virtual TimeSpan? Lineofftime { get; set; }
		public virtual DateTime? Lineoffdatetime { get; set; }
		public virtual DateTime? Pdidate { get; set; }
		public virtual TimeSpan? Pditime { get; set; }
		public virtual DateTime? Pdidatetime { get; set; }
		[StringLength(MaxIsprojectLength)]
		public virtual string Isproject { get; set; }
		[StringLength(MaxVehicleidLength)]
		public virtual string Vehicleid { get; set; }
		[StringLength(MaxIndentlineLength)]
		public virtual string Indentline { get; set; }
		[StringLength(MaxColortypeLength)]
		public virtual string Colortype { get; set; }
		[StringLength(MaxEngineidLength)]
		public virtual string Engineid { get; set; }
		[StringLength(MaxGoshicarLength)]
		public virtual string Goshicar { get; set; }
		[StringLength(MaxSalessfxLength)]
		public virtual string Salessfx { get; set; }
		[StringLength(MaxSsnoLength)]
		public virtual string Ssno { get; set; }
		[StringLength(MaxTransidLength)]
		public virtual string Transid { get; set; }
</v>
      </c>
      <c r="K53" s="32" t="str">
        <f ca="1">TEXTJOIN2("
", TRUE,INDIRECT( $J$1):INDIRECT( $J$3))</f>
        <v/>
      </c>
      <c r="L53" s="12" t="s">
        <v>57</v>
      </c>
      <c r="M53" s="33" t="str">
        <f ca="1">TEXTJOIN2("
",TRUE,INDIRECT( $L$1):INDIRECT($L$3))</f>
        <v xml:space="preserve">		public virtual long? No { get; set; }
		public virtual string Prodline { get; set; }
		public virtual string Cfc { get; set; }
		public virtual string Model { get; set; }
		public virtual string Grade { get; set; }
		public virtual string Color { get; set; }
		public virtual string Bodyno { get; set; }
		public virtual string Lotno { get; set; }
		public virtual int? Noinlot { get; set; }
		public virtual string Vinno { get; set; }
		public virtual DateTime? Winplandate { get; set; }
		public virtual TimeSpan? Winplantime { get; set; }
		public virtual DateTime? Winplandatetime { get; set; }
		public virtual DateTime? Woutplandate { get; set; }
		public virtual TimeSpan? Woutplantime { get; set; }
		public virtual DateTime? Woutplandatetime { get; set; }
		public virtual DateTime? Tinplandate { get; set; }
		public virtual TimeSpan? Tinplantime { get; set; }
		public virtual DateTime? Tinplandatetime { get; set; }
		public virtual DateTime? Toutplandate { get; set; }
		public virtual TimeSpan? Toutplantime { get; set; }
		public virtual DateTime? Toutplandatetime { get; set; }
		public virtual DateTime? Ainplandate { get; set; }
		public virtual TimeSpan? Ainplantime { get; set; }
		public virtual DateTime? Ainplandatetime { get; set; }
		public virtual DateTime? Aoutplandate { get; set; }
		public virtual TimeSpan? Aoutplantime { get; set; }
		public virtual DateTime? Aoutplandatetime { get; set; }
		public virtual DateTime? Lineoffdate { get; set; }
		public virtual TimeSpan? Lineofftime { get; set; }
		public virtual DateTime? Lineoffdatetime { get; set; }
		public virtual DateTime? Pdidate { get; set; }
		public virtual TimeSpan? Pditime { get; set; }
		public virtual DateTime? Pdidatetime { get; set; }
		public virtual string Isproject { get; set; }
		public virtual string Vehicleid { get; set; }
		public virtual string Indentline { get; set; }
		public virtual string Colortype { get; set; }
		public virtual string Engineid { get; set; }
		public virtual string Goshicar { get; set; }
		public virtual string Salessfx { get; set; }
		public virtual string Ssno { get; set; }
		public virtual string Transid { get; set; }
</v>
      </c>
      <c r="N53" s="30" t="str">
        <f ca="1">TEXTJOIN2("
",TRUE,INDIRECT( $M$1):INDIRECT($M$3))</f>
        <v xml:space="preserve">		public virtual long? No { get; set; }
		[StringLength(InvCkdInvoiceDetailsConsts.MaxProdlineLength)]
		public virtual string Prodline { get; set; }
		[StringLength(InvCkdInvoiceDetailsConsts.MaxCfcLength)]
		public virtual string Cfc { get; set; }
		[StringLength(InvCkdInvoiceDetailsConsts.MaxModelLength)]
		public virtual string Model { get; set; }
		[StringLength(InvCkdInvoiceDetailsConsts.MaxGradeLength)]
		public virtual string Grade { get; set; }
		[StringLength(InvCkdInvoiceDetailsConsts.MaxColorLength)]
		public virtual string Color { get; set; }
		[StringLength(InvCkdInvoiceDetailsConsts.MaxBodynoLength)]
		public virtual string Bodyno { get; set; }
		[StringLength(InvCkdInvoiceDetailsConsts.MaxLotnoLength)]
		public virtual string Lotno { get; set; }
		public virtual int? Noinlot { get; set; }
		[StringLength(InvCkdInvoiceDetailsConsts.MaxVinnoLength)]
		public virtual string Vinno { get; set; }
		public virtual DateTime? Winplandate { get; set; }
		public virtual TimeSpan? Winplantime { get; set; }
		public virtual DateTime? Winplandatetime { get; set; }
		public virtual DateTime? Woutplandate { get; set; }
		public virtual TimeSpan? Woutplantime { get; set; }
		public virtual DateTime? Woutplandatetime { get; set; }
		public virtual DateTime? Tinplandate { get; set; }
		public virtual TimeSpan? Tinplantime { get; set; }
		public virtual DateTime? Tinplandatetime { get; set; }
		public virtual DateTime? Toutplandate { get; set; }
		public virtual TimeSpan? Toutplantime { get; set; }
		public virtual DateTime? Toutplandatetime { get; set; }
		public virtual DateTime? Ainplandate { get; set; }
		public virtual TimeSpan? Ainplantime { get; set; }
		public virtual DateTime? Ainplandatetime { get; set; }
		public virtual DateTime? Aoutplandate { get; set; }
		public virtual TimeSpan? Aoutplantime { get; set; }
		public virtual DateTime? Aoutplandatetime { get; set; }
		public virtual DateTime? Lineoffdate { get; set; }
		public virtual TimeSpan? Lineofftime { get; set; }
		public virtual DateTime? Lineoffdatetime { get; set; }
		public virtual DateTime? Pdidate { get; set; }
		public virtual TimeSpan? Pditime { get; set; }
		public virtual DateTime? Pdidatetime { get; set; }
		[StringLength(InvCkdInvoiceDetailsConsts.MaxIsprojectLength)]
		public virtual string Isproject { get; set; }
		[StringLength(InvCkdInvoiceDetailsConsts.MaxVehicleidLength)]
		public virtual string Vehicleid { get; set; }
		[StringLength(InvCkdInvoiceDetailsConsts.MaxIndentlineLength)]
		public virtual string Indentline { get; set; }
		[StringLength(InvCkdInvoiceDetailsConsts.MaxColortypeLength)]
		public virtual string Colortype { get; set; }
		[StringLength(InvCkdInvoiceDetailsConsts.MaxEngineidLength)]
		public virtual string Engineid { get; set; }
		[StringLength(InvCkdInvoiceDetailsConsts.MaxGoshicarLength)]
		public virtual string Goshicar { get; set; }
		[StringLength(InvCkdInvoiceDetailsConsts.MaxSalessfxLength)]
		public virtual string Salessfx { get; set; }
		[StringLength(InvCkdInvoiceDetailsConsts.MaxSsnoLength)]
		public virtual string Ssno { get; set; }
		[StringLength(InvCkdInvoiceDetailsConsts.MaxTransidLength)]
		public virtual string Transid { get; set; }
</v>
      </c>
      <c r="O53" s="30" t="str">
        <f ca="1">TEXTJOIN2("
",TRUE,INDIRECT( $N$1):INDIRECT($N$3))</f>
        <v xml:space="preserve">		public virtual string Prodline { get; set; }
		public virtual string Cfc { get; set; }
		public virtual string Model { get; set; }
		public virtual string Grade { get; set; }
		public virtual string Color { get; set; }
		public virtual string Bodyno { get; set; }
		public virtual string Lotno { get; set; }
		public virtual string Vinno { get; set; }
		public virtual string Isproject { get; set; }
		public virtual string Vehicleid { get; set; }
		public virtual string Indentline { get; set; }
		public virtual string Colortype { get; set; }
		public virtual string Engineid { get; set; }
		public virtual string Goshicar { get; set; }
		public virtual string Salessfx { get; set; }
		public virtual string Ssno { get; set; }
		public virtual string Transid { get; set; }
</v>
      </c>
      <c r="P53" s="8" t="str">
        <f ca="1">TEXTJOIN2("
",TRUE,INDIRECT( $O$1):INDIRECT($O$3))</f>
        <v xml:space="preserve">							No = o.No,
							Prodline = o.Prodline,
							Cfc = o.Cfc,
							Model = o.Model,
							Grade = o.Grade,
							Color = o.Color,
							Bodyno = o.Bodyno,
							Lotno = o.Lotno,
							Noinlot = o.Noinlot,
							Vinno = o.Vinno,
							Winplandate = o.Winplandate,
							Winplantime = o.Winplantime,
							Winplandatetime = o.Winplandatetime,
							Woutplandate = o.Woutplandate,
							Woutplantime = o.Woutplantime,
							Woutplandatetime = o.Woutplandatetime,
							Tinplandate = o.Tinplandate,
							Tinplantime = o.Tinplantime,
							Tinplandatetime = o.Tinplandatetime,
							Toutplandate = o.Toutplandate,
							Toutplantime = o.Toutplantime,
							Toutplandatetime = o.Toutplandatetime,
							Ainplandate = o.Ainplandate,
							Ainplantime = o.Ainplantime,
							Ainplandatetime = o.Ainplandatetime,
							Aoutplandate = o.Aoutplandate,
							Aoutplantime = o.Aoutplantime,
							Aoutplandatetime = o.Aoutplandatetime,
							Lineoffdate = o.Lineoffdate,
							Lineofftime = o.Lineofftime,
							Lineoffdatetime = o.Lineoffdatetime,
							Pdidate = o.Pdidate,
							Pditime = o.Pditime,
							Pdidatetime = o.Pdidatetime,
							Isproject = o.Isproject,
							Vehicleid = o.Vehicleid,
							Indentline = o.Indentline,
							Colortype = o.Colortype,
							Engineid = o.Engineid,
							Goshicar = o.Goshicar,
							Salessfx = o.Salessfx,
							Ssno = o.Ssno,
							Transid = o.Transid,</v>
      </c>
      <c r="T53" s="8" t="str">
        <f ca="1">TEXTJOIN2("
",TRUE,INDIRECT( $T$2):INDIRECT($T$3))</f>
        <v xml:space="preserve">								("No"),
								("Prodline"),
								("Cfc"),
								("Model"),
								("Grade"),
								("Color"),
								("Bodyno"),
								("Lotno"),
								("Noinlot"),
								("Vinno"),
								("Winplandate"),
								("Winplantime"),
								("Winplandatetime"),
								("Woutplandate"),
								("Woutplantime"),
								("Woutplandatetime"),
								("Tinplandate"),
								("Tinplantime"),
								("Tinplandatetime"),
								("Toutplandate"),
								("Toutplantime"),
								("Toutplandatetime"),
								("Ainplandate"),
								("Ainplantime"),
								("Ainplandatetime"),
								("Aoutplandate"),
								("Aoutplantime"),
								("Aoutplandatetime"),
								("Lineoffdate"),
								("Lineofftime"),
								("Lineoffdatetime"),
								("Pdidate"),
								("Pditime"),
								("Pdidatetime"),
								("Isproject"),
								("Vehicleid"),
								("Indentline"),
								("Colortype"),
								("Engineid"),
								("Goshicar"),
								("Salessfx"),
								("Ssno"),
								("Transid"),</v>
      </c>
      <c r="V53" s="8" t="str">
        <f ca="1">TEXTJOIN2("
",TRUE,INDIRECT( $V$2):INDIRECT($V$3))</f>
        <v xml:space="preserve">								_ =&gt; _.No,
								_ =&gt; _.Prodline,
								_ =&gt; _.Cfc,
								_ =&gt; _.Model,
								_ =&gt; _.Grade,
								_ =&gt; _.Color,
								_ =&gt; _.Bodyno,
								_ =&gt; _.Lotno,
								_ =&gt; _.Noinlot,
								_ =&gt; _.Vinno,
								_ =&gt; _.Winplandate,
								_ =&gt; _.Winplantime,
								_ =&gt; _.Winplandatetime,
								_ =&gt; _.Woutplandate,
								_ =&gt; _.Woutplantime,
								_ =&gt; _.Woutplandatetime,
								_ =&gt; _.Tinplandate,
								_ =&gt; _.Tinplantime,
								_ =&gt; _.Tinplandatetime,
								_ =&gt; _.Toutplandate,
								_ =&gt; _.Toutplantime,
								_ =&gt; _.Toutplandatetime,
								_ =&gt; _.Ainplandate,
								_ =&gt; _.Ainplantime,
								_ =&gt; _.Ainplandatetime,
								_ =&gt; _.Aoutplandate,
								_ =&gt; _.Aoutplantime,
								_ =&gt; _.Aoutplandatetime,
								_ =&gt; _.Lineoffdate,
								_ =&gt; _.Lineofftime,
								_ =&gt; _.Lineoffdatetime,
								_ =&gt; _.Pdidate,
								_ =&gt; _.Pditime,
								_ =&gt; _.Pdidatetime,
								_ =&gt; _.Isproject,
								_ =&gt; _.Vehicleid,
								_ =&gt; _.Indentline,
								_ =&gt; _.Colortype,
								_ =&gt; _.Engineid,
								_ =&gt; _.Goshicar,
								_ =&gt; _.Salessfx,
								_ =&gt; _.Ssno,
								_ =&gt; _.Transid,</v>
      </c>
      <c r="W53" s="8" t="str">
        <f ca="1">TEXTJOIN2("
",TRUE,INDIRECT( $W$2):INDIRECT($W$3))</f>
        <v xml:space="preserve">				.WhereIf(!string.IsNullOrWhiteSpace(input.Prodline), e =&gt; e.Prodline.Contains(input.Prodline))
				.WhereIf(!string.IsNullOrWhiteSpace(input.Cfc), e =&gt; e.Cfc.Contains(input.Cfc))
				.WhereIf(!string.IsNullOrWhiteSpace(input.Model), e =&gt; e.Model.Contains(input.Model))
				.WhereIf(!string.IsNullOrWhiteSpace(input.Grade), e =&gt; e.Grade.Contains(input.Grade))
				.WhereIf(!string.IsNullOrWhiteSpace(input.Color), e =&gt; e.Color.Contains(input.Color))
				.WhereIf(!string.IsNullOrWhiteSpace(input.Bodyno), e =&gt; e.Bodyno.Contains(input.Bodyno))
				.WhereIf(!string.IsNullOrWhiteSpace(input.Lotno), e =&gt; e.Lotno.Contains(input.Lotno))
				.WhereIf(!string.IsNullOrWhiteSpace(input.Vinno), e =&gt; e.Vinno.Contains(input.Vinno))
				.WhereIf(!string.IsNullOrWhiteSpace(input.Isproject), e =&gt; e.Isproject.Contains(input.Isproject))
				.WhereIf(!string.IsNullOrWhiteSpace(input.Vehicleid), e =&gt; e.Vehicleid.Contains(input.Vehicleid))
				.WhereIf(!string.IsNullOrWhiteSpace(input.Indentline), e =&gt; e.Indentline.Contains(input.Indentline))
				.WhereIf(!string.IsNullOrWhiteSpace(input.Colortype), e =&gt; e.Colortype.Contains(input.Colortype))
				.WhereIf(!string.IsNullOrWhiteSpace(input.Engineid), e =&gt; e.Engineid.Contains(input.Engineid))
				.WhereIf(!string.IsNullOrWhiteSpace(input.Goshicar), e =&gt; e.Goshicar.Contains(input.Goshicar))
				.WhereIf(!string.IsNullOrWhiteSpace(input.Salessfx), e =&gt; e.Salessfx.Contains(input.Salessfx))
				.WhereIf(!string.IsNullOrWhiteSpace(input.Ssno), e =&gt; e.Ssno.Contains(input.Ssno))
				.WhereIf(!string.IsNullOrWhiteSpace(input.Transid), e =&gt; e.Transid.Contains(input.Transid))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59"/>
  <sheetViews>
    <sheetView topLeftCell="A52" workbookViewId="0">
      <selection activeCell="E54" sqref="E54"/>
    </sheetView>
  </sheetViews>
  <sheetFormatPr defaultColWidth="8.77734375" defaultRowHeight="14.4" x14ac:dyDescent="0.3"/>
  <cols>
    <col min="1" max="1" width="17.77734375" customWidth="1"/>
    <col min="2" max="2" width="15.44140625" customWidth="1"/>
    <col min="3" max="3" width="16.77734375" customWidth="1"/>
    <col min="4" max="7" width="15.21875" customWidth="1"/>
    <col min="8" max="8" width="24.44140625" customWidth="1"/>
    <col min="9" max="9" width="26.21875" customWidth="1"/>
    <col min="10" max="10" width="22.21875" customWidth="1"/>
    <col min="11" max="11" width="25.77734375" customWidth="1"/>
    <col min="12" max="12" width="23.77734375" customWidth="1"/>
    <col min="13" max="13" width="23.44140625" customWidth="1"/>
    <col min="14" max="15" width="20.44140625" customWidth="1"/>
    <col min="16" max="16" width="25.77734375" customWidth="1"/>
    <col min="17" max="18" width="25.44140625" customWidth="1"/>
    <col min="19" max="19" width="24" customWidth="1"/>
    <col min="20" max="20" width="19.21875" customWidth="1"/>
    <col min="21" max="21" width="19.77734375" customWidth="1"/>
    <col min="22" max="22" width="13.77734375" customWidth="1"/>
  </cols>
  <sheetData>
    <row r="1" spans="1:22" x14ac:dyDescent="0.3">
      <c r="A1" s="38" t="s">
        <v>208</v>
      </c>
      <c r="B1" s="39" t="s">
        <v>357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3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3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3">
      <c r="A4" s="38" t="s">
        <v>210</v>
      </c>
      <c r="B4" s="40" t="str">
        <f>A.Backend!Q3</f>
        <v>CKD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3">
      <c r="A5" s="38" t="s">
        <v>210</v>
      </c>
      <c r="B5" s="40" t="str">
        <f>LOWER(B4)</f>
        <v>ckd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3">
      <c r="A6" s="38" t="s">
        <v>220</v>
      </c>
      <c r="B6" s="41" t="str">
        <f>A.Backend!B3</f>
        <v>InvCkdInvoiceDetails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3">
      <c r="A7" s="38" t="s">
        <v>211</v>
      </c>
      <c r="B7" s="40" t="str">
        <f>A.Backend!B5</f>
        <v>InvoiceDetails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3">
      <c r="A8" s="38" t="s">
        <v>209</v>
      </c>
      <c r="B8" s="40" t="str">
        <f>LOWER(B7)</f>
        <v>invoicedetails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3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3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InvCkdInvoiceDetailsDto, InvCkdInvoiceDetailsServiceProxy } from '@shared/service-proxies/service-proxies';
import { finalize } from 'rxjs/internal/operators/finalize';
import { CreateOrEditInvoiceDetailsModalComponent } from './create-or-edit-invoicedetails-modal.component';
import { DatePipe } from '@angular/common';
import { FileDownloadService } from '@shared/utils/file-download.service';
import ceil from 'lodash-es/ceil';
import { Paginator } from 'primeng/paginator';
@Component({
    templateUrl: './invoicedetails.component.html',
    styleUrls: ['./invoicedetails.component.less'],
})
export class InvoiceDetailsComponent extends AppComponentBase implements OnInit {
    @ViewChild('createOrEditModalInvoiceDetails', { static: true }) createOrEditModalInvoiceDetails:| CreateOrEditInvoiceDetailsModalComponent|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InvCkdInvoiceDetailsDto = new InvCkdInvoiceDetailsDto();
    saveSelectedRow: InvCkdInvoiceDetailsDto = new InvCkdInvoiceDetailsDto();
    datas: InvCkdInvoiceDetailsDto = new InvCkdInvoiceDetailsDto();
    isLoading: boolean = false;
    dataParams: GridParams | undefined;
    rowData: any[] = [];
    gridApi!: GridApi;
    rowSelection = 'multiple';
    filter: string = '';
	pipe = new DatePipe('en-US');
	frameworkComponents: FrameworkComponent;
    	no
	prodline : string = '' ; 
	cfc : string = '' ; 
	model : string = '' ; 
	grade : string = '' ; 
	color : string = '' ; 
	bodyno : string = '' ; 
	lotno : string = '' ; 
	noinlot
	vinno : string = '' ; 
	winplandate
	winplantime
	winplandatetime
	woutplandate
	woutplantime
	woutplandatetime
	tinplandate
	tinplantime
	tinplandatetime
	toutplandate
	toutplantime
	toutplandatetime
	ainplandate
	ainplantime
	ainplandatetime
	aoutplandate
	aoutplantime
	aoutplandatetime
	lineoffdate
	lineofftime
	lineoffdatetime
	pdidate
	pditime
	pdidatetime
	isproject : string = '' ; 
	vehicleid : string = '' ; 
	indentline : string = '' ; 
	colortype : string = '' ; 
	engineid : string = '' ; 
	goshicar : string = '' ; 
	salessfx : string = '' ; 
	ssno : string = '' ; 
	transid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InvCkdInvoiceDetailsServiceProxy,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this.l('No'),headerTooltip: this.l('No'),field: 'no',flex: 1},
			{headerName: this.l('Prodline'),headerTooltip: this.l('Prodline'),field: 'prodline',flex: 1},
			{headerName: this.l('Cfc'),headerTooltip: this.l('Cfc'),field: 'cfc',flex: 1},
			{headerName: this.l('Model'),headerTooltip: this.l('Model'),field:  'model', cellClass: ['text-center'], width: 120, cellRenderer: 'agCellButtonComponent',
buttonDefTwo: { text: params =&gt; (params.data?.'model' == 'Y') ? 'Active' : 'Inactive',iconName: 'fa fa-circle',className: params =&gt; (params.data?.'model' == 'Y') ? 'btnActive' : 'btnInActive',},}
			{headerName: this.l('Grade'),headerTooltip: this.l('Grade'),field: 'grade',flex: 1},
			{headerName: this.l('Color'),headerTooltip: this.l('Color'),field: 'color',flex: 1},
			{headerName: this.l('Bodyno'),headerTooltip: this.l('Bodyno'),field: 'bodyno',flex: 1},
			{headerName: this.l('Lotno'),headerTooltip: this.l('Lotno'),field: 'lotno',flex: 1},
			{headerName: this.l('Noinlot'),headerTooltip: this.l('Noinlot'),field: 'noinlot',flex: 1},
			{headerName: this.l('Vinno'),headerTooltip: this.l('Vinno'),field: 'vinno',flex: 1},
			{headerName: this.l('Winplandate'),headerTooltip: this.l('Winplandate'),field: 'winplandate',flex: 1},
			{headerName: this.l('Winplantime'),headerTooltip: this.l('Winplantime'),field: 'winplantime',flex: 1},
			{headerName: this.l('Winplandatetime'),headerTooltip: this.l('Winplandatetime'),field: 'winplandatetime',flex: 1},
			{headerName: this.l('Woutplandate'),headerTooltip: this.l('Woutplandate'),field: 'woutplandate',flex: 1},
			{headerName: this.l('Woutplantime'),headerTooltip: this.l('Woutplantime'),field: 'woutplantime',flex: 1},
			{headerName: this.l('Woutplandatetime'),headerTooltip: this.l('Woutplandatetime'),field: 'woutplandatetime',flex: 1},
			{headerName: this.l('Tinplandate'),headerTooltip: this.l('Tinplandate'),field: 'tinplandate',flex: 1},
			{headerName: this.l('Tinplantime'),headerTooltip: this.l('Tinplantime'),field: 'tinplantime',flex: 1},
			{headerName: this.l('Tinplandatetime'),headerTooltip: this.l('Tinplandatetime'),field: 'tinplandatetime',flex: 1},
			{headerName: this.l('Toutplandate'),headerTooltip: this.l('Toutplandate'),field: 'toutplandate',flex: 1},
			{headerName: this.l('Toutplantime'),headerTooltip: this.l('Toutplantime'),field: 'toutplantime',flex: 1},
			{headerName: this.l('Toutplandatetime'),headerTooltip: this.l('Toutplandatetime'),field: 'toutplandatetime',flex: 1},
			{headerName: this.l('Ainplandate'),headerTooltip: this.l('Ainplandate'),field: 'ainplandate',flex: 1},
			{headerName: this.l('Ainplantime'),headerTooltip: this.l('Ainplantime'),field: 'ainplantime',flex: 1},
			{headerName: this.l('Ainplandatetime'),headerTooltip: this.l('Ainplandatetime'),field: 'ainplandatetime',flex: 1},
			{headerName: this.l('Aoutplandate'),headerTooltip: this.l('Aoutplandate'),field: 'aoutplandate',flex: 1},
			{headerName: this.l('Aoutplantime'),headerTooltip: this.l('Aoutplantime'),field: 'aoutplantime',flex: 1},
			{headerName: this.l('Aoutplandatetime'),headerTooltip: this.l('Aoutplandatetime'),field: 'aoutplandatetime',flex: 1},
			{headerName: this.l('Lineoffdate'),headerTooltip: this.l('Lineoffdate'),field: 'lineoffdate',flex: 1},
			{headerName: this.l('Lineofftime'),headerTooltip: this.l('Lineofftime'),field: 'lineofftime',flex: 1},
			{headerName: this.l('Lineoffdatetime'),headerTooltip: this.l('Lineoffdatetime'),field: 'lineoffdatetime',flex: 1},
			{headerName: this.l('Pdidate'),headerTooltip: this.l('Pdidate'),field: 'pdidate',flex: 1},
			{headerName: this.l('Pditime'),headerTooltip: this.l('Pditime'),field: 'pditime',flex: 1},
			{headerName: this.l('Pdidatetime'),headerTooltip: this.l('Pdidatetime'),field: 'pdidatetime',flex: 1},
			{headerName: this.l('Isproject'),headerTooltip: this.l('Isproject'),field:  'isproject', cellClass: ['text-center'], width: 120, cellRenderer: 'agCellButtonComponent',
buttonDefTwo: { text: params =&gt; (params.data?.'isproject' == 'Y') ? 'Active' : 'Inactive',iconName: 'fa fa-circle',className: params =&gt; (params.data?.'isproject' == 'Y') ? 'btnActive' : 'btnInActive',},}
			{headerName: this.l('Vehicleid'),headerTooltip: this.l('Vehicleid'),field: 'vehicleid',flex: 1},
			{headerName: this.l('Indentline'),headerTooltip: this.l('Indentline'),field: 'indentline',flex: 1},
			{headerName: this.l('Colortype'),headerTooltip: this.l('Colortype'),field: 'colortype',flex: 1},
			{headerName: this.l('Engineid'),headerTooltip: this.l('Engineid'),field: 'engineid',flex: 1},
			{headerName: this.l('Goshicar'),headerTooltip: this.l('Goshicar'),field:  'goshicar', cellClass: ['text-center'], width: 120, cellRenderer: 'agCellButtonComponent',
buttonDefTwo: { text: params =&gt; (params.data?.'goshicar' == 'Y') ? 'Active' : 'Inactive',iconName: 'fa fa-circle',className: params =&gt; (params.data?.'goshicar' == 'Y') ? 'btnActive' : 'btnInActive',},}
			{headerName: this.l('Salessfx'),headerTooltip: this.l('Salessfx'),field: 'salessfx',flex: 1},
			{headerName: this.l('Ssno'),headerTooltip: this.l('Ssno'),field: 'ssno',flex: 1},
			{headerName: this.l('Transid'),headerTooltip: this.l('Transid'),field: 'transid',flex: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this.no,
			this.prodline,
			this.cfc,
			this.model,
			this.grade,
			this.color,
			this.bodyno,
			this.lotno,
			this.noinlot,
			this.vinno,
			this.winplandate,
			this.winplantime,
			this.winplandatetime,
			this.woutplandate,
			this.woutplantime,
			this.woutplandatetime,
			this.tinplandate,
			this.tinplantime,
			this.tinplandatetime,
			this.toutplandate,
			this.toutplantime,
			this.toutplandatetime,
			this.ainplandate,
			this.ainplantime,
			this.ainplandatetime,
			this.aoutplandate,
			this.aoutplantime,
			this.aoutplandatetime,
			this.lineoffdate,
			this.lineofftime,
			this.lineoffdatetime,
			this.pdidate,
			this.pditime,
			this.pdidatetime,
			this.isproject,
			this.vehicleid,
			this.indentline,
			this.colortype,
			this.engineid,
			this.goshicar,
			this.salessfx,
			this.ssno,
			this.transid,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this.no = '',
		this.prodline = '',
		this.cfc = '',
		this.model = '',
		this.grade = '',
		this.color = '',
		this.bodyno = '',
		this.lotno = '',
		this.noinlot = '',
		this.vinno = '',
		this.winplandate = '',
		this.winplantime = '',
		this.winplandatetime = '',
		this.woutplandate = '',
		this.woutplantime = '',
		this.woutplandatetime = '',
		this.tinplandate = '',
		this.tinplantime = '',
		this.tinplandatetime = '',
		this.toutplandate = '',
		this.toutplantime = '',
		this.toutplandatetime = '',
		this.ainplandate = '',
		this.ainplantime = '',
		this.ainplandatetime = '',
		this.aoutplandate = '',
		this.aoutplantime = '',
		this.aoutplandatetime = '',
		this.lineoffdate = '',
		this.lineofftime = '',
		this.lineoffdatetime = '',
		this.pdidate = '',
		this.pditime = '',
		this.pdidatetime = '',
		this.isproject = '',
		this.vehicleid = '',
		this.indentline = '',
		this.colortype = '',
		this.engineid = '',
		this.goshicar = '',
		this.salessfx = '',
		this.ssno = '',
		this.transid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this.no,
			this.prodline,
			this.cfc,
			this.model,
			this.grade,
			this.color,
			this.bodyno,
			this.lotno,
			this.noinlot,
			this.vinno,
			this.winplandate,
			this.winplantime,
			this.winplandatetime,
			this.woutplandate,
			this.woutplantime,
			this.woutplandatetime,
			this.tinplandate,
			this.tinplantime,
			this.tinplandatetime,
			this.toutplandate,
			this.toutplantime,
			this.toutplandatetime,
			this.ainplandate,
			this.ainplantime,
			this.ainplandatetime,
			this.aoutplandate,
			this.aoutplantime,
			this.aoutplandatetime,
			this.lineoffdate,
			this.lineofftime,
			this.lineoffdatetime,
			this.pdidate,
			this.pditime,
			this.pdidatetime,
			this.isproject,
			this.vehicleid,
			this.indentline,
			this.colortype,
			this.engineid,
			this.goshicar,
			this.salessfx,
			this.ssno,
			this.transid,
			'',
            this.paginationParams.skipCount,
            this.paginationParams.pageSize
        );
    }
    onChangeRowSelection(params: { api: { getSelectedRows: () =&gt; InvCkdInvoiceDetailsDto[] } }) {
        this.saveSelectedRow = params.api.getSelectedRows()[0] ?? new InvCkdInvoiceDetailsDto();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InvCkdInvoiceDetailsDto):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this._service.getInvoiceDetailsToExcel(
			this.no,
			this.prodline,
			this.cfc,
			this.model,
			this.grade,
			this.color,
			this.bodyno,
			this.lotno,
			this.noinlot,
			this.vinno,
			this.winplandate,
			this.winplantime,
			this.winplandatetime,
			this.woutplandate,
			this.woutplantime,
			this.woutplandatetime,
			this.tinplandate,
			this.tinplantime,
			this.tinplandatetime,
			this.toutplandate,
			this.toutplantime,
			this.toutplandatetime,
			this.ainplandate,
			this.ainplantime,
			this.ainplandatetime,
			this.aoutplandate,
			this.aoutplantime,
			this.aoutplandatetime,
			this.lineoffdate,
			this.lineofftime,
			this.lineoffdatetime,
			this.pdidate,
			this.pditime,
			this.pdidatetime,
			this.isproject,
			this.vehicleid,
			this.indentline,
			this.colortype,
			this.engineid,
			this.goshicar,
			this.salessfx,
			this.ssno,
			this.transid,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Invoice Details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[(ngModel)]='prodline' name='prodline'
									class='form-control' [placeholder]="l('Prodline')"
									type='text' (keyup.enter)='searchDatas()'&gt;
								&lt;/div&gt;
								&lt;div class='input-search'&gt;
									&lt;input [(ngModel)]='cfc' name='cfc'
									class='form-control' [placeholder]="l('Cfc')"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[(ngModel)]='bodyno' name='bodyno'
									class='form-control' [placeholder]="l('Bodyno')"
									type='text' (keyup.enter)='searchDatas()'&gt;
								&lt;/div&gt;
								&lt;div class='input-search'&gt;
									&lt;input [(ngModel)]='lotno' name='lotno'
									class='form-control' [placeholder]="l('Lotno')"
									type='text' (keyup.enter)='searchDatas()'&gt;
								&lt;/div&gt;
								&lt;div class='input-search'&gt;
									&lt;input [(ngModel)]='vinno' name='vinno'
									class='form-control' [placeholder]="l('Vinno')"
									type='text' (keyup.enter)='searchDatas()'&gt;
								&lt;/div&gt;
								&lt;div class='input-search'&gt;
									&lt;input [(ngModel)]='isproject' name='isproject'
									class='form-control' [placeholder]="l('Isproject')"
									type='text' (keyup.enter)='searchDatas()'&gt;
								&lt;/div&gt;
								&lt;div class='input-search'&gt;
									&lt;input [(ngModel)]='vehicleid' name='vehicleid'
									class='form-control' [placeholder]="l('Vehicleid')"
									type='text' (keyup.enter)='searchDatas()'&gt;
								&lt;/div&gt;
								&lt;div class='input-search'&gt;
									&lt;input [(ngModel)]='indentline' name='indentline'
									class='form-control' [placeholder]="l('Indentline')"
									type='text' (keyup.enter)='searchDatas()'&gt;
								&lt;/div&gt;
								&lt;div class='input-search'&gt;
									&lt;input [(ngModel)]='colortype' name='colortype'
									class='form-control' [placeholder]="l('Colortype')"
									type='text' (keyup.enter)='searchDatas()'&gt;
								&lt;/div&gt;
								&lt;div class='input-search'&gt;
									&lt;input [(ngModel)]='engineid' name='engineid'
									class='form-control' [placeholder]="l('Engineid')"
									type='text' (keyup.enter)='searchDatas()'&gt;
								&lt;/div&gt;
								&lt;div class='input-search'&gt;
									&lt;input [(ngModel)]='goshicar' name='goshicar'
									class='form-control' [placeholder]="l('Goshicar')"
									type='text' (keyup.enter)='searchDatas()'&gt;
								&lt;/div&gt;
								&lt;div class='input-search'&gt;
									&lt;input [(ngModel)]='salessfx' name='salessfx'
									class='form-control' [placeholder]="l('Salessfx')"
									type='text' (keyup.enter)='searchDatas()'&gt;
								&lt;/div&gt;
								&lt;div class='input-search'&gt;
									&lt;input [(ngModel)]='ssno' name='ssno'
									class='form-control' [placeholder]="l('Ssno')"
									type='text' (keyup.enter)='searchDatas()'&gt;
								&lt;/div&gt;
								&lt;div class='input-search'&gt;
									&lt;input [(ngModel)]='transid' name='transid'
									class='form-control' [placeholder]="l('Transid')"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(click)="createOrEditModalInvoiceDetails.show()"&gt;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(click)="createOrEditModalInvoiceDetails.show(selectedRow)"&gt;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&lt;create-or-edit-invoicedetails-modal
    #createOrEditModalInvoiceDetails
    (modalSave)="callBackDataGrid(dataParams)"
    (modalClose)="onChangeRowSelection(dataParams)"
&gt;
&lt;/create-or-edit-invoicedetails-modal&gt;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#createOrEditModalInvoiceDetails="bs-modal"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InvoiceDetails')}}&lt;/h3&gt;
                    &lt;h3 *ngIf="!rowdata.id"&gt;{{('Create New InvoiceDetails')}}&lt;/h3&gt;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title'&gt;Prodline&lt;/label&gt;
						&lt;input type='text' class='col-md-10 form-control input-text' name='Prodline' [(ngModel)]='rowdata.prodline'&gt;
					&lt;/div&gt;
					&lt;div class='col-md-12 form-group row'&gt;
						&lt;label class='col-md-2 form-control title'&gt;Cfc&lt;/label&gt;
						&lt;input type='text' class='col-md-10 form-control input-text' name='Cfc' [(ngModel)]='rowdata.cfc'&gt;
					&lt;/div&gt;
					&lt;div class='col-md-12 form-group row'&gt;
						&lt;label class='col-md-2 form-control title'&gt;Model&lt;/label&gt;
						&lt;new-checkbox [(ngModel)]='_model' name='model' className='col-md-10' &gt; &lt;/new-checkbox&gt;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title'&gt;Bodyno&lt;/label&gt;
						&lt;input type='text' class='col-md-10 form-control input-text' name='Bodyno' [(ngModel)]='rowdata.bodyno'&gt;
					&lt;/div&gt;
					&lt;div class='col-md-12 form-group row'&gt;
						&lt;label class='col-md-2 form-control title'&gt;Lotno&lt;/label&gt;
						&lt;input type='text' class='col-md-10 form-control input-text' name='Lotno' [(ngModel)]='rowdata.lotno'&gt;
					&lt;/div&gt;
					&lt;div class='col-md-12 form-group row'&gt;
						&lt;label class='col-md-2 form-control title'&gt;Vinno&lt;/label&gt;
						&lt;input type='text' class='col-md-10 form-control input-text' name='Vinno' [(ngModel)]='rowdata.vinno'&gt;
					&lt;/div&gt;
					&lt;div class='col-md-12 form-group row'&gt;
						&lt;label class='col-md-2 form-control title'&gt;Isproject&lt;/label&gt;
						&lt;new-checkbox [(ngModel)]='_isproject' name='isproject' className='col-md-10' &gt; &lt;/new-checkbox&gt;
					&lt;/div&gt;
					&lt;div class='col-md-12 form-group row'&gt;
						&lt;label class='col-md-2 form-control title'&gt;Vehicleid&lt;/label&gt;
						&lt;input type='text' class='col-md-10 form-control input-text' name='Vehicleid' [(ngModel)]='rowdata.vehicleid'&gt;
					&lt;/div&gt;
					&lt;div class='col-md-12 form-group row'&gt;
						&lt;label class='col-md-2 form-control title'&gt;Indentline&lt;/label&gt;
						&lt;input type='text' class='col-md-10 form-control input-text' name='Indentline' [(ngModel)]='rowdata.indentline'&gt;
					&lt;/div&gt;
					&lt;div class='col-md-12 form-group row'&gt;
						&lt;label class='col-md-2 form-control title'&gt;Colortype&lt;/label&gt;
						&lt;input type='text' class='col-md-10 form-control input-text' name='Colortype' [(ngModel)]='rowdata.colortype'&gt;
					&lt;/div&gt;
					&lt;div class='col-md-12 form-group row'&gt;
						&lt;label class='col-md-2 form-control title'&gt;Engineid&lt;/label&gt;
						&lt;input type='text' class='col-md-10 form-control input-text' name='Engineid' [(ngModel)]='rowdata.engineid'&gt;
					&lt;/div&gt;
					&lt;div class='col-md-12 form-group row'&gt;
						&lt;label class='col-md-2 form-control title'&gt;Goshicar&lt;/label&gt;
						&lt;new-checkbox [(ngModel)]='_goshicar' name='goshicar' className='col-md-10' &gt; &lt;/new-checkbox&gt;
					&lt;/div&gt;
					&lt;div class='col-md-12 form-group row'&gt;
						&lt;label class='col-md-2 form-control title'&gt;Salessfx&lt;/label&gt;
						&lt;input type='text' class='col-md-10 form-control input-text' name='Salessfx' [(ngModel)]='rowdata.salessfx'&gt;
					&lt;/div&gt;
					&lt;div class='col-md-12 form-group row'&gt;
						&lt;label class='col-md-2 form-control title'&gt;Ssno&lt;/label&gt;
						&lt;input type='text' class='col-md-10 form-control input-text' name='Ssno' [(ngModel)]='rowdata.ssno'&gt;
					&lt;/div&gt;
					&lt;div class='col-md-12 form-group row'&gt;
						&lt;label class='col-md-2 form-control title'&gt;Transid&lt;/label&gt;
						&lt;input type='text' class='col-md-10 form-control input-text' name='Transid' [(ngModel)]='rowdata.transid'&gt;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CreateOrEditInvCkdInvoiceDetailsDto, InvCkdInvoiceDetailsServiceProxy } from '@shared/service-proxies/service-proxies';
import { BsDatepickerDirective } from 'ngx-bootstrap/datepicker';
@Component({
    selector: 'create-or-edit-invoicedetails-modal',
    templateUrl: './create-or-edit-invoicedetails-modal.component.html',
    styleUrls: ['./create-or-edit-invoicedetails-modal.component.less']
    })
export class CreateOrEditInvoiceDetailsModalComponent extends AppComponentBase {
    @ViewChild('createOrEditModalInvoiceDetails',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CreateOrEditInvCkdInvoiceDetailsDto = new CreateOrEditInvCkdInvoiceDetailsDto();
    active: boolean = false;
    saving: boolean = false;
    _model
isproject
goshicar
: boolean;
    constructor(
        injector: Injector,
        private _mstwptInvoiceDetailsService: InvCkdInvoiceDetailsServiceProxy,
    ) 
    {
        super(injector);
    }
    show(rowdata?: CreateOrEditInvCkdInvoiceDetailsDto): void {
        if (!rowdata) this.rowdata = new CreateOrEditInvCkdInvoiceDetailsDto();
        else this.rowdata = rowdata;
        this._model
isproject
goshicar
 = (this.rowdata.model
isproject
goshicar
 == "N")? false: true;
        this.active = true;
        this.modal.show();
    } 
    changeActive(event){
        this._model
isproject
goshicar
 = event.target.checked;
    }
    save(): void {
    this.saving = true; 
    this.rowdata.model
isproject
goshicar
 = (this._model
isproject
goshicar
 == true) ? 'Y' : 'N'
    this._mstwptInvoiceDetailsService.createOrEdit(this.rowdata)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InvoiceDetailsRoutingModule } from './invoicedetails-routing.module';
import { InvoiceDetailsComponent } from './invoicedetails.component';
import { CreateOrEditInvoiceDetailsModalComponent } from './create-or-edit-invoicedetails-modal.component';
@NgModule({
    declarations: [
       InvoiceDetailsComponent, 
        CreateOrEditInvoiceDetailsModalComponent
    ],
    imports: [
        AppSharedModule, InvoiceDetailsRoutingModule]
})
export class InvoiceDetailsModule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InvoiceDetailsComponent } from './invoicedetails.component';
const routes: Routes = [{
    path: '',
    component: InvoiceDetailsComponent,
    pathMatch: 'full'
}];
@NgModule({
    imports: [RouterModule.forChild(routes)],
    exports: [RouterModule],
})
export class InvoiceDetailsRoutingModule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AppMenuItem("InvoiceDetails", "Pages.Inventory.CKD.InvoiceDetails", "flaticon-book",   "/app/main/inventory/ckd/invoicedetails"),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'inventory/ckd/invoicedetails',
    loadChildren: () =&gt; import('./inventory/ckd/invoicedetails/invoicedetails.module').then(m =&gt; m.InvoiceDetailsModule),
    data: { permission: 'Pages.Inventory.CKD.InvoiceDetails' }
},</v>
      </c>
      <c r="R10" s="47" t="str">
        <f>SUBSTITUTE(R9,"MstWptCalendar",$B$6)</f>
        <v>ApiServiceProxies.InvCkdInvoiceDetailsServiceProxy,</v>
      </c>
      <c r="S10" s="28"/>
      <c r="T10" s="28"/>
      <c r="U10" s="28"/>
      <c r="V10" s="28"/>
    </row>
    <row r="11" spans="1:22" x14ac:dyDescent="0.3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3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H57</v>
      </c>
      <c r="I12" s="28" t="str">
        <f>"I"&amp;COUNTA($A:$A)</f>
        <v>I57</v>
      </c>
      <c r="J12" s="28"/>
      <c r="K12" s="28" t="str">
        <f>"K"&amp;COUNTA($A:$A)</f>
        <v>K57</v>
      </c>
      <c r="L12" s="28" t="str">
        <f>"L"&amp;COUNTA($A:$A)</f>
        <v>L57</v>
      </c>
      <c r="M12" s="28"/>
      <c r="N12" s="28"/>
      <c r="O12" s="28"/>
      <c r="P12" s="28"/>
      <c r="Q12" s="28"/>
      <c r="R12" s="28"/>
      <c r="S12" s="28" t="str">
        <f>"S"&amp;COUNTA($A:$A)</f>
        <v>S57</v>
      </c>
      <c r="T12" s="28" t="str">
        <f>"T"&amp;COUNTA($A:$A)</f>
        <v>T57</v>
      </c>
      <c r="U12" s="28" t="str">
        <f>"U"&amp;COUNTA($A:$A)</f>
        <v>U57</v>
      </c>
      <c r="V12" s="28" t="str">
        <f>"V"&amp;COUNTA($A:$A)</f>
        <v>V57</v>
      </c>
    </row>
    <row r="13" spans="1:22" ht="17.25" customHeight="1" x14ac:dyDescent="0.3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this.l('No'),headerTooltip: this.l('No'),field: 'no',flex: 1},
			{headerName: this.l('Prodline'),headerTooltip: this.l('Prodline'),field: 'prodline',flex: 1},
			{headerName: this.l('Cfc'),headerTooltip: this.l('Cfc'),field: 'cfc',flex: 1},
			{headerName: this.l('Model'),headerTooltip: this.l('Model'),field:  'model', cellClass: ['text-center'], width: 120, cellRenderer: 'agCellButtonComponent',
buttonDefTwo: { text: params =&gt; (params.data?.'model' == 'Y') ? 'Active' : 'Inactive',iconName: 'fa fa-circle',className: params =&gt; (params.data?.'model' == 'Y') ? 'btnActive' : 'btnInActive',},}
			{headerName: this.l('Grade'),headerTooltip: this.l('Grade'),field: 'grade',flex: 1},
			{headerName: this.l('Color'),headerTooltip: this.l('Color'),field: 'color',flex: 1},
			{headerName: this.l('Bodyno'),headerTooltip: this.l('Bodyno'),field: 'bodyno',flex: 1},
			{headerName: this.l('Lotno'),headerTooltip: this.l('Lotno'),field: 'lotno',flex: 1},
			{headerName: this.l('Noinlot'),headerTooltip: this.l('Noinlot'),field: 'noinlot',flex: 1},
			{headerName: this.l('Vinno'),headerTooltip: this.l('Vinno'),field: 'vinno',flex: 1},
			{headerName: this.l('Winplandate'),headerTooltip: this.l('Winplandate'),field: 'winplandate',flex: 1},
			{headerName: this.l('Winplantime'),headerTooltip: this.l('Winplantime'),field: 'winplantime',flex: 1},
			{headerName: this.l('Winplandatetime'),headerTooltip: this.l('Winplandatetime'),field: 'winplandatetime',flex: 1},
			{headerName: this.l('Woutplandate'),headerTooltip: this.l('Woutplandate'),field: 'woutplandate',flex: 1},
			{headerName: this.l('Woutplantime'),headerTooltip: this.l('Woutplantime'),field: 'woutplantime',flex: 1},
			{headerName: this.l('Woutplandatetime'),headerTooltip: this.l('Woutplandatetime'),field: 'woutplandatetime',flex: 1},
			{headerName: this.l('Tinplandate'),headerTooltip: this.l('Tinplandate'),field: 'tinplandate',flex: 1},
			{headerName: this.l('Tinplantime'),headerTooltip: this.l('Tinplantime'),field: 'tinplantime',flex: 1},
			{headerName: this.l('Tinplandatetime'),headerTooltip: this.l('Tinplandatetime'),field: 'tinplandatetime',flex: 1},
			{headerName: this.l('Toutplandate'),headerTooltip: this.l('Toutplandate'),field: 'toutplandate',flex: 1},
			{headerName: this.l('Toutplantime'),headerTooltip: this.l('Toutplantime'),field: 'toutplantime',flex: 1},
			{headerName: this.l('Toutplandatetime'),headerTooltip: this.l('Toutplandatetime'),field: 'toutplandatetime',flex: 1},
			{headerName: this.l('Ainplandate'),headerTooltip: this.l('Ainplandate'),field: 'ainplandate',flex: 1},
			{headerName: this.l('Ainplantime'),headerTooltip: this.l('Ainplantime'),field: 'ainplantime',flex: 1},
			{headerName: this.l('Ainplandatetime'),headerTooltip: this.l('Ainplandatetime'),field: 'ainplandatetime',flex: 1},
			{headerName: this.l('Aoutplandate'),headerTooltip: this.l('Aoutplandate'),field: 'aoutplandate',flex: 1},
			{headerName: this.l('Aoutplantime'),headerTooltip: this.l('Aoutplantime'),field: 'aoutplantime',flex: 1},
			{headerName: this.l('Aoutplandatetime'),headerTooltip: this.l('Aoutplandatetime'),field: 'aoutplandatetime',flex: 1},
			{headerName: this.l('Lineoffdate'),headerTooltip: this.l('Lineoffdate'),field: 'lineoffdate',flex: 1},
			{headerName: this.l('Lineofftime'),headerTooltip: this.l('Lineofftime'),field: 'lineofftime',flex: 1},
			{headerName: this.l('Lineoffdatetime'),headerTooltip: this.l('Lineoffdatetime'),field: 'lineoffdatetime',flex: 1},
			{headerName: this.l('Pdidate'),headerTooltip: this.l('Pdidate'),field: 'pdidate',flex: 1},
			{headerName: this.l('Pditime'),headerTooltip: this.l('Pditime'),field: 'pditime',flex: 1},
			{headerName: this.l('Pdidatetime'),headerTooltip: this.l('Pdidatetime'),field: 'pdidatetime',flex: 1},
			{headerName: this.l('Isproject'),headerTooltip: this.l('Isproject'),field:  'isproject', cellClass: ['text-center'], width: 120, cellRenderer: 'agCellButtonComponent',
buttonDefTwo: { text: params =&gt; (params.data?.'isproject' == 'Y') ? 'Active' : 'Inactive',iconName: 'fa fa-circle',className: params =&gt; (params.data?.'isproject' == 'Y') ? 'btnActive' : 'btnInActive',},}
			{headerName: this.l('Vehicleid'),headerTooltip: this.l('Vehicleid'),field: 'vehicleid',flex: 1},
			{headerName: this.l('Indentline'),headerTooltip: this.l('Indentline'),field: 'indentline',flex: 1},
			{headerName: this.l('Colortype'),headerTooltip: this.l('Colortype'),field: 'colortype',flex: 1},
			{headerName: this.l('Engineid'),headerTooltip: this.l('Engineid'),field: 'engineid',flex: 1},
			{headerName: this.l('Goshicar'),headerTooltip: this.l('Goshicar'),field:  'goshicar', cellClass: ['text-center'], width: 120, cellRenderer: 'agCellButtonComponent',
buttonDefTwo: { text: params =&gt; (params.data?.'goshicar' == 'Y') ? 'Active' : 'Inactive',iconName: 'fa fa-circle',className: params =&gt; (params.data?.'goshicar' == 'Y') ? 'btnActive' : 'btnInActive',},}
			{headerName: this.l('Salessfx'),headerTooltip: this.l('Salessfx'),field: 'salessfx',flex: 1},
			{headerName: this.l('Ssno'),headerTooltip: this.l('Ssno'),field: 'ssno',flex: 1},
			{headerName: this.l('Transid'),headerTooltip: this.l('Transid'),field: 'transid',flex: 1},</v>
      </c>
      <c r="I13" s="35" t="str">
        <f ca="1">TEXTJOIN2("
",TRUE,INDIRECT(I11):INDIRECT(I12))</f>
        <v xml:space="preserve">								&lt;div class='input-search'&gt;
									&lt;input [(ngModel)]='prodline' name='prodline'
									class='form-control' [placeholder]="l('Prodline')"
									type='text' (keyup.enter)='searchDatas()'&gt;
								&lt;/div&gt;
								&lt;div class='input-search'&gt;
									&lt;input [(ngModel)]='cfc' name='cfc'
									class='form-control' [placeholder]="l('Cfc')"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[(ngModel)]='bodyno' name='bodyno'
									class='form-control' [placeholder]="l('Bodyno')"
									type='text' (keyup.enter)='searchDatas()'&gt;
								&lt;/div&gt;
								&lt;div class='input-search'&gt;
									&lt;input [(ngModel)]='lotno' name='lotno'
									class='form-control' [placeholder]="l('Lotno')"
									type='text' (keyup.enter)='searchDatas()'&gt;
								&lt;/div&gt;
								&lt;div class='input-search'&gt;
									&lt;input [(ngModel)]='vinno' name='vinno'
									class='form-control' [placeholder]="l('Vinno')"
									type='text' (keyup.enter)='searchDatas()'&gt;
								&lt;/div&gt;
								&lt;div class='input-search'&gt;
									&lt;input [(ngModel)]='isproject' name='isproject'
									class='form-control' [placeholder]="l('Isproject')"
									type='text' (keyup.enter)='searchDatas()'&gt;
								&lt;/div&gt;
								&lt;div class='input-search'&gt;
									&lt;input [(ngModel)]='vehicleid' name='vehicleid'
									class='form-control' [placeholder]="l('Vehicleid')"
									type='text' (keyup.enter)='searchDatas()'&gt;
								&lt;/div&gt;
								&lt;div class='input-search'&gt;
									&lt;input [(ngModel)]='indentline' name='indentline'
									class='form-control' [placeholder]="l('Indentline')"
									type='text' (keyup.enter)='searchDatas()'&gt;
								&lt;/div&gt;
								&lt;div class='input-search'&gt;
									&lt;input [(ngModel)]='colortype' name='colortype'
									class='form-control' [placeholder]="l('Colortype')"
									type='text' (keyup.enter)='searchDatas()'&gt;
								&lt;/div&gt;
								&lt;div class='input-search'&gt;
									&lt;input [(ngModel)]='engineid' name='engineid'
									class='form-control' [placeholder]="l('Engineid')"
									type='text' (keyup.enter)='searchDatas()'&gt;
								&lt;/div&gt;
								&lt;div class='input-search'&gt;
									&lt;input [(ngModel)]='goshicar' name='goshicar'
									class='form-control' [placeholder]="l('Goshicar')"
									type='text' (keyup.enter)='searchDatas()'&gt;
								&lt;/div&gt;
								&lt;div class='input-search'&gt;
									&lt;input [(ngModel)]='salessfx' name='salessfx'
									class='form-control' [placeholder]="l('Salessfx')"
									type='text' (keyup.enter)='searchDatas()'&gt;
								&lt;/div&gt;
								&lt;div class='input-search'&gt;
									&lt;input [(ngModel)]='ssno' name='ssno'
									class='form-control' [placeholder]="l('Ssno')"
									type='text' (keyup.enter)='searchDatas()'&gt;
								&lt;/div&gt;
								&lt;div class='input-search'&gt;
									&lt;input [(ngModel)]='transid' name='transid'
									class='form-control' [placeholder]="l('Transid')"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title'&gt;Prodline&lt;/label&gt;
						&lt;input type='text' class='col-md-10 form-control input-text' name='Prodline' [(ngModel)]='rowdata.prodline'&gt;
					&lt;/div&gt;
					&lt;div class='col-md-12 form-group row'&gt;
						&lt;label class='col-md-2 form-control title'&gt;Cfc&lt;/label&gt;
						&lt;input type='text' class='col-md-10 form-control input-text' name='Cfc' [(ngModel)]='rowdata.cfc'&gt;
					&lt;/div&gt;
					&lt;div class='col-md-12 form-group row'&gt;
						&lt;label class='col-md-2 form-control title'&gt;Model&lt;/label&gt;
						&lt;new-checkbox [(ngModel)]='_model' name='model' className='col-md-10' &gt; &lt;/new-checkbox&gt;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title'&gt;Bodyno&lt;/label&gt;
						&lt;input type='text' class='col-md-10 form-control input-text' name='Bodyno' [(ngModel)]='rowdata.bodyno'&gt;
					&lt;/div&gt;
					&lt;div class='col-md-12 form-group row'&gt;
						&lt;label class='col-md-2 form-control title'&gt;Lotno&lt;/label&gt;
						&lt;input type='text' class='col-md-10 form-control input-text' name='Lotno' [(ngModel)]='rowdata.lotno'&gt;
					&lt;/div&gt;
					&lt;div class='col-md-12 form-group row'&gt;
						&lt;label class='col-md-2 form-control title'&gt;Vinno&lt;/label&gt;
						&lt;input type='text' class='col-md-10 form-control input-text' name='Vinno' [(ngModel)]='rowdata.vinno'&gt;
					&lt;/div&gt;
					&lt;div class='col-md-12 form-group row'&gt;
						&lt;label class='col-md-2 form-control title'&gt;Isproject&lt;/label&gt;
						&lt;new-checkbox [(ngModel)]='_isproject' name='isproject' className='col-md-10' &gt; &lt;/new-checkbox&gt;
					&lt;/div&gt;
					&lt;div class='col-md-12 form-group row'&gt;
						&lt;label class='col-md-2 form-control title'&gt;Vehicleid&lt;/label&gt;
						&lt;input type='text' class='col-md-10 form-control input-text' name='Vehicleid' [(ngModel)]='rowdata.vehicleid'&gt;
					&lt;/div&gt;
					&lt;div class='col-md-12 form-group row'&gt;
						&lt;label class='col-md-2 form-control title'&gt;Indentline&lt;/label&gt;
						&lt;input type='text' class='col-md-10 form-control input-text' name='Indentline' [(ngModel)]='rowdata.indentline'&gt;
					&lt;/div&gt;
					&lt;div class='col-md-12 form-group row'&gt;
						&lt;label class='col-md-2 form-control title'&gt;Colortype&lt;/label&gt;
						&lt;input type='text' class='col-md-10 form-control input-text' name='Colortype' [(ngModel)]='rowdata.colortype'&gt;
					&lt;/div&gt;
					&lt;div class='col-md-12 form-group row'&gt;
						&lt;label class='col-md-2 form-control title'&gt;Engineid&lt;/label&gt;
						&lt;input type='text' class='col-md-10 form-control input-text' name='Engineid' [(ngModel)]='rowdata.engineid'&gt;
					&lt;/div&gt;
					&lt;div class='col-md-12 form-group row'&gt;
						&lt;label class='col-md-2 form-control title'&gt;Goshicar&lt;/label&gt;
						&lt;new-checkbox [(ngModel)]='_goshicar' name='goshicar' className='col-md-10' &gt; &lt;/new-checkbox&gt;
					&lt;/div&gt;
					&lt;div class='col-md-12 form-group row'&gt;
						&lt;label class='col-md-2 form-control title'&gt;Salessfx&lt;/label&gt;
						&lt;input type='text' class='col-md-10 form-control input-text' name='Salessfx' [(ngModel)]='rowdata.salessfx'&gt;
					&lt;/div&gt;
					&lt;div class='col-md-12 form-group row'&gt;
						&lt;label class='col-md-2 form-control title'&gt;Ssno&lt;/label&gt;
						&lt;input type='text' class='col-md-10 form-control input-text' name='Ssno' [(ngModel)]='rowdata.ssno'&gt;
					&lt;/div&gt;
					&lt;div class='col-md-12 form-group row'&gt;
						&lt;label class='col-md-2 form-control title'&gt;Transid&lt;/label&gt;
						&lt;input type='text' class='col-md-10 form-control input-text' name='Transid' [(ngModel)]='rowdata.transid'&gt;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no
	prodline : string = '' ; 
	cfc : string = '' ; 
	model : string = '' ; 
	grade : string = '' ; 
	color : string = '' ; 
	bodyno : string = '' ; 
	lotno : string = '' ; 
	noinlot
	vinno : string = '' ; 
	winplandate
	winplantime
	winplandatetime
	woutplandate
	woutplantime
	woutplandatetime
	tinplandate
	tinplantime
	tinplandatetime
	toutplandate
	toutplantime
	toutplandatetime
	ainplandate
	ainplantime
	ainplandatetime
	aoutplandate
	aoutplantime
	aoutplandatetime
	lineoffdate
	lineofftime
	lineoffdatetime
	pdidate
	pditime
	pdidatetime
	isproject : string = '' ; 
	vehicleid : string = '' ; 
	indentline : string = '' ; 
	colortype : string = '' ; 
	engineid : string = '' ; 
	goshicar : string = '' ; 
	salessfx : string = '' ; 
	ssno : string = '' ; 
	transid : string = '' ; </v>
      </c>
      <c r="T13" s="62" t="str">
        <f ca="1">TEXTJOIN2("
",TRUE,INDIRECT(T11):INDIRECT(T12))</f>
        <v xml:space="preserve">			this.no,
			this.prodline,
			this.cfc,
			this.model,
			this.grade,
			this.color,
			this.bodyno,
			this.lotno,
			this.noinlot,
			this.vinno,
			this.winplandate,
			this.winplantime,
			this.winplandatetime,
			this.woutplandate,
			this.woutplantime,
			this.woutplandatetime,
			this.tinplandate,
			this.tinplantime,
			this.tinplandatetime,
			this.toutplandate,
			this.toutplantime,
			this.toutplandatetime,
			this.ainplandate,
			this.ainplantime,
			this.ainplandatetime,
			this.aoutplandate,
			this.aoutplantime,
			this.aoutplandatetime,
			this.lineoffdate,
			this.lineofftime,
			this.lineoffdatetime,
			this.pdidate,
			this.pditime,
			this.pdidatetime,
			this.isproject,
			this.vehicleid,
			this.indentline,
			this.colortype,
			this.engineid,
			this.goshicar,
			this.salessfx,
			this.ssno,
			this.transid,</v>
      </c>
      <c r="U13" s="62" t="str">
        <f ca="1">TEXTJOIN2("
",TRUE,INDIRECT(U11):INDIRECT(U12))</f>
        <v xml:space="preserve">		this.no = '',
		this.prodline = '',
		this.cfc = '',
		this.model = '',
		this.grade = '',
		this.color = '',
		this.bodyno = '',
		this.lotno = '',
		this.noinlot = '',
		this.vinno = '',
		this.winplandate = '',
		this.winplantime = '',
		this.winplandatetime = '',
		this.woutplandate = '',
		this.woutplantime = '',
		this.woutplandatetime = '',
		this.tinplandate = '',
		this.tinplantime = '',
		this.tinplandatetime = '',
		this.toutplandate = '',
		this.toutplantime = '',
		this.toutplandatetime = '',
		this.ainplandate = '',
		this.ainplantime = '',
		this.ainplandatetime = '',
		this.aoutplandate = '',
		this.aoutplantime = '',
		this.aoutplandatetime = '',
		this.lineoffdate = '',
		this.lineofftime = '',
		this.lineoffdatetime = '',
		this.pdidate = '',
		this.pditime = '',
		this.pdidatetime = '',
		this.isproject = '',
		this.vehicleid = '',
		this.indentline = '',
		this.colortype = '',
		this.engineid = '',
		this.goshicar = '',
		this.salessfx = '',
		this.ssno = '',
		this.transid = '',</v>
      </c>
      <c r="V13" s="28" t="str">
        <f ca="1">TEXTJOIN2("
",TRUE,INDIRECT(V11):INDIRECT(V12))</f>
        <v xml:space="preserve">model
isproject
goshicar
</v>
      </c>
    </row>
    <row r="14" spans="1:22" x14ac:dyDescent="0.3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invoicedetails.component.ts</v>
      </c>
      <c r="I14" s="37" t="str">
        <f>B8&amp;".component.html"</f>
        <v>invoicedetails.component.html</v>
      </c>
      <c r="J14" s="36" t="str">
        <f>B8&amp;".component.less"</f>
        <v>invoicedetails.component.less</v>
      </c>
      <c r="K14" s="37" t="str">
        <f>"create-or-edit-"&amp;B8&amp;"-modal.component.html"</f>
        <v>create-or-edit-invoicedetails-modal.component.html</v>
      </c>
      <c r="L14" s="37" t="str">
        <f>"create-or-edit-"&amp;B8&amp;"-modal.component.ts"</f>
        <v>create-or-edit-invoicedetails-modal.component.ts</v>
      </c>
      <c r="M14" s="37" t="str">
        <f>"create-or-edit-"&amp;B8&amp;"-modal.component.less"</f>
        <v>create-or-edit-invoicedetails-modal.component.less</v>
      </c>
      <c r="N14" s="37" t="str">
        <f>B8&amp;".module.ts"</f>
        <v>invoicedetails.module.ts</v>
      </c>
      <c r="O14" s="37" t="str">
        <f>B8&amp;"-routing.module.ts"</f>
        <v>invoicedetails-routing.module.ts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3">
      <c r="A15" s="66" t="s">
        <v>358</v>
      </c>
      <c r="B15" s="28" t="str">
        <f t="shared" ref="B15:B32" si="0">SUBSTITUTE(PROPER(A15),"_","")</f>
        <v>No</v>
      </c>
      <c r="C15" s="28" t="str">
        <f t="shared" ref="C15:C32" si="1">SUBSTITUTE(PROPER(A15),"_"," ")</f>
        <v>No</v>
      </c>
      <c r="D15" s="28" t="str">
        <f t="shared" ref="D15:D32" si="2">LOWER(LEFT(B15,1))&amp;RIGHT(B15,LEN(B15) - 1)</f>
        <v>no</v>
      </c>
      <c r="E15" s="28" t="str">
        <f>A.Backend!H9</f>
        <v>long?</v>
      </c>
      <c r="F15" s="28" t="str">
        <f>A.Backend!G9</f>
        <v/>
      </c>
      <c r="G15" s="28" t="str">
        <f t="shared" ref="G15:G57" si="3">IF(E15="string"," : string = '' ; ",IF(OR(E15="DateTime",E15="TimeSpan")," : any ;",IF(E15="int"," : number = 0 ;","")))</f>
        <v/>
      </c>
      <c r="H15" s="35" t="str">
        <f t="shared" ref="H15:H57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this.l('No'),headerTooltip: this.l('No'),field: 'no',flex: 1},</v>
      </c>
      <c r="I15" s="35" t="str">
        <f t="shared" ref="I15:I57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28"/>
      <c r="K15" s="35" t="str">
        <f t="shared" ref="K15:K57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/>
      </c>
      <c r="L15" s="56" t="str">
        <f t="shared" ref="L15:L32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no</v>
      </c>
      <c r="T15" s="28" t="str">
        <f>REPT(CHAR(9),3)&amp;"this."&amp;D15&amp;","</f>
        <v xml:space="preserve">			this.no,</v>
      </c>
      <c r="U15" s="28" t="str">
        <f>IF(E15="int",REPT(CHAR(9),2)&amp;"this."&amp;D15&amp;" = 0,",REPT(CHAR(9),2)&amp;"this."&amp;D15&amp;" = '',")</f>
        <v xml:space="preserve">		this.no = '',</v>
      </c>
      <c r="V15" s="28" t="str">
        <f t="shared" ref="V15:V57" si="8">IF(AND(E15="string",F15="1"),D15,"")</f>
        <v/>
      </c>
    </row>
    <row r="16" spans="1:22" ht="18" customHeight="1" x14ac:dyDescent="0.3">
      <c r="A16" s="66" t="s">
        <v>359</v>
      </c>
      <c r="B16" s="28" t="str">
        <f t="shared" ref="B16" si="9">SUBSTITUTE(PROPER(A16),"_","")</f>
        <v>Prodline</v>
      </c>
      <c r="C16" s="28" t="str">
        <f t="shared" ref="C16" si="10">SUBSTITUTE(PROPER(A16),"_"," ")</f>
        <v>Prodline</v>
      </c>
      <c r="D16" s="28" t="str">
        <f t="shared" ref="D16" si="11">LOWER(LEFT(B16,1))&amp;RIGHT(B16,LEN(B16) - 1)</f>
        <v>prodline</v>
      </c>
      <c r="E16" s="28" t="str">
        <f>A.Backend!H10</f>
        <v>string</v>
      </c>
      <c r="F16" s="28" t="str">
        <f>A.Backend!G10</f>
        <v>2</v>
      </c>
      <c r="G16" s="28" t="str">
        <f t="shared" si="3"/>
        <v xml:space="preserve"> : string = '' ; </v>
      </c>
      <c r="H16" s="35" t="str">
        <f t="shared" si="4"/>
        <v xml:space="preserve">			{headerName: this.l('Prodline'),headerTooltip: this.l('Prodline'),field: 'prodline',flex: 1},</v>
      </c>
      <c r="I16" s="35" t="str">
        <f t="shared" si="5"/>
        <v xml:space="preserve">								&lt;div class='input-search'&gt;
									&lt;input [(ngModel)]='prodline' name='prodline'
									class='form-control' [placeholder]="l('Prodline')"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title'&gt;Prodline&lt;/label&gt;
						&lt;input type='text' class='col-md-10 form-control input-text' name='Prodline' [(ngModel)]='rowdata.prodline'&gt;
					&lt;/div&gt;</v>
      </c>
      <c r="L16" s="56" t="str">
        <f t="shared" ref="L16" si="12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57" si="13">REPT(CHAR(9),1)&amp;D16&amp;G16</f>
        <v xml:space="preserve">	prodline : string = '' ; </v>
      </c>
      <c r="T16" s="28" t="str">
        <f t="shared" ref="T16:T57" si="14">REPT(CHAR(9),3)&amp;"this."&amp;D16&amp;","</f>
        <v xml:space="preserve">			this.prodline,</v>
      </c>
      <c r="U16" s="28" t="str">
        <f t="shared" ref="U16:U57" si="15">IF(E16="int",REPT(CHAR(9),2)&amp;"this."&amp;D16&amp;" = 0,",REPT(CHAR(9),2)&amp;"this."&amp;D16&amp;" = '',")</f>
        <v xml:space="preserve">		this.prodline = '',</v>
      </c>
      <c r="V16" s="28" t="str">
        <f t="shared" si="8"/>
        <v/>
      </c>
    </row>
    <row r="17" spans="1:22" ht="18" customHeight="1" x14ac:dyDescent="0.3">
      <c r="A17" s="66" t="s">
        <v>361</v>
      </c>
      <c r="B17" s="28" t="str">
        <f>SUBSTITUTE(PROPER(A17),"_","")</f>
        <v>Cfc</v>
      </c>
      <c r="C17" s="28" t="str">
        <f>SUBSTITUTE(PROPER(A17),"_"," ")</f>
        <v>Cfc</v>
      </c>
      <c r="D17" s="28" t="str">
        <f>LOWER(LEFT(B17,1))&amp;RIGHT(B17,LEN(B17) - 1)</f>
        <v>cfc</v>
      </c>
      <c r="E17" s="28" t="str">
        <f>A.Backend!H11</f>
        <v>string</v>
      </c>
      <c r="F17" s="28" t="str">
        <f>A.Backend!G11</f>
        <v>4</v>
      </c>
      <c r="G17" s="28" t="str">
        <f t="shared" si="3"/>
        <v xml:space="preserve"> : string = '' ; </v>
      </c>
      <c r="H17" s="35" t="str">
        <f t="shared" si="4"/>
        <v xml:space="preserve">			{headerName: this.l('Cfc'),headerTooltip: this.l('Cfc'),field: 'cfc',flex: 1},</v>
      </c>
      <c r="I17" s="35" t="str">
        <f t="shared" si="5"/>
        <v xml:space="preserve">								&lt;div class='input-search'&gt;
									&lt;input [(ngModel)]='cfc' name='cfc'
									class='form-control' [placeholder]="l('Cfc')"
									type='text' (keyup.enter)='searchDatas()'&gt;
								&lt;/div&gt;</v>
      </c>
      <c r="J17" s="28"/>
      <c r="K17" s="35" t="str">
        <f t="shared" si="6"/>
        <v xml:space="preserve">					&lt;div class='col-md-12 form-group row'&gt;
						&lt;label class='col-md-2 form-control title'&gt;Cfc&lt;/label&gt;
						&lt;input type='text' class='col-md-10 form-control input-text' name='Cfc' [(ngModel)]='rowdata.cfc'&gt;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3"/>
        <v xml:space="preserve">	cfc : string = '' ; </v>
      </c>
      <c r="T17" s="28" t="str">
        <f t="shared" si="14"/>
        <v xml:space="preserve">			this.cfc,</v>
      </c>
      <c r="U17" s="28" t="str">
        <f t="shared" si="15"/>
        <v xml:space="preserve">		this.cfc = '',</v>
      </c>
      <c r="V17" s="28" t="str">
        <f t="shared" si="8"/>
        <v/>
      </c>
    </row>
    <row r="18" spans="1:22" ht="15" customHeight="1" x14ac:dyDescent="0.3">
      <c r="A18" s="66" t="s">
        <v>363</v>
      </c>
      <c r="B18" s="28" t="str">
        <f t="shared" ref="B18:B21" si="16">SUBSTITUTE(PROPER(A18),"_","")</f>
        <v>Model</v>
      </c>
      <c r="C18" s="28" t="str">
        <f t="shared" ref="C18:C21" si="17">SUBSTITUTE(PROPER(A18),"_"," ")</f>
        <v>Model</v>
      </c>
      <c r="D18" s="28" t="str">
        <f t="shared" ref="D18:D21" si="18">LOWER(LEFT(B18,1))&amp;RIGHT(B18,LEN(B18) - 1)</f>
        <v>model</v>
      </c>
      <c r="E18" s="28" t="str">
        <f>A.Backend!H12</f>
        <v>string</v>
      </c>
      <c r="F18" s="28" t="str">
        <f>A.Backend!G12</f>
        <v>1</v>
      </c>
      <c r="G18" s="28" t="str">
        <f t="shared" si="3"/>
        <v xml:space="preserve"> : string = '' ; </v>
      </c>
      <c r="H18" s="35" t="str">
        <f t="shared" si="4"/>
        <v xml:space="preserve">			{headerName: this.l('Model'),headerTooltip: this.l('Model'),field:  'model', cellClass: ['text-center'], width: 120, cellRenderer: 'agCellButtonComponent',
buttonDefTwo: { text: params =&gt; (params.data?.'model' == 'Y') ? 'Active' : 'Inactive',iconName: 'fa fa-circle',className: params =&gt; (params.data?.'model' == 'Y') ? 'btnActive' : 'btnInActive',},}</v>
      </c>
      <c r="I18" s="35" t="str">
        <f t="shared" si="5"/>
        <v xml:space="preserve">								&lt;div class='input-search'&gt;
									&lt;input [(ngModel)]='model' name='model'
									class='form-control' [placeholder]="l('Model')"
									type='text' (keyup.enter)='searchDatas()'&gt;
								&lt;/div&gt;</v>
      </c>
      <c r="J18" s="28"/>
      <c r="K18" s="35" t="str">
        <f t="shared" si="6"/>
        <v xml:space="preserve">					&lt;div class='col-md-12 form-group row'&gt;
						&lt;label class='col-md-2 form-control title'&gt;Model&lt;/label&gt;
						&lt;new-checkbox [(ngModel)]='_model' name='model' className='col-md-10' &gt; &lt;/new-checkbox&gt;
					&lt;/div&gt;</v>
      </c>
      <c r="L18" s="56" t="str">
        <f t="shared" ref="L18:L21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3"/>
        <v xml:space="preserve">	model : string = '' ; </v>
      </c>
      <c r="T18" s="28" t="str">
        <f t="shared" si="14"/>
        <v xml:space="preserve">			this.model,</v>
      </c>
      <c r="U18" s="28" t="str">
        <f t="shared" si="15"/>
        <v xml:space="preserve">		this.model = '',</v>
      </c>
      <c r="V18" s="28" t="str">
        <f t="shared" si="8"/>
        <v>model</v>
      </c>
    </row>
    <row r="19" spans="1:22" ht="18" customHeight="1" x14ac:dyDescent="0.3">
      <c r="A19" s="66" t="s">
        <v>365</v>
      </c>
      <c r="B19" s="28" t="str">
        <f t="shared" si="16"/>
        <v>Grade</v>
      </c>
      <c r="C19" s="28" t="str">
        <f t="shared" si="17"/>
        <v>Grade</v>
      </c>
      <c r="D19" s="28" t="str">
        <f t="shared" si="18"/>
        <v>grade</v>
      </c>
      <c r="E19" s="28" t="str">
        <f>A.Backend!H13</f>
        <v>string</v>
      </c>
      <c r="F19" s="28" t="str">
        <f>A.Backend!G13</f>
        <v>2</v>
      </c>
      <c r="G19" s="28" t="str">
        <f t="shared" si="3"/>
        <v xml:space="preserve"> : string = '' ; </v>
      </c>
      <c r="H19" s="35" t="str">
        <f t="shared" si="4"/>
        <v xml:space="preserve">			{headerName: this.l('Grade'),headerTooltip: this.l('Grade'),field: 'grade',flex: 1},</v>
      </c>
      <c r="I19" s="35" t="str">
        <f t="shared" si="5"/>
        <v xml:space="preserve">								&lt;div class='input-search'&gt;
									&lt;input [(ngModel)]='grade' name='grade'
									class='form-control' [placeholder]="l('Grade')"
									type='text' (keyup.enter)='searchDatas()'&gt;
								&lt;/div&gt;</v>
      </c>
      <c r="J19" s="28"/>
      <c r="K19" s="35" t="str">
        <f t="shared" si="6"/>
        <v xml:space="preserve">					&lt;div class='col-md-12 form-group row'&gt;
						&lt;label class='col-md-2 form-control title'&gt;Grade&lt;/label&gt;
						&lt;input type='text' class='col-md-10 form-control input-text' name='Grade' [(ngModel)]='rowdata.grade'&gt;
					&lt;/div&gt;</v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3"/>
        <v xml:space="preserve">	grade : string = '' ; </v>
      </c>
      <c r="T19" s="28" t="str">
        <f t="shared" si="14"/>
        <v xml:space="preserve">			this.grade,</v>
      </c>
      <c r="U19" s="28" t="str">
        <f t="shared" si="15"/>
        <v xml:space="preserve">		this.grade = '',</v>
      </c>
      <c r="V19" s="28" t="str">
        <f t="shared" si="8"/>
        <v/>
      </c>
    </row>
    <row r="20" spans="1:22" ht="15" customHeight="1" x14ac:dyDescent="0.3">
      <c r="A20" s="66" t="s">
        <v>366</v>
      </c>
      <c r="B20" s="28" t="str">
        <f t="shared" si="16"/>
        <v>Color</v>
      </c>
      <c r="C20" s="28" t="str">
        <f t="shared" si="17"/>
        <v>Color</v>
      </c>
      <c r="D20" s="28" t="str">
        <f t="shared" si="18"/>
        <v>color</v>
      </c>
      <c r="E20" s="28" t="str">
        <f>A.Backend!H14</f>
        <v>string</v>
      </c>
      <c r="F20" s="28" t="str">
        <f>A.Backend!G14</f>
        <v>20</v>
      </c>
      <c r="G20" s="28" t="str">
        <f t="shared" si="3"/>
        <v xml:space="preserve"> : string = '' ; </v>
      </c>
      <c r="H20" s="35" t="str">
        <f t="shared" si="4"/>
        <v xml:space="preserve">			{headerName: this.l('Color'),headerTooltip: this.l('Color'),field: 'color',flex: 1},</v>
      </c>
      <c r="I20" s="35" t="str">
        <f t="shared" si="5"/>
        <v xml:space="preserve">								&lt;div class='input-search'&gt;
									&lt;input [(ngModel)]='color' name='color'
									class='form-control' [placeholder]="l('Color')"
									type='text' (keyup.enter)='searchDatas()'&gt;
								&lt;/div&gt;</v>
      </c>
      <c r="J20" s="28"/>
      <c r="K20" s="35" t="str">
        <f t="shared" si="6"/>
        <v xml:space="preserve">					&lt;div class='col-md-12 form-group row'&gt;
						&lt;label class='col-md-2 form-control title'&gt;Color&lt;/label&gt;
						&lt;input type='text' class='col-md-10 form-control input-text' name='Color' [(ngModel)]='rowdata.color'&gt;
					&lt;/div&gt;</v>
      </c>
      <c r="L20" s="56" t="str">
        <f t="shared" si="19"/>
        <v/>
      </c>
      <c r="M20" s="28"/>
      <c r="N20" s="28"/>
      <c r="O20" s="28"/>
      <c r="P20" s="28"/>
      <c r="Q20" s="28"/>
      <c r="R20" s="28"/>
      <c r="S20" s="28" t="str">
        <f t="shared" si="13"/>
        <v xml:space="preserve">	color : string = '' ; </v>
      </c>
      <c r="T20" s="28" t="str">
        <f t="shared" si="14"/>
        <v xml:space="preserve">			this.color,</v>
      </c>
      <c r="U20" s="28" t="str">
        <f t="shared" si="15"/>
        <v xml:space="preserve">		this.color = '',</v>
      </c>
      <c r="V20" s="28" t="str">
        <f t="shared" si="8"/>
        <v/>
      </c>
    </row>
    <row r="21" spans="1:22" ht="18" customHeight="1" x14ac:dyDescent="0.3">
      <c r="A21" s="66" t="s">
        <v>368</v>
      </c>
      <c r="B21" s="28" t="str">
        <f t="shared" si="16"/>
        <v>Bodyno</v>
      </c>
      <c r="C21" s="28" t="str">
        <f t="shared" si="17"/>
        <v>Bodyno</v>
      </c>
      <c r="D21" s="28" t="str">
        <f t="shared" si="18"/>
        <v>bodyno</v>
      </c>
      <c r="E21" s="28" t="str">
        <f>A.Backend!H15</f>
        <v>string</v>
      </c>
      <c r="F21" s="28" t="str">
        <f>A.Backend!G15</f>
        <v>10</v>
      </c>
      <c r="G21" s="28" t="str">
        <f t="shared" si="3"/>
        <v xml:space="preserve"> : string = '' ; </v>
      </c>
      <c r="H21" s="35" t="str">
        <f t="shared" si="4"/>
        <v xml:space="preserve">			{headerName: this.l('Bodyno'),headerTooltip: this.l('Bodyno'),field: 'bodyno',flex: 1},</v>
      </c>
      <c r="I21" s="35" t="str">
        <f t="shared" si="5"/>
        <v xml:space="preserve">								&lt;div class='input-search'&gt;
									&lt;input [(ngModel)]='bodyno' name='bodyno'
									class='form-control' [placeholder]="l('Bodyno')"
									type='text' (keyup.enter)='searchDatas()'&gt;
								&lt;/div&gt;</v>
      </c>
      <c r="J21" s="28"/>
      <c r="K21" s="35" t="str">
        <f t="shared" si="6"/>
        <v xml:space="preserve">					&lt;div class='col-md-12 form-group row'&gt;
						&lt;label class='col-md-2 form-control title'&gt;Bodyno&lt;/label&gt;
						&lt;input type='text' class='col-md-10 form-control input-text' name='Bodyno' [(ngModel)]='rowdata.bodyno'&gt;
					&lt;/div&gt;</v>
      </c>
      <c r="L21" s="56" t="str">
        <f t="shared" si="19"/>
        <v/>
      </c>
      <c r="M21" s="28"/>
      <c r="N21" s="28"/>
      <c r="O21" s="28"/>
      <c r="P21" s="28"/>
      <c r="Q21" s="28"/>
      <c r="R21" s="28"/>
      <c r="S21" s="28" t="str">
        <f t="shared" si="13"/>
        <v xml:space="preserve">	bodyno : string = '' ; </v>
      </c>
      <c r="T21" s="28" t="str">
        <f t="shared" si="14"/>
        <v xml:space="preserve">			this.bodyno,</v>
      </c>
      <c r="U21" s="28" t="str">
        <f t="shared" si="15"/>
        <v xml:space="preserve">		this.bodyno = '',</v>
      </c>
      <c r="V21" s="28" t="str">
        <f t="shared" si="8"/>
        <v/>
      </c>
    </row>
    <row r="22" spans="1:22" ht="18" customHeight="1" x14ac:dyDescent="0.3">
      <c r="A22" s="66" t="s">
        <v>370</v>
      </c>
      <c r="B22" s="28" t="str">
        <f>SUBSTITUTE(PROPER(A22),"_","")</f>
        <v>Lotno</v>
      </c>
      <c r="C22" s="28" t="str">
        <f>SUBSTITUTE(PROPER(A22),"_"," ")</f>
        <v>Lotno</v>
      </c>
      <c r="D22" s="28" t="str">
        <f>LOWER(LEFT(B22,1))&amp;RIGHT(B22,LEN(B22) - 1)</f>
        <v>lotno</v>
      </c>
      <c r="E22" s="28" t="str">
        <f>A.Backend!H16</f>
        <v>string</v>
      </c>
      <c r="F22" s="28" t="str">
        <f>A.Backend!G16</f>
        <v>20</v>
      </c>
      <c r="G22" s="28" t="str">
        <f t="shared" si="3"/>
        <v xml:space="preserve"> : string = '' ; </v>
      </c>
      <c r="H22" s="35" t="str">
        <f t="shared" si="4"/>
        <v xml:space="preserve">			{headerName: this.l('Lotno'),headerTooltip: this.l('Lotno'),field: 'lotno',flex: 1},</v>
      </c>
      <c r="I22" s="35" t="str">
        <f t="shared" si="5"/>
        <v xml:space="preserve">								&lt;div class='input-search'&gt;
									&lt;input [(ngModel)]='lotno' name='lotno'
									class='form-control' [placeholder]="l('Lotno')"
									type='text' (keyup.enter)='searchDatas()'&gt;
								&lt;/div&gt;</v>
      </c>
      <c r="J22" s="28"/>
      <c r="K22" s="35" t="str">
        <f t="shared" si="6"/>
        <v xml:space="preserve">					&lt;div class='col-md-12 form-group row'&gt;
						&lt;label class='col-md-2 form-control title'&gt;Lotno&lt;/label&gt;
						&lt;input type='text' class='col-md-10 form-control input-text' name='Lotno' [(ngModel)]='rowdata.lotno'&gt;
					&lt;/div&gt;</v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si="13"/>
        <v xml:space="preserve">	lotno : string = '' ; </v>
      </c>
      <c r="T22" s="28" t="str">
        <f t="shared" si="14"/>
        <v xml:space="preserve">			this.lotno,</v>
      </c>
      <c r="U22" s="28" t="str">
        <f t="shared" si="15"/>
        <v xml:space="preserve">		this.lotno = '',</v>
      </c>
      <c r="V22" s="28" t="str">
        <f t="shared" si="8"/>
        <v/>
      </c>
    </row>
    <row r="23" spans="1:22" ht="15" customHeight="1" x14ac:dyDescent="0.3">
      <c r="A23" s="66" t="s">
        <v>372</v>
      </c>
      <c r="B23" s="28" t="str">
        <f t="shared" ref="B23:B26" si="20">SUBSTITUTE(PROPER(A23),"_","")</f>
        <v>Noinlot</v>
      </c>
      <c r="C23" s="28" t="str">
        <f t="shared" ref="C23:C26" si="21">SUBSTITUTE(PROPER(A23),"_"," ")</f>
        <v>Noinlot</v>
      </c>
      <c r="D23" s="28" t="str">
        <f t="shared" ref="D23:D26" si="22">LOWER(LEFT(B23,1))&amp;RIGHT(B23,LEN(B23) - 1)</f>
        <v>noinlot</v>
      </c>
      <c r="E23" s="28" t="str">
        <f>A.Backend!H17</f>
        <v>int?</v>
      </c>
      <c r="F23" s="28" t="str">
        <f>A.Backend!G17</f>
        <v/>
      </c>
      <c r="G23" s="28" t="str">
        <f t="shared" si="3"/>
        <v/>
      </c>
      <c r="H23" s="35" t="str">
        <f t="shared" si="4"/>
        <v xml:space="preserve">			{headerName: this.l('Noinlot'),headerTooltip: this.l('Noinlot'),field: 'noinlot',flex: 1},</v>
      </c>
      <c r="I23" s="35" t="str">
        <f t="shared" si="5"/>
        <v/>
      </c>
      <c r="J23" s="28"/>
      <c r="K23" s="35" t="str">
        <f t="shared" si="6"/>
        <v/>
      </c>
      <c r="L23" s="56" t="str">
        <f t="shared" ref="L23:L26" si="23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si="13"/>
        <v xml:space="preserve">	noinlot</v>
      </c>
      <c r="T23" s="28" t="str">
        <f t="shared" si="14"/>
        <v xml:space="preserve">			this.noinlot,</v>
      </c>
      <c r="U23" s="28" t="str">
        <f t="shared" si="15"/>
        <v xml:space="preserve">		this.noinlot = '',</v>
      </c>
      <c r="V23" s="28" t="str">
        <f t="shared" si="8"/>
        <v/>
      </c>
    </row>
    <row r="24" spans="1:22" ht="18" customHeight="1" x14ac:dyDescent="0.3">
      <c r="A24" s="66" t="s">
        <v>373</v>
      </c>
      <c r="B24" s="28" t="str">
        <f t="shared" si="20"/>
        <v>Vinno</v>
      </c>
      <c r="C24" s="28" t="str">
        <f t="shared" si="21"/>
        <v>Vinno</v>
      </c>
      <c r="D24" s="28" t="str">
        <f t="shared" si="22"/>
        <v>vinno</v>
      </c>
      <c r="E24" s="28" t="str">
        <f>A.Backend!H18</f>
        <v>string</v>
      </c>
      <c r="F24" s="28" t="str">
        <f>A.Backend!G18</f>
        <v>17</v>
      </c>
      <c r="G24" s="28" t="str">
        <f t="shared" si="3"/>
        <v xml:space="preserve"> : string = '' ; </v>
      </c>
      <c r="H24" s="35" t="str">
        <f t="shared" si="4"/>
        <v xml:space="preserve">			{headerName: this.l('Vinno'),headerTooltip: this.l('Vinno'),field: 'vinno',flex: 1},</v>
      </c>
      <c r="I24" s="35" t="str">
        <f t="shared" si="5"/>
        <v xml:space="preserve">								&lt;div class='input-search'&gt;
									&lt;input [(ngModel)]='vinno' name='vinno'
									class='form-control' [placeholder]="l('Vinno')"
									type='text' (keyup.enter)='searchDatas()'&gt;
								&lt;/div&gt;</v>
      </c>
      <c r="J24" s="28"/>
      <c r="K24" s="35" t="str">
        <f t="shared" si="6"/>
        <v xml:space="preserve">					&lt;div class='col-md-12 form-group row'&gt;
						&lt;label class='col-md-2 form-control title'&gt;Vinno&lt;/label&gt;
						&lt;input type='text' class='col-md-10 form-control input-text' name='Vinno' [(ngModel)]='rowdata.vinno'&gt;
					&lt;/div&gt;</v>
      </c>
      <c r="L24" s="56" t="str">
        <f t="shared" si="23"/>
        <v/>
      </c>
      <c r="M24" s="28"/>
      <c r="N24" s="28"/>
      <c r="O24" s="28"/>
      <c r="P24" s="28"/>
      <c r="Q24" s="28"/>
      <c r="R24" s="28"/>
      <c r="S24" s="28" t="str">
        <f t="shared" si="13"/>
        <v xml:space="preserve">	vinno : string = '' ; </v>
      </c>
      <c r="T24" s="28" t="str">
        <f t="shared" si="14"/>
        <v xml:space="preserve">			this.vinno,</v>
      </c>
      <c r="U24" s="28" t="str">
        <f t="shared" si="15"/>
        <v xml:space="preserve">		this.vinno = '',</v>
      </c>
      <c r="V24" s="28" t="str">
        <f t="shared" si="8"/>
        <v/>
      </c>
    </row>
    <row r="25" spans="1:22" ht="15" customHeight="1" x14ac:dyDescent="0.3">
      <c r="A25" s="66" t="s">
        <v>375</v>
      </c>
      <c r="B25" s="28" t="str">
        <f t="shared" si="20"/>
        <v>Winplandate</v>
      </c>
      <c r="C25" s="28" t="str">
        <f t="shared" si="21"/>
        <v>Winplandate</v>
      </c>
      <c r="D25" s="28" t="str">
        <f t="shared" si="22"/>
        <v>winplandate</v>
      </c>
      <c r="E25" s="28" t="str">
        <f>A.Backend!H19</f>
        <v>DateTime?</v>
      </c>
      <c r="F25" s="28" t="str">
        <f>A.Backend!G19</f>
        <v/>
      </c>
      <c r="G25" s="28" t="str">
        <f t="shared" si="3"/>
        <v/>
      </c>
      <c r="H25" s="35" t="str">
        <f t="shared" si="4"/>
        <v xml:space="preserve">			{headerName: this.l('Winplandate'),headerTooltip: this.l('Winplandate'),field: 'winplandate',flex: 1},</v>
      </c>
      <c r="I25" s="35" t="str">
        <f t="shared" si="5"/>
        <v/>
      </c>
      <c r="J25" s="28"/>
      <c r="K25" s="35" t="str">
        <f t="shared" si="6"/>
        <v/>
      </c>
      <c r="L25" s="56" t="str">
        <f t="shared" si="23"/>
        <v/>
      </c>
      <c r="M25" s="28"/>
      <c r="N25" s="28"/>
      <c r="O25" s="28"/>
      <c r="P25" s="28"/>
      <c r="Q25" s="28"/>
      <c r="R25" s="28"/>
      <c r="S25" s="28" t="str">
        <f t="shared" si="13"/>
        <v xml:space="preserve">	winplandate</v>
      </c>
      <c r="T25" s="28" t="str">
        <f t="shared" si="14"/>
        <v xml:space="preserve">			this.winplandate,</v>
      </c>
      <c r="U25" s="28" t="str">
        <f t="shared" si="15"/>
        <v xml:space="preserve">		this.winplandate = '',</v>
      </c>
      <c r="V25" s="28" t="str">
        <f t="shared" si="8"/>
        <v/>
      </c>
    </row>
    <row r="26" spans="1:22" ht="18" customHeight="1" x14ac:dyDescent="0.3">
      <c r="A26" s="66" t="s">
        <v>376</v>
      </c>
      <c r="B26" s="28" t="str">
        <f t="shared" si="20"/>
        <v>Winplantime</v>
      </c>
      <c r="C26" s="28" t="str">
        <f t="shared" si="21"/>
        <v>Winplantime</v>
      </c>
      <c r="D26" s="28" t="str">
        <f t="shared" si="22"/>
        <v>winplantime</v>
      </c>
      <c r="E26" s="28" t="str">
        <f>A.Backend!H20</f>
        <v>TimeSpan?</v>
      </c>
      <c r="F26" s="28" t="str">
        <f>A.Backend!G20</f>
        <v/>
      </c>
      <c r="G26" s="28" t="str">
        <f t="shared" si="3"/>
        <v/>
      </c>
      <c r="H26" s="35" t="str">
        <f t="shared" si="4"/>
        <v xml:space="preserve">			{headerName: this.l('Winplantime'),headerTooltip: this.l('Winplantime'),field: 'winplantime',flex: 1},</v>
      </c>
      <c r="I26" s="35" t="str">
        <f t="shared" si="5"/>
        <v/>
      </c>
      <c r="J26" s="28"/>
      <c r="K26" s="35" t="str">
        <f t="shared" si="6"/>
        <v/>
      </c>
      <c r="L26" s="56" t="str">
        <f t="shared" si="23"/>
        <v/>
      </c>
      <c r="M26" s="28"/>
      <c r="N26" s="28"/>
      <c r="O26" s="28"/>
      <c r="P26" s="28"/>
      <c r="Q26" s="28"/>
      <c r="R26" s="28"/>
      <c r="S26" s="28" t="str">
        <f t="shared" si="13"/>
        <v xml:space="preserve">	winplantime</v>
      </c>
      <c r="T26" s="28" t="str">
        <f t="shared" si="14"/>
        <v xml:space="preserve">			this.winplantime,</v>
      </c>
      <c r="U26" s="28" t="str">
        <f t="shared" si="15"/>
        <v xml:space="preserve">		this.winplantime = '',</v>
      </c>
      <c r="V26" s="28" t="str">
        <f t="shared" si="8"/>
        <v/>
      </c>
    </row>
    <row r="27" spans="1:22" ht="18" customHeight="1" x14ac:dyDescent="0.3">
      <c r="A27" s="66" t="s">
        <v>377</v>
      </c>
      <c r="B27" s="28" t="str">
        <f>SUBSTITUTE(PROPER(A27),"_","")</f>
        <v>Winplandatetime</v>
      </c>
      <c r="C27" s="28" t="str">
        <f>SUBSTITUTE(PROPER(A27),"_"," ")</f>
        <v>Winplandatetime</v>
      </c>
      <c r="D27" s="28" t="str">
        <f>LOWER(LEFT(B27,1))&amp;RIGHT(B27,LEN(B27) - 1)</f>
        <v>winplandatetime</v>
      </c>
      <c r="E27" s="28" t="str">
        <f>A.Backend!H21</f>
        <v>DateTime?</v>
      </c>
      <c r="F27" s="28" t="str">
        <f>A.Backend!G21</f>
        <v/>
      </c>
      <c r="G27" s="28" t="str">
        <f t="shared" si="3"/>
        <v/>
      </c>
      <c r="H27" s="35" t="str">
        <f t="shared" si="4"/>
        <v xml:space="preserve">			{headerName: this.l('Winplandatetime'),headerTooltip: this.l('Winplandatetime'),field: 'winplandatetime',flex: 1},</v>
      </c>
      <c r="I27" s="35" t="str">
        <f t="shared" si="5"/>
        <v/>
      </c>
      <c r="J27" s="28"/>
      <c r="K27" s="35" t="str">
        <f t="shared" si="6"/>
        <v/>
      </c>
      <c r="L27" s="56" t="str">
        <f>IF(E27="DateTime",
REPT(CHAR(9),2)&amp;"const dateValue =  this.rowdata."&amp;D27&amp;" ? new Date(this.rowdata."&amp;D27&amp;"?.toString()) : new Date();
"&amp;REPT(CHAR(9),2)&amp;"this.datepicker?.bsValueChange.emit(dateValue);","")</f>
        <v/>
      </c>
      <c r="M27" s="28"/>
      <c r="N27" s="28"/>
      <c r="O27" s="28"/>
      <c r="P27" s="28"/>
      <c r="Q27" s="28"/>
      <c r="R27" s="28"/>
      <c r="S27" s="28" t="str">
        <f t="shared" si="13"/>
        <v xml:space="preserve">	winplandatetime</v>
      </c>
      <c r="T27" s="28" t="str">
        <f t="shared" si="14"/>
        <v xml:space="preserve">			this.winplandatetime,</v>
      </c>
      <c r="U27" s="28" t="str">
        <f t="shared" si="15"/>
        <v xml:space="preserve">		this.winplandatetime = '',</v>
      </c>
      <c r="V27" s="28" t="str">
        <f t="shared" si="8"/>
        <v/>
      </c>
    </row>
    <row r="28" spans="1:22" ht="15" customHeight="1" x14ac:dyDescent="0.3">
      <c r="A28" s="66" t="s">
        <v>378</v>
      </c>
      <c r="B28" s="28" t="str">
        <f t="shared" ref="B28:B30" si="24">SUBSTITUTE(PROPER(A28),"_","")</f>
        <v>Woutplandate</v>
      </c>
      <c r="C28" s="28" t="str">
        <f t="shared" ref="C28:C30" si="25">SUBSTITUTE(PROPER(A28),"_"," ")</f>
        <v>Woutplandate</v>
      </c>
      <c r="D28" s="28" t="str">
        <f t="shared" ref="D28:D30" si="26">LOWER(LEFT(B28,1))&amp;RIGHT(B28,LEN(B28) - 1)</f>
        <v>woutplandate</v>
      </c>
      <c r="E28" s="28" t="str">
        <f>A.Backend!H22</f>
        <v>DateTime?</v>
      </c>
      <c r="F28" s="28" t="str">
        <f>A.Backend!G22</f>
        <v/>
      </c>
      <c r="G28" s="28" t="str">
        <f t="shared" si="3"/>
        <v/>
      </c>
      <c r="H28" s="35" t="str">
        <f t="shared" si="4"/>
        <v xml:space="preserve">			{headerName: this.l('Woutplandate'),headerTooltip: this.l('Woutplandate'),field: 'woutplandate',flex: 1},</v>
      </c>
      <c r="I28" s="35" t="str">
        <f t="shared" si="5"/>
        <v/>
      </c>
      <c r="J28" s="28"/>
      <c r="K28" s="35" t="str">
        <f t="shared" si="6"/>
        <v/>
      </c>
      <c r="L28" s="56" t="str">
        <f t="shared" ref="L28:L30" si="27">IF(E28="DateTime",
REPT(CHAR(9),2)&amp;"const dateValue =  this.rowdata."&amp;D28&amp;" ? new Date(this.rowdata."&amp;D28&amp;"?.toString()) : new Date();
"&amp;REPT(CHAR(9),2)&amp;"this.datepicker?.bsValueChange.emit(dateValue);","")</f>
        <v/>
      </c>
      <c r="M28" s="28"/>
      <c r="N28" s="28"/>
      <c r="O28" s="28"/>
      <c r="P28" s="28"/>
      <c r="Q28" s="28"/>
      <c r="R28" s="28"/>
      <c r="S28" s="28" t="str">
        <f t="shared" si="13"/>
        <v xml:space="preserve">	woutplandate</v>
      </c>
      <c r="T28" s="28" t="str">
        <f t="shared" si="14"/>
        <v xml:space="preserve">			this.woutplandate,</v>
      </c>
      <c r="U28" s="28" t="str">
        <f t="shared" si="15"/>
        <v xml:space="preserve">		this.woutplandate = '',</v>
      </c>
      <c r="V28" s="28" t="str">
        <f t="shared" si="8"/>
        <v/>
      </c>
    </row>
    <row r="29" spans="1:22" ht="18" customHeight="1" x14ac:dyDescent="0.3">
      <c r="A29" s="66" t="s">
        <v>379</v>
      </c>
      <c r="B29" s="28" t="str">
        <f t="shared" si="24"/>
        <v>Woutplantime</v>
      </c>
      <c r="C29" s="28" t="str">
        <f t="shared" si="25"/>
        <v>Woutplantime</v>
      </c>
      <c r="D29" s="28" t="str">
        <f t="shared" si="26"/>
        <v>woutplantime</v>
      </c>
      <c r="E29" s="28" t="str">
        <f>A.Backend!H23</f>
        <v>TimeSpan?</v>
      </c>
      <c r="F29" s="28" t="str">
        <f>A.Backend!G23</f>
        <v/>
      </c>
      <c r="G29" s="28" t="str">
        <f t="shared" si="3"/>
        <v/>
      </c>
      <c r="H29" s="35" t="str">
        <f t="shared" si="4"/>
        <v xml:space="preserve">			{headerName: this.l('Woutplantime'),headerTooltip: this.l('Woutplantime'),field: 'woutplantime',flex: 1},</v>
      </c>
      <c r="I29" s="35" t="str">
        <f t="shared" si="5"/>
        <v/>
      </c>
      <c r="J29" s="28"/>
      <c r="K29" s="35" t="str">
        <f t="shared" si="6"/>
        <v/>
      </c>
      <c r="L29" s="56" t="str">
        <f t="shared" si="27"/>
        <v/>
      </c>
      <c r="M29" s="28"/>
      <c r="N29" s="28"/>
      <c r="O29" s="28"/>
      <c r="P29" s="28"/>
      <c r="Q29" s="28"/>
      <c r="R29" s="28"/>
      <c r="S29" s="28" t="str">
        <f t="shared" si="13"/>
        <v xml:space="preserve">	woutplantime</v>
      </c>
      <c r="T29" s="28" t="str">
        <f t="shared" si="14"/>
        <v xml:space="preserve">			this.woutplantime,</v>
      </c>
      <c r="U29" s="28" t="str">
        <f t="shared" si="15"/>
        <v xml:space="preserve">		this.woutplantime = '',</v>
      </c>
      <c r="V29" s="28" t="str">
        <f t="shared" si="8"/>
        <v/>
      </c>
    </row>
    <row r="30" spans="1:22" ht="15" customHeight="1" x14ac:dyDescent="0.3">
      <c r="A30" s="66" t="s">
        <v>380</v>
      </c>
      <c r="B30" s="28" t="str">
        <f t="shared" si="24"/>
        <v>Woutplandatetime</v>
      </c>
      <c r="C30" s="28" t="str">
        <f t="shared" si="25"/>
        <v>Woutplandatetime</v>
      </c>
      <c r="D30" s="28" t="str">
        <f t="shared" si="26"/>
        <v>woutplandatetime</v>
      </c>
      <c r="E30" s="28" t="str">
        <f>A.Backend!H24</f>
        <v>DateTime?</v>
      </c>
      <c r="F30" s="28" t="str">
        <f>A.Backend!G24</f>
        <v/>
      </c>
      <c r="G30" s="28" t="str">
        <f t="shared" si="3"/>
        <v/>
      </c>
      <c r="H30" s="35" t="str">
        <f t="shared" si="4"/>
        <v xml:space="preserve">			{headerName: this.l('Woutplandatetime'),headerTooltip: this.l('Woutplandatetime'),field: 'woutplandatetime',flex: 1},</v>
      </c>
      <c r="I30" s="35" t="str">
        <f t="shared" si="5"/>
        <v/>
      </c>
      <c r="J30" s="28"/>
      <c r="K30" s="35" t="str">
        <f t="shared" si="6"/>
        <v/>
      </c>
      <c r="L30" s="56" t="str">
        <f t="shared" si="27"/>
        <v/>
      </c>
      <c r="M30" s="28"/>
      <c r="N30" s="28"/>
      <c r="O30" s="28"/>
      <c r="P30" s="28"/>
      <c r="Q30" s="28"/>
      <c r="R30" s="28"/>
      <c r="S30" s="28" t="str">
        <f t="shared" si="13"/>
        <v xml:space="preserve">	woutplandatetime</v>
      </c>
      <c r="T30" s="28" t="str">
        <f t="shared" si="14"/>
        <v xml:space="preserve">			this.woutplandatetime,</v>
      </c>
      <c r="U30" s="28" t="str">
        <f t="shared" si="15"/>
        <v xml:space="preserve">		this.woutplandatetime = '',</v>
      </c>
      <c r="V30" s="28" t="str">
        <f t="shared" si="8"/>
        <v/>
      </c>
    </row>
    <row r="31" spans="1:22" ht="15" customHeight="1" x14ac:dyDescent="0.3">
      <c r="A31" s="66" t="s">
        <v>381</v>
      </c>
      <c r="B31" s="28" t="str">
        <f t="shared" ref="B31" si="28">SUBSTITUTE(PROPER(A31),"_","")</f>
        <v>Tinplandate</v>
      </c>
      <c r="C31" s="28" t="str">
        <f t="shared" ref="C31" si="29">SUBSTITUTE(PROPER(A31),"_"," ")</f>
        <v>Tinplandate</v>
      </c>
      <c r="D31" s="28" t="str">
        <f t="shared" ref="D31" si="30">LOWER(LEFT(B31,1))&amp;RIGHT(B31,LEN(B31) - 1)</f>
        <v>tinplandate</v>
      </c>
      <c r="E31" s="28" t="str">
        <f>A.Backend!H25</f>
        <v>DateTime?</v>
      </c>
      <c r="F31" s="28" t="str">
        <f>A.Backend!G25</f>
        <v/>
      </c>
      <c r="G31" s="28" t="str">
        <f t="shared" si="3"/>
        <v/>
      </c>
      <c r="H31" s="35" t="str">
        <f t="shared" si="4"/>
        <v xml:space="preserve">			{headerName: this.l('Tinplandate'),headerTooltip: this.l('Tinplandate'),field: 'tinplandate',flex: 1},</v>
      </c>
      <c r="I31" s="35" t="str">
        <f t="shared" si="5"/>
        <v/>
      </c>
      <c r="J31" s="28"/>
      <c r="K31" s="35" t="str">
        <f t="shared" si="6"/>
        <v/>
      </c>
      <c r="L31" s="56" t="str">
        <f t="shared" ref="L31" si="31">IF(E31="DateTime",
REPT(CHAR(9),2)&amp;"const dateValue =  this.rowdata."&amp;D31&amp;" ? new Date(this.rowdata."&amp;D31&amp;"?.toString()) : new Date();
"&amp;REPT(CHAR(9),2)&amp;"this.datepicker?.bsValueChange.emit(dateValue);","")</f>
        <v/>
      </c>
      <c r="M31" s="28"/>
      <c r="N31" s="28"/>
      <c r="O31" s="28"/>
      <c r="P31" s="28"/>
      <c r="Q31" s="28"/>
      <c r="R31" s="28"/>
      <c r="S31" s="28" t="str">
        <f t="shared" si="13"/>
        <v xml:space="preserve">	tinplandate</v>
      </c>
      <c r="T31" s="28" t="str">
        <f t="shared" si="14"/>
        <v xml:space="preserve">			this.tinplandate,</v>
      </c>
      <c r="U31" s="28" t="str">
        <f t="shared" si="15"/>
        <v xml:space="preserve">		this.tinplandate = '',</v>
      </c>
      <c r="V31" s="28" t="str">
        <f t="shared" si="8"/>
        <v/>
      </c>
    </row>
    <row r="32" spans="1:22" ht="18" customHeight="1" x14ac:dyDescent="0.3">
      <c r="A32" s="66" t="s">
        <v>382</v>
      </c>
      <c r="B32" s="28" t="str">
        <f t="shared" si="0"/>
        <v>Tinplantime</v>
      </c>
      <c r="C32" s="28" t="str">
        <f t="shared" si="1"/>
        <v>Tinplantime</v>
      </c>
      <c r="D32" s="28" t="str">
        <f t="shared" si="2"/>
        <v>tinplantime</v>
      </c>
      <c r="E32" s="28" t="str">
        <f>A.Backend!H26</f>
        <v>TimeSpan?</v>
      </c>
      <c r="F32" s="28" t="str">
        <f>A.Backend!G26</f>
        <v/>
      </c>
      <c r="G32" s="28" t="str">
        <f t="shared" si="3"/>
        <v/>
      </c>
      <c r="H32" s="35" t="str">
        <f t="shared" si="4"/>
        <v xml:space="preserve">			{headerName: this.l('Tinplantime'),headerTooltip: this.l('Tinplantime'),field: 'tinplantime',flex: 1},</v>
      </c>
      <c r="I32" s="35" t="str">
        <f t="shared" si="5"/>
        <v/>
      </c>
      <c r="J32" s="28"/>
      <c r="K32" s="35" t="str">
        <f t="shared" si="6"/>
        <v/>
      </c>
      <c r="L32" s="56" t="str">
        <f t="shared" si="7"/>
        <v/>
      </c>
      <c r="M32" s="28"/>
      <c r="N32" s="28"/>
      <c r="O32" s="28"/>
      <c r="P32" s="28"/>
      <c r="Q32" s="28"/>
      <c r="R32" s="28"/>
      <c r="S32" s="28" t="str">
        <f t="shared" si="13"/>
        <v xml:space="preserve">	tinplantime</v>
      </c>
      <c r="T32" s="28" t="str">
        <f t="shared" si="14"/>
        <v xml:space="preserve">			this.tinplantime,</v>
      </c>
      <c r="U32" s="28" t="str">
        <f t="shared" si="15"/>
        <v xml:space="preserve">		this.tinplantime = '',</v>
      </c>
      <c r="V32" s="28" t="str">
        <f t="shared" si="8"/>
        <v/>
      </c>
    </row>
    <row r="33" spans="1:22" ht="15" customHeight="1" x14ac:dyDescent="0.3">
      <c r="A33" s="66" t="s">
        <v>383</v>
      </c>
      <c r="B33" s="28" t="str">
        <f t="shared" ref="B33:B34" si="32">SUBSTITUTE(PROPER(A33),"_","")</f>
        <v>Tinplandatetime</v>
      </c>
      <c r="C33" s="28" t="str">
        <f t="shared" ref="C33:C34" si="33">SUBSTITUTE(PROPER(A33),"_"," ")</f>
        <v>Tinplandatetime</v>
      </c>
      <c r="D33" s="28" t="str">
        <f t="shared" ref="D33:D34" si="34">LOWER(LEFT(B33,1))&amp;RIGHT(B33,LEN(B33) - 1)</f>
        <v>tinplandatetime</v>
      </c>
      <c r="E33" s="28" t="str">
        <f>A.Backend!H27</f>
        <v>DateTime?</v>
      </c>
      <c r="F33" s="28" t="str">
        <f>A.Backend!G27</f>
        <v/>
      </c>
      <c r="G33" s="28" t="str">
        <f t="shared" si="3"/>
        <v/>
      </c>
      <c r="H33" s="35" t="str">
        <f t="shared" si="4"/>
        <v xml:space="preserve">			{headerName: this.l('Tinplandatetime'),headerTooltip: this.l('Tinplandatetime'),field: 'tinplandatetime',flex: 1},</v>
      </c>
      <c r="I33" s="35" t="str">
        <f t="shared" si="5"/>
        <v/>
      </c>
      <c r="J33" s="28"/>
      <c r="K33" s="35" t="str">
        <f t="shared" si="6"/>
        <v/>
      </c>
      <c r="L33" s="56" t="str">
        <f t="shared" ref="L33:L34" si="35">IF(E33="DateTime",
REPT(CHAR(9),2)&amp;"const dateValue =  this.rowdata."&amp;D33&amp;" ? new Date(this.rowdata."&amp;D33&amp;"?.toString()) : new Date();
"&amp;REPT(CHAR(9),2)&amp;"this.datepicker?.bsValueChange.emit(dateValue);","")</f>
        <v/>
      </c>
      <c r="M33" s="28"/>
      <c r="N33" s="28"/>
      <c r="O33" s="28"/>
      <c r="P33" s="28"/>
      <c r="Q33" s="28"/>
      <c r="R33" s="28"/>
      <c r="S33" s="28" t="str">
        <f t="shared" si="13"/>
        <v xml:space="preserve">	tinplandatetime</v>
      </c>
      <c r="T33" s="28" t="str">
        <f t="shared" si="14"/>
        <v xml:space="preserve">			this.tinplandatetime,</v>
      </c>
      <c r="U33" s="28" t="str">
        <f t="shared" si="15"/>
        <v xml:space="preserve">		this.tinplandatetime = '',</v>
      </c>
      <c r="V33" s="28" t="str">
        <f t="shared" si="8"/>
        <v/>
      </c>
    </row>
    <row r="34" spans="1:22" ht="18" customHeight="1" x14ac:dyDescent="0.3">
      <c r="A34" s="66" t="s">
        <v>384</v>
      </c>
      <c r="B34" s="28" t="str">
        <f t="shared" si="32"/>
        <v>Toutplandate</v>
      </c>
      <c r="C34" s="28" t="str">
        <f t="shared" si="33"/>
        <v>Toutplandate</v>
      </c>
      <c r="D34" s="28" t="str">
        <f t="shared" si="34"/>
        <v>toutplandate</v>
      </c>
      <c r="E34" s="28" t="str">
        <f>A.Backend!H28</f>
        <v>DateTime?</v>
      </c>
      <c r="F34" s="28" t="str">
        <f>A.Backend!G28</f>
        <v/>
      </c>
      <c r="G34" s="28" t="str">
        <f t="shared" si="3"/>
        <v/>
      </c>
      <c r="H34" s="35" t="str">
        <f t="shared" si="4"/>
        <v xml:space="preserve">			{headerName: this.l('Toutplandate'),headerTooltip: this.l('Toutplandate'),field: 'toutplandate',flex: 1},</v>
      </c>
      <c r="I34" s="35" t="str">
        <f t="shared" si="5"/>
        <v/>
      </c>
      <c r="J34" s="28"/>
      <c r="K34" s="35" t="str">
        <f t="shared" si="6"/>
        <v/>
      </c>
      <c r="L34" s="56" t="str">
        <f t="shared" si="35"/>
        <v/>
      </c>
      <c r="M34" s="28"/>
      <c r="N34" s="28"/>
      <c r="O34" s="28"/>
      <c r="P34" s="28"/>
      <c r="Q34" s="28"/>
      <c r="R34" s="28"/>
      <c r="S34" s="28" t="str">
        <f t="shared" si="13"/>
        <v xml:space="preserve">	toutplandate</v>
      </c>
      <c r="T34" s="28" t="str">
        <f t="shared" si="14"/>
        <v xml:space="preserve">			this.toutplandate,</v>
      </c>
      <c r="U34" s="28" t="str">
        <f t="shared" si="15"/>
        <v xml:space="preserve">		this.toutplandate = '',</v>
      </c>
      <c r="V34" s="28" t="str">
        <f t="shared" si="8"/>
        <v/>
      </c>
    </row>
    <row r="35" spans="1:22" ht="18" customHeight="1" x14ac:dyDescent="0.3">
      <c r="A35" s="66" t="s">
        <v>385</v>
      </c>
      <c r="B35" s="28" t="str">
        <f>SUBSTITUTE(PROPER(A35),"_","")</f>
        <v>Toutplantime</v>
      </c>
      <c r="C35" s="28" t="str">
        <f>SUBSTITUTE(PROPER(A35),"_"," ")</f>
        <v>Toutplantime</v>
      </c>
      <c r="D35" s="28" t="str">
        <f>LOWER(LEFT(B35,1))&amp;RIGHT(B35,LEN(B35) - 1)</f>
        <v>toutplantime</v>
      </c>
      <c r="E35" s="28" t="str">
        <f>A.Backend!H29</f>
        <v>TimeSpan?</v>
      </c>
      <c r="F35" s="28" t="str">
        <f>A.Backend!G29</f>
        <v/>
      </c>
      <c r="G35" s="28" t="str">
        <f t="shared" si="3"/>
        <v/>
      </c>
      <c r="H35" s="35" t="str">
        <f t="shared" si="4"/>
        <v xml:space="preserve">			{headerName: this.l('Toutplantime'),headerTooltip: this.l('Toutplantime'),field: 'toutplantime',flex: 1},</v>
      </c>
      <c r="I35" s="35" t="str">
        <f t="shared" si="5"/>
        <v/>
      </c>
      <c r="J35" s="28"/>
      <c r="K35" s="35" t="str">
        <f t="shared" si="6"/>
        <v/>
      </c>
      <c r="L35" s="56" t="str">
        <f>IF(E35="DateTime",
REPT(CHAR(9),2)&amp;"const dateValue =  this.rowdata."&amp;D35&amp;" ? new Date(this.rowdata."&amp;D35&amp;"?.toString()) : new Date();
"&amp;REPT(CHAR(9),2)&amp;"this.datepicker?.bsValueChange.emit(dateValue);","")</f>
        <v/>
      </c>
      <c r="M35" s="28"/>
      <c r="N35" s="28"/>
      <c r="O35" s="28"/>
      <c r="P35" s="28"/>
      <c r="Q35" s="28"/>
      <c r="R35" s="28"/>
      <c r="S35" s="28" t="str">
        <f t="shared" si="13"/>
        <v xml:space="preserve">	toutplantime</v>
      </c>
      <c r="T35" s="28" t="str">
        <f t="shared" si="14"/>
        <v xml:space="preserve">			this.toutplantime,</v>
      </c>
      <c r="U35" s="28" t="str">
        <f t="shared" si="15"/>
        <v xml:space="preserve">		this.toutplantime = '',</v>
      </c>
      <c r="V35" s="28" t="str">
        <f t="shared" si="8"/>
        <v/>
      </c>
    </row>
    <row r="36" spans="1:22" ht="15" customHeight="1" x14ac:dyDescent="0.3">
      <c r="A36" s="66" t="s">
        <v>386</v>
      </c>
      <c r="B36" s="28" t="str">
        <f t="shared" ref="B36:B39" si="36">SUBSTITUTE(PROPER(A36),"_","")</f>
        <v>Toutplandatetime</v>
      </c>
      <c r="C36" s="28" t="str">
        <f t="shared" ref="C36:C39" si="37">SUBSTITUTE(PROPER(A36),"_"," ")</f>
        <v>Toutplandatetime</v>
      </c>
      <c r="D36" s="28" t="str">
        <f t="shared" ref="D36:D39" si="38">LOWER(LEFT(B36,1))&amp;RIGHT(B36,LEN(B36) - 1)</f>
        <v>toutplandatetime</v>
      </c>
      <c r="E36" s="28" t="str">
        <f>A.Backend!H30</f>
        <v>DateTime?</v>
      </c>
      <c r="F36" s="28" t="str">
        <f>A.Backend!G30</f>
        <v/>
      </c>
      <c r="G36" s="28" t="str">
        <f t="shared" si="3"/>
        <v/>
      </c>
      <c r="H36" s="35" t="str">
        <f t="shared" si="4"/>
        <v xml:space="preserve">			{headerName: this.l('Toutplandatetime'),headerTooltip: this.l('Toutplandatetime'),field: 'toutplandatetime',flex: 1},</v>
      </c>
      <c r="I36" s="35" t="str">
        <f t="shared" si="5"/>
        <v/>
      </c>
      <c r="J36" s="28"/>
      <c r="K36" s="35" t="str">
        <f t="shared" si="6"/>
        <v/>
      </c>
      <c r="L36" s="56" t="str">
        <f t="shared" ref="L36:L39" si="39">IF(E36="DateTime",
REPT(CHAR(9),2)&amp;"const dateValue =  this.rowdata."&amp;D36&amp;" ? new Date(this.rowdata."&amp;D36&amp;"?.toString()) : new Date();
"&amp;REPT(CHAR(9),2)&amp;"this.datepicker?.bsValueChange.emit(dateValue);","")</f>
        <v/>
      </c>
      <c r="M36" s="28"/>
      <c r="N36" s="28"/>
      <c r="O36" s="28"/>
      <c r="P36" s="28"/>
      <c r="Q36" s="28"/>
      <c r="R36" s="28"/>
      <c r="S36" s="28" t="str">
        <f t="shared" si="13"/>
        <v xml:space="preserve">	toutplandatetime</v>
      </c>
      <c r="T36" s="28" t="str">
        <f t="shared" si="14"/>
        <v xml:space="preserve">			this.toutplandatetime,</v>
      </c>
      <c r="U36" s="28" t="str">
        <f t="shared" si="15"/>
        <v xml:space="preserve">		this.toutplandatetime = '',</v>
      </c>
      <c r="V36" s="28" t="str">
        <f t="shared" si="8"/>
        <v/>
      </c>
    </row>
    <row r="37" spans="1:22" ht="18" customHeight="1" x14ac:dyDescent="0.3">
      <c r="A37" s="66" t="s">
        <v>387</v>
      </c>
      <c r="B37" s="28" t="str">
        <f t="shared" si="36"/>
        <v>Ainplandate</v>
      </c>
      <c r="C37" s="28" t="str">
        <f t="shared" si="37"/>
        <v>Ainplandate</v>
      </c>
      <c r="D37" s="28" t="str">
        <f t="shared" si="38"/>
        <v>ainplandate</v>
      </c>
      <c r="E37" s="28" t="str">
        <f>A.Backend!H31</f>
        <v>DateTime?</v>
      </c>
      <c r="F37" s="28" t="str">
        <f>A.Backend!G31</f>
        <v/>
      </c>
      <c r="G37" s="28" t="str">
        <f t="shared" si="3"/>
        <v/>
      </c>
      <c r="H37" s="35" t="str">
        <f t="shared" si="4"/>
        <v xml:space="preserve">			{headerName: this.l('Ainplandate'),headerTooltip: this.l('Ainplandate'),field: 'ainplandate',flex: 1},</v>
      </c>
      <c r="I37" s="35" t="str">
        <f t="shared" si="5"/>
        <v/>
      </c>
      <c r="J37" s="28"/>
      <c r="K37" s="35" t="str">
        <f t="shared" si="6"/>
        <v/>
      </c>
      <c r="L37" s="56" t="str">
        <f t="shared" si="39"/>
        <v/>
      </c>
      <c r="M37" s="28"/>
      <c r="N37" s="28"/>
      <c r="O37" s="28"/>
      <c r="P37" s="28"/>
      <c r="Q37" s="28"/>
      <c r="R37" s="28"/>
      <c r="S37" s="28" t="str">
        <f t="shared" si="13"/>
        <v xml:space="preserve">	ainplandate</v>
      </c>
      <c r="T37" s="28" t="str">
        <f t="shared" si="14"/>
        <v xml:space="preserve">			this.ainplandate,</v>
      </c>
      <c r="U37" s="28" t="str">
        <f t="shared" si="15"/>
        <v xml:space="preserve">		this.ainplandate = '',</v>
      </c>
      <c r="V37" s="28" t="str">
        <f t="shared" si="8"/>
        <v/>
      </c>
    </row>
    <row r="38" spans="1:22" ht="15" customHeight="1" x14ac:dyDescent="0.3">
      <c r="A38" s="66" t="s">
        <v>388</v>
      </c>
      <c r="B38" s="28" t="str">
        <f t="shared" si="36"/>
        <v>Ainplantime</v>
      </c>
      <c r="C38" s="28" t="str">
        <f t="shared" si="37"/>
        <v>Ainplantime</v>
      </c>
      <c r="D38" s="28" t="str">
        <f t="shared" si="38"/>
        <v>ainplantime</v>
      </c>
      <c r="E38" s="28" t="str">
        <f>A.Backend!H32</f>
        <v>TimeSpan?</v>
      </c>
      <c r="F38" s="28" t="str">
        <f>A.Backend!G32</f>
        <v/>
      </c>
      <c r="G38" s="28" t="str">
        <f t="shared" si="3"/>
        <v/>
      </c>
      <c r="H38" s="35" t="str">
        <f t="shared" si="4"/>
        <v xml:space="preserve">			{headerName: this.l('Ainplantime'),headerTooltip: this.l('Ainplantime'),field: 'ainplantime',flex: 1},</v>
      </c>
      <c r="I38" s="35" t="str">
        <f t="shared" si="5"/>
        <v/>
      </c>
      <c r="J38" s="28"/>
      <c r="K38" s="35" t="str">
        <f t="shared" si="6"/>
        <v/>
      </c>
      <c r="L38" s="56" t="str">
        <f t="shared" si="39"/>
        <v/>
      </c>
      <c r="M38" s="28"/>
      <c r="N38" s="28"/>
      <c r="O38" s="28"/>
      <c r="P38" s="28"/>
      <c r="Q38" s="28"/>
      <c r="R38" s="28"/>
      <c r="S38" s="28" t="str">
        <f t="shared" si="13"/>
        <v xml:space="preserve">	ainplantime</v>
      </c>
      <c r="T38" s="28" t="str">
        <f t="shared" si="14"/>
        <v xml:space="preserve">			this.ainplantime,</v>
      </c>
      <c r="U38" s="28" t="str">
        <f t="shared" si="15"/>
        <v xml:space="preserve">		this.ainplantime = '',</v>
      </c>
      <c r="V38" s="28" t="str">
        <f t="shared" si="8"/>
        <v/>
      </c>
    </row>
    <row r="39" spans="1:22" ht="18" customHeight="1" x14ac:dyDescent="0.3">
      <c r="A39" s="66" t="s">
        <v>389</v>
      </c>
      <c r="B39" s="28" t="str">
        <f t="shared" si="36"/>
        <v>Ainplandatetime</v>
      </c>
      <c r="C39" s="28" t="str">
        <f t="shared" si="37"/>
        <v>Ainplandatetime</v>
      </c>
      <c r="D39" s="28" t="str">
        <f t="shared" si="38"/>
        <v>ainplandatetime</v>
      </c>
      <c r="E39" s="28" t="str">
        <f>A.Backend!H33</f>
        <v>DateTime?</v>
      </c>
      <c r="F39" s="28" t="str">
        <f>A.Backend!G33</f>
        <v/>
      </c>
      <c r="G39" s="28" t="str">
        <f t="shared" si="3"/>
        <v/>
      </c>
      <c r="H39" s="35" t="str">
        <f t="shared" si="4"/>
        <v xml:space="preserve">			{headerName: this.l('Ainplandatetime'),headerTooltip: this.l('Ainplandatetime'),field: 'ainplandatetime',flex: 1},</v>
      </c>
      <c r="I39" s="35" t="str">
        <f t="shared" si="5"/>
        <v/>
      </c>
      <c r="J39" s="28"/>
      <c r="K39" s="35" t="str">
        <f t="shared" si="6"/>
        <v/>
      </c>
      <c r="L39" s="56" t="str">
        <f t="shared" si="39"/>
        <v/>
      </c>
      <c r="M39" s="28"/>
      <c r="N39" s="28"/>
      <c r="O39" s="28"/>
      <c r="P39" s="28"/>
      <c r="Q39" s="28"/>
      <c r="R39" s="28"/>
      <c r="S39" s="28" t="str">
        <f t="shared" si="13"/>
        <v xml:space="preserve">	ainplandatetime</v>
      </c>
      <c r="T39" s="28" t="str">
        <f t="shared" si="14"/>
        <v xml:space="preserve">			this.ainplandatetime,</v>
      </c>
      <c r="U39" s="28" t="str">
        <f t="shared" si="15"/>
        <v xml:space="preserve">		this.ainplandatetime = '',</v>
      </c>
      <c r="V39" s="28" t="str">
        <f t="shared" si="8"/>
        <v/>
      </c>
    </row>
    <row r="40" spans="1:22" ht="18" customHeight="1" x14ac:dyDescent="0.3">
      <c r="A40" s="66" t="s">
        <v>390</v>
      </c>
      <c r="B40" s="28" t="str">
        <f>SUBSTITUTE(PROPER(A40),"_","")</f>
        <v>Aoutplandate</v>
      </c>
      <c r="C40" s="28" t="str">
        <f>SUBSTITUTE(PROPER(A40),"_"," ")</f>
        <v>Aoutplandate</v>
      </c>
      <c r="D40" s="28" t="str">
        <f>LOWER(LEFT(B40,1))&amp;RIGHT(B40,LEN(B40) - 1)</f>
        <v>aoutplandate</v>
      </c>
      <c r="E40" s="28" t="str">
        <f>A.Backend!H34</f>
        <v>DateTime?</v>
      </c>
      <c r="F40" s="28" t="str">
        <f>A.Backend!G34</f>
        <v/>
      </c>
      <c r="G40" s="28" t="str">
        <f t="shared" si="3"/>
        <v/>
      </c>
      <c r="H40" s="35" t="str">
        <f t="shared" si="4"/>
        <v xml:space="preserve">			{headerName: this.l('Aoutplandate'),headerTooltip: this.l('Aoutplandate'),field: 'aoutplandate',flex: 1},</v>
      </c>
      <c r="I40" s="35" t="str">
        <f t="shared" si="5"/>
        <v/>
      </c>
      <c r="J40" s="28"/>
      <c r="K40" s="35" t="str">
        <f t="shared" si="6"/>
        <v/>
      </c>
      <c r="L40" s="56" t="str">
        <f>IF(E40="DateTime",
REPT(CHAR(9),2)&amp;"const dateValue =  this.rowdata."&amp;D40&amp;" ? new Date(this.rowdata."&amp;D40&amp;"?.toString()) : new Date();
"&amp;REPT(CHAR(9),2)&amp;"this.datepicker?.bsValueChange.emit(dateValue);","")</f>
        <v/>
      </c>
      <c r="M40" s="28"/>
      <c r="N40" s="28"/>
      <c r="O40" s="28"/>
      <c r="P40" s="28"/>
      <c r="Q40" s="28"/>
      <c r="R40" s="28"/>
      <c r="S40" s="28" t="str">
        <f t="shared" si="13"/>
        <v xml:space="preserve">	aoutplandate</v>
      </c>
      <c r="T40" s="28" t="str">
        <f t="shared" si="14"/>
        <v xml:space="preserve">			this.aoutplandate,</v>
      </c>
      <c r="U40" s="28" t="str">
        <f t="shared" si="15"/>
        <v xml:space="preserve">		this.aoutplandate = '',</v>
      </c>
      <c r="V40" s="28" t="str">
        <f t="shared" si="8"/>
        <v/>
      </c>
    </row>
    <row r="41" spans="1:22" ht="15" customHeight="1" x14ac:dyDescent="0.3">
      <c r="A41" s="66" t="s">
        <v>391</v>
      </c>
      <c r="B41" s="28" t="str">
        <f t="shared" ref="B41:B44" si="40">SUBSTITUTE(PROPER(A41),"_","")</f>
        <v>Aoutplantime</v>
      </c>
      <c r="C41" s="28" t="str">
        <f t="shared" ref="C41:C44" si="41">SUBSTITUTE(PROPER(A41),"_"," ")</f>
        <v>Aoutplantime</v>
      </c>
      <c r="D41" s="28" t="str">
        <f t="shared" ref="D41:D44" si="42">LOWER(LEFT(B41,1))&amp;RIGHT(B41,LEN(B41) - 1)</f>
        <v>aoutplantime</v>
      </c>
      <c r="E41" s="28" t="str">
        <f>A.Backend!H35</f>
        <v>TimeSpan?</v>
      </c>
      <c r="F41" s="28" t="str">
        <f>A.Backend!G35</f>
        <v/>
      </c>
      <c r="G41" s="28" t="str">
        <f t="shared" si="3"/>
        <v/>
      </c>
      <c r="H41" s="35" t="str">
        <f t="shared" si="4"/>
        <v xml:space="preserve">			{headerName: this.l('Aoutplantime'),headerTooltip: this.l('Aoutplantime'),field: 'aoutplantime',flex: 1},</v>
      </c>
      <c r="I41" s="35" t="str">
        <f t="shared" si="5"/>
        <v/>
      </c>
      <c r="J41" s="28"/>
      <c r="K41" s="35" t="str">
        <f t="shared" si="6"/>
        <v/>
      </c>
      <c r="L41" s="56" t="str">
        <f t="shared" ref="L41:L44" si="43">IF(E41="DateTime",
REPT(CHAR(9),2)&amp;"const dateValue =  this.rowdata."&amp;D41&amp;" ? new Date(this.rowdata."&amp;D41&amp;"?.toString()) : new Date();
"&amp;REPT(CHAR(9),2)&amp;"this.datepicker?.bsValueChange.emit(dateValue);","")</f>
        <v/>
      </c>
      <c r="M41" s="28"/>
      <c r="N41" s="28"/>
      <c r="O41" s="28"/>
      <c r="P41" s="28"/>
      <c r="Q41" s="28"/>
      <c r="R41" s="28"/>
      <c r="S41" s="28" t="str">
        <f t="shared" si="13"/>
        <v xml:space="preserve">	aoutplantime</v>
      </c>
      <c r="T41" s="28" t="str">
        <f t="shared" si="14"/>
        <v xml:space="preserve">			this.aoutplantime,</v>
      </c>
      <c r="U41" s="28" t="str">
        <f t="shared" si="15"/>
        <v xml:space="preserve">		this.aoutplantime = '',</v>
      </c>
      <c r="V41" s="28" t="str">
        <f t="shared" si="8"/>
        <v/>
      </c>
    </row>
    <row r="42" spans="1:22" ht="18" customHeight="1" x14ac:dyDescent="0.3">
      <c r="A42" s="66" t="s">
        <v>392</v>
      </c>
      <c r="B42" s="28" t="str">
        <f t="shared" si="40"/>
        <v>Aoutplandatetime</v>
      </c>
      <c r="C42" s="28" t="str">
        <f t="shared" si="41"/>
        <v>Aoutplandatetime</v>
      </c>
      <c r="D42" s="28" t="str">
        <f t="shared" si="42"/>
        <v>aoutplandatetime</v>
      </c>
      <c r="E42" s="28" t="str">
        <f>A.Backend!H36</f>
        <v>DateTime?</v>
      </c>
      <c r="F42" s="28" t="str">
        <f>A.Backend!G36</f>
        <v/>
      </c>
      <c r="G42" s="28" t="str">
        <f t="shared" si="3"/>
        <v/>
      </c>
      <c r="H42" s="35" t="str">
        <f t="shared" si="4"/>
        <v xml:space="preserve">			{headerName: this.l('Aoutplandatetime'),headerTooltip: this.l('Aoutplandatetime'),field: 'aoutplandatetime',flex: 1},</v>
      </c>
      <c r="I42" s="35" t="str">
        <f t="shared" si="5"/>
        <v/>
      </c>
      <c r="J42" s="28"/>
      <c r="K42" s="35" t="str">
        <f t="shared" si="6"/>
        <v/>
      </c>
      <c r="L42" s="56" t="str">
        <f t="shared" si="43"/>
        <v/>
      </c>
      <c r="M42" s="28"/>
      <c r="N42" s="28"/>
      <c r="O42" s="28"/>
      <c r="P42" s="28"/>
      <c r="Q42" s="28"/>
      <c r="R42" s="28"/>
      <c r="S42" s="28" t="str">
        <f t="shared" si="13"/>
        <v xml:space="preserve">	aoutplandatetime</v>
      </c>
      <c r="T42" s="28" t="str">
        <f t="shared" si="14"/>
        <v xml:space="preserve">			this.aoutplandatetime,</v>
      </c>
      <c r="U42" s="28" t="str">
        <f t="shared" si="15"/>
        <v xml:space="preserve">		this.aoutplandatetime = '',</v>
      </c>
      <c r="V42" s="28" t="str">
        <f t="shared" si="8"/>
        <v/>
      </c>
    </row>
    <row r="43" spans="1:22" ht="15" customHeight="1" x14ac:dyDescent="0.3">
      <c r="A43" s="66" t="s">
        <v>393</v>
      </c>
      <c r="B43" s="28" t="str">
        <f t="shared" si="40"/>
        <v>Lineoffdate</v>
      </c>
      <c r="C43" s="28" t="str">
        <f t="shared" si="41"/>
        <v>Lineoffdate</v>
      </c>
      <c r="D43" s="28" t="str">
        <f t="shared" si="42"/>
        <v>lineoffdate</v>
      </c>
      <c r="E43" s="28" t="str">
        <f>A.Backend!H37</f>
        <v>DateTime?</v>
      </c>
      <c r="F43" s="28" t="str">
        <f>A.Backend!G37</f>
        <v/>
      </c>
      <c r="G43" s="28" t="str">
        <f t="shared" si="3"/>
        <v/>
      </c>
      <c r="H43" s="35" t="str">
        <f t="shared" si="4"/>
        <v xml:space="preserve">			{headerName: this.l('Lineoffdate'),headerTooltip: this.l('Lineoffdate'),field: 'lineoffdate',flex: 1},</v>
      </c>
      <c r="I43" s="35" t="str">
        <f t="shared" si="5"/>
        <v/>
      </c>
      <c r="J43" s="28"/>
      <c r="K43" s="35" t="str">
        <f t="shared" si="6"/>
        <v/>
      </c>
      <c r="L43" s="56" t="str">
        <f t="shared" si="43"/>
        <v/>
      </c>
      <c r="M43" s="28"/>
      <c r="N43" s="28"/>
      <c r="O43" s="28"/>
      <c r="P43" s="28"/>
      <c r="Q43" s="28"/>
      <c r="R43" s="28"/>
      <c r="S43" s="28" t="str">
        <f t="shared" si="13"/>
        <v xml:space="preserve">	lineoffdate</v>
      </c>
      <c r="T43" s="28" t="str">
        <f t="shared" si="14"/>
        <v xml:space="preserve">			this.lineoffdate,</v>
      </c>
      <c r="U43" s="28" t="str">
        <f t="shared" si="15"/>
        <v xml:space="preserve">		this.lineoffdate = '',</v>
      </c>
      <c r="V43" s="28" t="str">
        <f t="shared" si="8"/>
        <v/>
      </c>
    </row>
    <row r="44" spans="1:22" ht="18" customHeight="1" x14ac:dyDescent="0.3">
      <c r="A44" s="66" t="s">
        <v>394</v>
      </c>
      <c r="B44" s="28" t="str">
        <f t="shared" si="40"/>
        <v>Lineofftime</v>
      </c>
      <c r="C44" s="28" t="str">
        <f t="shared" si="41"/>
        <v>Lineofftime</v>
      </c>
      <c r="D44" s="28" t="str">
        <f t="shared" si="42"/>
        <v>lineofftime</v>
      </c>
      <c r="E44" s="28" t="str">
        <f>A.Backend!H38</f>
        <v>TimeSpan?</v>
      </c>
      <c r="F44" s="28" t="str">
        <f>A.Backend!G38</f>
        <v/>
      </c>
      <c r="G44" s="28" t="str">
        <f t="shared" si="3"/>
        <v/>
      </c>
      <c r="H44" s="35" t="str">
        <f t="shared" si="4"/>
        <v xml:space="preserve">			{headerName: this.l('Lineofftime'),headerTooltip: this.l('Lineofftime'),field: 'lineofftime',flex: 1},</v>
      </c>
      <c r="I44" s="35" t="str">
        <f t="shared" si="5"/>
        <v/>
      </c>
      <c r="J44" s="28"/>
      <c r="K44" s="35" t="str">
        <f t="shared" si="6"/>
        <v/>
      </c>
      <c r="L44" s="56" t="str">
        <f t="shared" si="43"/>
        <v/>
      </c>
      <c r="M44" s="28"/>
      <c r="N44" s="28"/>
      <c r="O44" s="28"/>
      <c r="P44" s="28"/>
      <c r="Q44" s="28"/>
      <c r="R44" s="28"/>
      <c r="S44" s="28" t="str">
        <f t="shared" si="13"/>
        <v xml:space="preserve">	lineofftime</v>
      </c>
      <c r="T44" s="28" t="str">
        <f t="shared" si="14"/>
        <v xml:space="preserve">			this.lineofftime,</v>
      </c>
      <c r="U44" s="28" t="str">
        <f t="shared" si="15"/>
        <v xml:space="preserve">		this.lineofftime = '',</v>
      </c>
      <c r="V44" s="28" t="str">
        <f t="shared" si="8"/>
        <v/>
      </c>
    </row>
    <row r="45" spans="1:22" ht="18" customHeight="1" x14ac:dyDescent="0.3">
      <c r="A45" s="66" t="s">
        <v>395</v>
      </c>
      <c r="B45" s="28" t="str">
        <f>SUBSTITUTE(PROPER(A45),"_","")</f>
        <v>Lineoffdatetime</v>
      </c>
      <c r="C45" s="28" t="str">
        <f>SUBSTITUTE(PROPER(A45),"_"," ")</f>
        <v>Lineoffdatetime</v>
      </c>
      <c r="D45" s="28" t="str">
        <f>LOWER(LEFT(B45,1))&amp;RIGHT(B45,LEN(B45) - 1)</f>
        <v>lineoffdatetime</v>
      </c>
      <c r="E45" s="28" t="str">
        <f>A.Backend!H39</f>
        <v>DateTime?</v>
      </c>
      <c r="F45" s="28" t="str">
        <f>A.Backend!G39</f>
        <v/>
      </c>
      <c r="G45" s="28" t="str">
        <f t="shared" si="3"/>
        <v/>
      </c>
      <c r="H45" s="35" t="str">
        <f t="shared" si="4"/>
        <v xml:space="preserve">			{headerName: this.l('Lineoffdatetime'),headerTooltip: this.l('Lineoffdatetime'),field: 'lineoffdatetime',flex: 1},</v>
      </c>
      <c r="I45" s="35" t="str">
        <f t="shared" si="5"/>
        <v/>
      </c>
      <c r="J45" s="28"/>
      <c r="K45" s="35" t="str">
        <f t="shared" si="6"/>
        <v/>
      </c>
      <c r="L45" s="56" t="str">
        <f>IF(E45="DateTime",
REPT(CHAR(9),2)&amp;"const dateValue =  this.rowdata."&amp;D45&amp;" ? new Date(this.rowdata."&amp;D45&amp;"?.toString()) : new Date();
"&amp;REPT(CHAR(9),2)&amp;"this.datepicker?.bsValueChange.emit(dateValue);","")</f>
        <v/>
      </c>
      <c r="M45" s="28"/>
      <c r="N45" s="28"/>
      <c r="O45" s="28"/>
      <c r="P45" s="28"/>
      <c r="Q45" s="28"/>
      <c r="R45" s="28"/>
      <c r="S45" s="28" t="str">
        <f t="shared" si="13"/>
        <v xml:space="preserve">	lineoffdatetime</v>
      </c>
      <c r="T45" s="28" t="str">
        <f t="shared" si="14"/>
        <v xml:space="preserve">			this.lineoffdatetime,</v>
      </c>
      <c r="U45" s="28" t="str">
        <f t="shared" si="15"/>
        <v xml:space="preserve">		this.lineoffdatetime = '',</v>
      </c>
      <c r="V45" s="28" t="str">
        <f t="shared" si="8"/>
        <v/>
      </c>
    </row>
    <row r="46" spans="1:22" ht="15" customHeight="1" x14ac:dyDescent="0.3">
      <c r="A46" s="66" t="s">
        <v>396</v>
      </c>
      <c r="B46" s="28" t="str">
        <f t="shared" ref="B46:B49" si="44">SUBSTITUTE(PROPER(A46),"_","")</f>
        <v>Pdidate</v>
      </c>
      <c r="C46" s="28" t="str">
        <f t="shared" ref="C46:C49" si="45">SUBSTITUTE(PROPER(A46),"_"," ")</f>
        <v>Pdidate</v>
      </c>
      <c r="D46" s="28" t="str">
        <f t="shared" ref="D46:D49" si="46">LOWER(LEFT(B46,1))&amp;RIGHT(B46,LEN(B46) - 1)</f>
        <v>pdidate</v>
      </c>
      <c r="E46" s="28" t="str">
        <f>A.Backend!H40</f>
        <v>DateTime?</v>
      </c>
      <c r="F46" s="28" t="str">
        <f>A.Backend!G40</f>
        <v/>
      </c>
      <c r="G46" s="28" t="str">
        <f t="shared" si="3"/>
        <v/>
      </c>
      <c r="H46" s="35" t="str">
        <f t="shared" si="4"/>
        <v xml:space="preserve">			{headerName: this.l('Pdidate'),headerTooltip: this.l('Pdidate'),field: 'pdidate',flex: 1},</v>
      </c>
      <c r="I46" s="35" t="str">
        <f t="shared" si="5"/>
        <v/>
      </c>
      <c r="J46" s="28"/>
      <c r="K46" s="35" t="str">
        <f t="shared" si="6"/>
        <v/>
      </c>
      <c r="L46" s="56" t="str">
        <f t="shared" ref="L46:L49" si="47">IF(E46="DateTime",
REPT(CHAR(9),2)&amp;"const dateValue =  this.rowdata."&amp;D46&amp;" ? new Date(this.rowdata."&amp;D46&amp;"?.toString()) : new Date();
"&amp;REPT(CHAR(9),2)&amp;"this.datepicker?.bsValueChange.emit(dateValue);","")</f>
        <v/>
      </c>
      <c r="M46" s="28"/>
      <c r="N46" s="28"/>
      <c r="O46" s="28"/>
      <c r="P46" s="28"/>
      <c r="Q46" s="28"/>
      <c r="R46" s="28"/>
      <c r="S46" s="28" t="str">
        <f t="shared" si="13"/>
        <v xml:space="preserve">	pdidate</v>
      </c>
      <c r="T46" s="28" t="str">
        <f t="shared" si="14"/>
        <v xml:space="preserve">			this.pdidate,</v>
      </c>
      <c r="U46" s="28" t="str">
        <f t="shared" si="15"/>
        <v xml:space="preserve">		this.pdidate = '',</v>
      </c>
      <c r="V46" s="28" t="str">
        <f t="shared" si="8"/>
        <v/>
      </c>
    </row>
    <row r="47" spans="1:22" ht="18" customHeight="1" x14ac:dyDescent="0.3">
      <c r="A47" s="66" t="s">
        <v>397</v>
      </c>
      <c r="B47" s="28" t="str">
        <f t="shared" si="44"/>
        <v>Pditime</v>
      </c>
      <c r="C47" s="28" t="str">
        <f t="shared" si="45"/>
        <v>Pditime</v>
      </c>
      <c r="D47" s="28" t="str">
        <f t="shared" si="46"/>
        <v>pditime</v>
      </c>
      <c r="E47" s="28" t="str">
        <f>A.Backend!H41</f>
        <v>TimeSpan?</v>
      </c>
      <c r="F47" s="28" t="str">
        <f>A.Backend!G41</f>
        <v/>
      </c>
      <c r="G47" s="28" t="str">
        <f t="shared" si="3"/>
        <v/>
      </c>
      <c r="H47" s="35" t="str">
        <f t="shared" si="4"/>
        <v xml:space="preserve">			{headerName: this.l('Pditime'),headerTooltip: this.l('Pditime'),field: 'pditime',flex: 1},</v>
      </c>
      <c r="I47" s="35" t="str">
        <f t="shared" si="5"/>
        <v/>
      </c>
      <c r="J47" s="28"/>
      <c r="K47" s="35" t="str">
        <f t="shared" si="6"/>
        <v/>
      </c>
      <c r="L47" s="56" t="str">
        <f t="shared" si="47"/>
        <v/>
      </c>
      <c r="M47" s="28"/>
      <c r="N47" s="28"/>
      <c r="O47" s="28"/>
      <c r="P47" s="28"/>
      <c r="Q47" s="28"/>
      <c r="R47" s="28"/>
      <c r="S47" s="28" t="str">
        <f t="shared" si="13"/>
        <v xml:space="preserve">	pditime</v>
      </c>
      <c r="T47" s="28" t="str">
        <f t="shared" si="14"/>
        <v xml:space="preserve">			this.pditime,</v>
      </c>
      <c r="U47" s="28" t="str">
        <f t="shared" si="15"/>
        <v xml:space="preserve">		this.pditime = '',</v>
      </c>
      <c r="V47" s="28" t="str">
        <f t="shared" si="8"/>
        <v/>
      </c>
    </row>
    <row r="48" spans="1:22" ht="15" customHeight="1" x14ac:dyDescent="0.3">
      <c r="A48" s="66" t="s">
        <v>398</v>
      </c>
      <c r="B48" s="28" t="str">
        <f t="shared" si="44"/>
        <v>Pdidatetime</v>
      </c>
      <c r="C48" s="28" t="str">
        <f t="shared" si="45"/>
        <v>Pdidatetime</v>
      </c>
      <c r="D48" s="28" t="str">
        <f t="shared" si="46"/>
        <v>pdidatetime</v>
      </c>
      <c r="E48" s="28" t="str">
        <f>A.Backend!H42</f>
        <v>DateTime?</v>
      </c>
      <c r="F48" s="28" t="str">
        <f>A.Backend!G42</f>
        <v/>
      </c>
      <c r="G48" s="28" t="str">
        <f t="shared" si="3"/>
        <v/>
      </c>
      <c r="H48" s="35" t="str">
        <f t="shared" si="4"/>
        <v xml:space="preserve">			{headerName: this.l('Pdidatetime'),headerTooltip: this.l('Pdidatetime'),field: 'pdidatetime',flex: 1},</v>
      </c>
      <c r="I48" s="35" t="str">
        <f t="shared" si="5"/>
        <v/>
      </c>
      <c r="J48" s="28"/>
      <c r="K48" s="35" t="str">
        <f t="shared" si="6"/>
        <v/>
      </c>
      <c r="L48" s="56" t="str">
        <f t="shared" si="47"/>
        <v/>
      </c>
      <c r="M48" s="28"/>
      <c r="N48" s="28"/>
      <c r="O48" s="28"/>
      <c r="P48" s="28"/>
      <c r="Q48" s="28"/>
      <c r="R48" s="28"/>
      <c r="S48" s="28" t="str">
        <f t="shared" si="13"/>
        <v xml:space="preserve">	pdidatetime</v>
      </c>
      <c r="T48" s="28" t="str">
        <f t="shared" si="14"/>
        <v xml:space="preserve">			this.pdidatetime,</v>
      </c>
      <c r="U48" s="28" t="str">
        <f t="shared" si="15"/>
        <v xml:space="preserve">		this.pdidatetime = '',</v>
      </c>
      <c r="V48" s="28" t="str">
        <f t="shared" si="8"/>
        <v/>
      </c>
    </row>
    <row r="49" spans="1:22" ht="18" customHeight="1" x14ac:dyDescent="0.3">
      <c r="A49" s="66" t="s">
        <v>399</v>
      </c>
      <c r="B49" s="28" t="str">
        <f t="shared" si="44"/>
        <v>Isproject</v>
      </c>
      <c r="C49" s="28" t="str">
        <f t="shared" si="45"/>
        <v>Isproject</v>
      </c>
      <c r="D49" s="28" t="str">
        <f t="shared" si="46"/>
        <v>isproject</v>
      </c>
      <c r="E49" s="28" t="str">
        <f>A.Backend!H43</f>
        <v>string</v>
      </c>
      <c r="F49" s="28" t="str">
        <f>A.Backend!G43</f>
        <v>1</v>
      </c>
      <c r="G49" s="28" t="str">
        <f t="shared" si="3"/>
        <v xml:space="preserve"> : string = '' ; </v>
      </c>
      <c r="H49" s="35" t="str">
        <f t="shared" si="4"/>
        <v xml:space="preserve">			{headerName: this.l('Isproject'),headerTooltip: this.l('Isproject'),field:  'isproject', cellClass: ['text-center'], width: 120, cellRenderer: 'agCellButtonComponent',
buttonDefTwo: { text: params =&gt; (params.data?.'isproject' == 'Y') ? 'Active' : 'Inactive',iconName: 'fa fa-circle',className: params =&gt; (params.data?.'isproject' == 'Y') ? 'btnActive' : 'btnInActive',},}</v>
      </c>
      <c r="I49" s="35" t="str">
        <f t="shared" si="5"/>
        <v xml:space="preserve">								&lt;div class='input-search'&gt;
									&lt;input [(ngModel)]='isproject' name='isproject'
									class='form-control' [placeholder]="l('Isproject')"
									type='text' (keyup.enter)='searchDatas()'&gt;
								&lt;/div&gt;</v>
      </c>
      <c r="J49" s="28"/>
      <c r="K49" s="35" t="str">
        <f t="shared" si="6"/>
        <v xml:space="preserve">					&lt;div class='col-md-12 form-group row'&gt;
						&lt;label class='col-md-2 form-control title'&gt;Isproject&lt;/label&gt;
						&lt;new-checkbox [(ngModel)]='_isproject' name='isproject' className='col-md-10' &gt; &lt;/new-checkbox&gt;
					&lt;/div&gt;</v>
      </c>
      <c r="L49" s="56" t="str">
        <f t="shared" si="47"/>
        <v/>
      </c>
      <c r="M49" s="28"/>
      <c r="N49" s="28"/>
      <c r="O49" s="28"/>
      <c r="P49" s="28"/>
      <c r="Q49" s="28"/>
      <c r="R49" s="28"/>
      <c r="S49" s="28" t="str">
        <f t="shared" si="13"/>
        <v xml:space="preserve">	isproject : string = '' ; </v>
      </c>
      <c r="T49" s="28" t="str">
        <f t="shared" si="14"/>
        <v xml:space="preserve">			this.isproject,</v>
      </c>
      <c r="U49" s="28" t="str">
        <f t="shared" si="15"/>
        <v xml:space="preserve">		this.isproject = '',</v>
      </c>
      <c r="V49" s="28" t="str">
        <f t="shared" si="8"/>
        <v>isproject</v>
      </c>
    </row>
    <row r="50" spans="1:22" ht="18" customHeight="1" x14ac:dyDescent="0.3">
      <c r="A50" s="66" t="s">
        <v>400</v>
      </c>
      <c r="B50" s="28" t="str">
        <f>SUBSTITUTE(PROPER(A50),"_","")</f>
        <v>Vehicleid</v>
      </c>
      <c r="C50" s="28" t="str">
        <f>SUBSTITUTE(PROPER(A50),"_"," ")</f>
        <v>Vehicleid</v>
      </c>
      <c r="D50" s="28" t="str">
        <f>LOWER(LEFT(B50,1))&amp;RIGHT(B50,LEN(B50) - 1)</f>
        <v>vehicleid</v>
      </c>
      <c r="E50" s="28" t="str">
        <f>A.Backend!H44</f>
        <v>string</v>
      </c>
      <c r="F50" s="28" t="str">
        <f>A.Backend!G44</f>
        <v>10</v>
      </c>
      <c r="G50" s="28" t="str">
        <f t="shared" si="3"/>
        <v xml:space="preserve"> : string = '' ; </v>
      </c>
      <c r="H50" s="35" t="str">
        <f t="shared" si="4"/>
        <v xml:space="preserve">			{headerName: this.l('Vehicleid'),headerTooltip: this.l('Vehicleid'),field: 'vehicleid',flex: 1},</v>
      </c>
      <c r="I50" s="35" t="str">
        <f t="shared" si="5"/>
        <v xml:space="preserve">								&lt;div class='input-search'&gt;
									&lt;input [(ngModel)]='vehicleid' name='vehicleid'
									class='form-control' [placeholder]="l('Vehicleid')"
									type='text' (keyup.enter)='searchDatas()'&gt;
								&lt;/div&gt;</v>
      </c>
      <c r="J50" s="28"/>
      <c r="K50" s="35" t="str">
        <f t="shared" si="6"/>
        <v xml:space="preserve">					&lt;div class='col-md-12 form-group row'&gt;
						&lt;label class='col-md-2 form-control title'&gt;Vehicleid&lt;/label&gt;
						&lt;input type='text' class='col-md-10 form-control input-text' name='Vehicleid' [(ngModel)]='rowdata.vehicleid'&gt;
					&lt;/div&gt;</v>
      </c>
      <c r="L50" s="56" t="str">
        <f>IF(E50="DateTime",
REPT(CHAR(9),2)&amp;"const dateValue =  this.rowdata."&amp;D50&amp;" ? new Date(this.rowdata."&amp;D50&amp;"?.toString()) : new Date();
"&amp;REPT(CHAR(9),2)&amp;"this.datepicker?.bsValueChange.emit(dateValue);","")</f>
        <v/>
      </c>
      <c r="M50" s="28"/>
      <c r="N50" s="28"/>
      <c r="O50" s="28"/>
      <c r="P50" s="28"/>
      <c r="Q50" s="28"/>
      <c r="R50" s="28"/>
      <c r="S50" s="28" t="str">
        <f t="shared" si="13"/>
        <v xml:space="preserve">	vehicleid : string = '' ; </v>
      </c>
      <c r="T50" s="28" t="str">
        <f t="shared" si="14"/>
        <v xml:space="preserve">			this.vehicleid,</v>
      </c>
      <c r="U50" s="28" t="str">
        <f t="shared" si="15"/>
        <v xml:space="preserve">		this.vehicleid = '',</v>
      </c>
      <c r="V50" s="28" t="str">
        <f t="shared" si="8"/>
        <v/>
      </c>
    </row>
    <row r="51" spans="1:22" ht="15" customHeight="1" x14ac:dyDescent="0.3">
      <c r="A51" s="66" t="s">
        <v>401</v>
      </c>
      <c r="B51" s="28" t="str">
        <f t="shared" ref="B51:B54" si="48">SUBSTITUTE(PROPER(A51),"_","")</f>
        <v>Indentline</v>
      </c>
      <c r="C51" s="28" t="str">
        <f t="shared" ref="C51:C54" si="49">SUBSTITUTE(PROPER(A51),"_"," ")</f>
        <v>Indentline</v>
      </c>
      <c r="D51" s="28" t="str">
        <f t="shared" ref="D51:D54" si="50">LOWER(LEFT(B51,1))&amp;RIGHT(B51,LEN(B51) - 1)</f>
        <v>indentline</v>
      </c>
      <c r="E51" s="28" t="str">
        <f>A.Backend!H45</f>
        <v>string</v>
      </c>
      <c r="F51" s="28" t="str">
        <f>A.Backend!G45</f>
        <v>3</v>
      </c>
      <c r="G51" s="28" t="str">
        <f t="shared" si="3"/>
        <v xml:space="preserve"> : string = '' ; </v>
      </c>
      <c r="H51" s="35" t="str">
        <f t="shared" si="4"/>
        <v xml:space="preserve">			{headerName: this.l('Indentline'),headerTooltip: this.l('Indentline'),field: 'indentline',flex: 1},</v>
      </c>
      <c r="I51" s="35" t="str">
        <f t="shared" si="5"/>
        <v xml:space="preserve">								&lt;div class='input-search'&gt;
									&lt;input [(ngModel)]='indentline' name='indentline'
									class='form-control' [placeholder]="l('Indentline')"
									type='text' (keyup.enter)='searchDatas()'&gt;
								&lt;/div&gt;</v>
      </c>
      <c r="J51" s="28"/>
      <c r="K51" s="35" t="str">
        <f t="shared" si="6"/>
        <v xml:space="preserve">					&lt;div class='col-md-12 form-group row'&gt;
						&lt;label class='col-md-2 form-control title'&gt;Indentline&lt;/label&gt;
						&lt;input type='text' class='col-md-10 form-control input-text' name='Indentline' [(ngModel)]='rowdata.indentline'&gt;
					&lt;/div&gt;</v>
      </c>
      <c r="L51" s="56" t="str">
        <f t="shared" ref="L51:L54" si="51">IF(E51="DateTime",
REPT(CHAR(9),2)&amp;"const dateValue =  this.rowdata."&amp;D51&amp;" ? new Date(this.rowdata."&amp;D51&amp;"?.toString()) : new Date();
"&amp;REPT(CHAR(9),2)&amp;"this.datepicker?.bsValueChange.emit(dateValue);","")</f>
        <v/>
      </c>
      <c r="M51" s="28"/>
      <c r="N51" s="28"/>
      <c r="O51" s="28"/>
      <c r="P51" s="28"/>
      <c r="Q51" s="28"/>
      <c r="R51" s="28"/>
      <c r="S51" s="28" t="str">
        <f t="shared" si="13"/>
        <v xml:space="preserve">	indentline : string = '' ; </v>
      </c>
      <c r="T51" s="28" t="str">
        <f t="shared" si="14"/>
        <v xml:space="preserve">			this.indentline,</v>
      </c>
      <c r="U51" s="28" t="str">
        <f t="shared" si="15"/>
        <v xml:space="preserve">		this.indentline = '',</v>
      </c>
      <c r="V51" s="28" t="str">
        <f t="shared" si="8"/>
        <v/>
      </c>
    </row>
    <row r="52" spans="1:22" ht="18" customHeight="1" x14ac:dyDescent="0.3">
      <c r="A52" s="66" t="s">
        <v>403</v>
      </c>
      <c r="B52" s="28" t="str">
        <f t="shared" si="48"/>
        <v>Colortype</v>
      </c>
      <c r="C52" s="28" t="str">
        <f t="shared" si="49"/>
        <v>Colortype</v>
      </c>
      <c r="D52" s="28" t="str">
        <f t="shared" si="50"/>
        <v>colortype</v>
      </c>
      <c r="E52" s="28" t="str">
        <f>A.Backend!H46</f>
        <v>string</v>
      </c>
      <c r="F52" s="28" t="str">
        <f>A.Backend!G46</f>
        <v>4</v>
      </c>
      <c r="G52" s="28" t="str">
        <f t="shared" si="3"/>
        <v xml:space="preserve"> : string = '' ; </v>
      </c>
      <c r="H52" s="35" t="str">
        <f t="shared" si="4"/>
        <v xml:space="preserve">			{headerName: this.l('Colortype'),headerTooltip: this.l('Colortype'),field: 'colortype',flex: 1},</v>
      </c>
      <c r="I52" s="35" t="str">
        <f t="shared" si="5"/>
        <v xml:space="preserve">								&lt;div class='input-search'&gt;
									&lt;input [(ngModel)]='colortype' name='colortype'
									class='form-control' [placeholder]="l('Colortype')"
									type='text' (keyup.enter)='searchDatas()'&gt;
								&lt;/div&gt;</v>
      </c>
      <c r="J52" s="28"/>
      <c r="K52" s="35" t="str">
        <f t="shared" si="6"/>
        <v xml:space="preserve">					&lt;div class='col-md-12 form-group row'&gt;
						&lt;label class='col-md-2 form-control title'&gt;Colortype&lt;/label&gt;
						&lt;input type='text' class='col-md-10 form-control input-text' name='Colortype' [(ngModel)]='rowdata.colortype'&gt;
					&lt;/div&gt;</v>
      </c>
      <c r="L52" s="56" t="str">
        <f t="shared" si="51"/>
        <v/>
      </c>
      <c r="M52" s="28"/>
      <c r="N52" s="28"/>
      <c r="O52" s="28"/>
      <c r="P52" s="28"/>
      <c r="Q52" s="28"/>
      <c r="R52" s="28"/>
      <c r="S52" s="28" t="str">
        <f t="shared" si="13"/>
        <v xml:space="preserve">	colortype : string = '' ; </v>
      </c>
      <c r="T52" s="28" t="str">
        <f t="shared" si="14"/>
        <v xml:space="preserve">			this.colortype,</v>
      </c>
      <c r="U52" s="28" t="str">
        <f t="shared" si="15"/>
        <v xml:space="preserve">		this.colortype = '',</v>
      </c>
      <c r="V52" s="28" t="str">
        <f t="shared" si="8"/>
        <v/>
      </c>
    </row>
    <row r="53" spans="1:22" ht="15" customHeight="1" x14ac:dyDescent="0.3">
      <c r="A53" s="66" t="s">
        <v>404</v>
      </c>
      <c r="B53" s="28" t="str">
        <f t="shared" si="48"/>
        <v>Engineid</v>
      </c>
      <c r="C53" s="28" t="str">
        <f t="shared" si="49"/>
        <v>Engineid</v>
      </c>
      <c r="D53" s="28" t="str">
        <f t="shared" si="50"/>
        <v>engineid</v>
      </c>
      <c r="E53" s="28" t="str">
        <f>A.Backend!H47</f>
        <v>string</v>
      </c>
      <c r="F53" s="28" t="str">
        <f>A.Backend!G47</f>
        <v>12</v>
      </c>
      <c r="G53" s="28" t="str">
        <f t="shared" si="3"/>
        <v xml:space="preserve"> : string = '' ; </v>
      </c>
      <c r="H53" s="35" t="str">
        <f t="shared" si="4"/>
        <v xml:space="preserve">			{headerName: this.l('Engineid'),headerTooltip: this.l('Engineid'),field: 'engineid',flex: 1},</v>
      </c>
      <c r="I53" s="35" t="str">
        <f t="shared" si="5"/>
        <v xml:space="preserve">								&lt;div class='input-search'&gt;
									&lt;input [(ngModel)]='engineid' name='engineid'
									class='form-control' [placeholder]="l('Engineid')"
									type='text' (keyup.enter)='searchDatas()'&gt;
								&lt;/div&gt;</v>
      </c>
      <c r="J53" s="28"/>
      <c r="K53" s="35" t="str">
        <f t="shared" si="6"/>
        <v xml:space="preserve">					&lt;div class='col-md-12 form-group row'&gt;
						&lt;label class='col-md-2 form-control title'&gt;Engineid&lt;/label&gt;
						&lt;input type='text' class='col-md-10 form-control input-text' name='Engineid' [(ngModel)]='rowdata.engineid'&gt;
					&lt;/div&gt;</v>
      </c>
      <c r="L53" s="56" t="str">
        <f t="shared" si="51"/>
        <v/>
      </c>
      <c r="M53" s="28"/>
      <c r="N53" s="28"/>
      <c r="O53" s="28"/>
      <c r="P53" s="28"/>
      <c r="Q53" s="28"/>
      <c r="R53" s="28"/>
      <c r="S53" s="28" t="str">
        <f t="shared" si="13"/>
        <v xml:space="preserve">	engineid : string = '' ; </v>
      </c>
      <c r="T53" s="28" t="str">
        <f t="shared" si="14"/>
        <v xml:space="preserve">			this.engineid,</v>
      </c>
      <c r="U53" s="28" t="str">
        <f t="shared" si="15"/>
        <v xml:space="preserve">		this.engineid = '',</v>
      </c>
      <c r="V53" s="28" t="str">
        <f t="shared" si="8"/>
        <v/>
      </c>
    </row>
    <row r="54" spans="1:22" ht="18" customHeight="1" x14ac:dyDescent="0.3">
      <c r="A54" s="66" t="s">
        <v>406</v>
      </c>
      <c r="B54" s="28" t="str">
        <f t="shared" si="48"/>
        <v>Goshicar</v>
      </c>
      <c r="C54" s="28" t="str">
        <f t="shared" si="49"/>
        <v>Goshicar</v>
      </c>
      <c r="D54" s="28" t="str">
        <f t="shared" si="50"/>
        <v>goshicar</v>
      </c>
      <c r="E54" s="28" t="str">
        <f>A.Backend!H48</f>
        <v>string</v>
      </c>
      <c r="F54" s="28" t="str">
        <f>A.Backend!G48</f>
        <v>1</v>
      </c>
      <c r="G54" s="28" t="str">
        <f t="shared" si="3"/>
        <v xml:space="preserve"> : string = '' ; </v>
      </c>
      <c r="H54" s="35" t="str">
        <f t="shared" si="4"/>
        <v xml:space="preserve">			{headerName: this.l('Goshicar'),headerTooltip: this.l('Goshicar'),field:  'goshicar', cellClass: ['text-center'], width: 120, cellRenderer: 'agCellButtonComponent',
buttonDefTwo: { text: params =&gt; (params.data?.'goshicar' == 'Y') ? 'Active' : 'Inactive',iconName: 'fa fa-circle',className: params =&gt; (params.data?.'goshicar' == 'Y') ? 'btnActive' : 'btnInActive',},}</v>
      </c>
      <c r="I54" s="35" t="str">
        <f t="shared" si="5"/>
        <v xml:space="preserve">								&lt;div class='input-search'&gt;
									&lt;input [(ngModel)]='goshicar' name='goshicar'
									class='form-control' [placeholder]="l('Goshicar')"
									type='text' (keyup.enter)='searchDatas()'&gt;
								&lt;/div&gt;</v>
      </c>
      <c r="J54" s="28"/>
      <c r="K54" s="35" t="str">
        <f t="shared" si="6"/>
        <v xml:space="preserve">					&lt;div class='col-md-12 form-group row'&gt;
						&lt;label class='col-md-2 form-control title'&gt;Goshicar&lt;/label&gt;
						&lt;new-checkbox [(ngModel)]='_goshicar' name='goshicar' className='col-md-10' &gt; &lt;/new-checkbox&gt;
					&lt;/div&gt;</v>
      </c>
      <c r="L54" s="56" t="str">
        <f t="shared" si="51"/>
        <v/>
      </c>
      <c r="M54" s="28"/>
      <c r="N54" s="28"/>
      <c r="O54" s="28"/>
      <c r="P54" s="28"/>
      <c r="Q54" s="28"/>
      <c r="R54" s="28"/>
      <c r="S54" s="28" t="str">
        <f t="shared" si="13"/>
        <v xml:space="preserve">	goshicar : string = '' ; </v>
      </c>
      <c r="T54" s="28" t="str">
        <f t="shared" si="14"/>
        <v xml:space="preserve">			this.goshicar,</v>
      </c>
      <c r="U54" s="28" t="str">
        <f t="shared" si="15"/>
        <v xml:space="preserve">		this.goshicar = '',</v>
      </c>
      <c r="V54" s="28" t="str">
        <f t="shared" si="8"/>
        <v>goshicar</v>
      </c>
    </row>
    <row r="55" spans="1:22" ht="18" customHeight="1" x14ac:dyDescent="0.3">
      <c r="A55" s="66" t="s">
        <v>407</v>
      </c>
      <c r="B55" s="28" t="str">
        <f>SUBSTITUTE(PROPER(A55),"_","")</f>
        <v>Salessfx</v>
      </c>
      <c r="C55" s="28" t="str">
        <f>SUBSTITUTE(PROPER(A55),"_"," ")</f>
        <v>Salessfx</v>
      </c>
      <c r="D55" s="28" t="str">
        <f>LOWER(LEFT(B55,1))&amp;RIGHT(B55,LEN(B55) - 1)</f>
        <v>salessfx</v>
      </c>
      <c r="E55" s="28" t="str">
        <f>A.Backend!H49</f>
        <v>string</v>
      </c>
      <c r="F55" s="28" t="str">
        <f>A.Backend!G49</f>
        <v>2</v>
      </c>
      <c r="G55" s="28" t="str">
        <f t="shared" si="3"/>
        <v xml:space="preserve"> : string = '' ; </v>
      </c>
      <c r="H55" s="35" t="str">
        <f t="shared" si="4"/>
        <v xml:space="preserve">			{headerName: this.l('Salessfx'),headerTooltip: this.l('Salessfx'),field: 'salessfx',flex: 1},</v>
      </c>
      <c r="I55" s="35" t="str">
        <f t="shared" si="5"/>
        <v xml:space="preserve">								&lt;div class='input-search'&gt;
									&lt;input [(ngModel)]='salessfx' name='salessfx'
									class='form-control' [placeholder]="l('Salessfx')"
									type='text' (keyup.enter)='searchDatas()'&gt;
								&lt;/div&gt;</v>
      </c>
      <c r="J55" s="28"/>
      <c r="K55" s="35" t="str">
        <f t="shared" si="6"/>
        <v xml:space="preserve">					&lt;div class='col-md-12 form-group row'&gt;
						&lt;label class='col-md-2 form-control title'&gt;Salessfx&lt;/label&gt;
						&lt;input type='text' class='col-md-10 form-control input-text' name='Salessfx' [(ngModel)]='rowdata.salessfx'&gt;
					&lt;/div&gt;</v>
      </c>
      <c r="L55" s="56" t="str">
        <f>IF(E55="DateTime",
REPT(CHAR(9),2)&amp;"const dateValue =  this.rowdata."&amp;D55&amp;" ? new Date(this.rowdata."&amp;D55&amp;"?.toString()) : new Date();
"&amp;REPT(CHAR(9),2)&amp;"this.datepicker?.bsValueChange.emit(dateValue);","")</f>
        <v/>
      </c>
      <c r="M55" s="28"/>
      <c r="N55" s="28"/>
      <c r="O55" s="28"/>
      <c r="P55" s="28"/>
      <c r="Q55" s="28"/>
      <c r="R55" s="28"/>
      <c r="S55" s="28" t="str">
        <f t="shared" si="13"/>
        <v xml:space="preserve">	salessfx : string = '' ; </v>
      </c>
      <c r="T55" s="28" t="str">
        <f t="shared" si="14"/>
        <v xml:space="preserve">			this.salessfx,</v>
      </c>
      <c r="U55" s="28" t="str">
        <f t="shared" si="15"/>
        <v xml:space="preserve">		this.salessfx = '',</v>
      </c>
      <c r="V55" s="28" t="str">
        <f t="shared" si="8"/>
        <v/>
      </c>
    </row>
    <row r="56" spans="1:22" ht="15" customHeight="1" x14ac:dyDescent="0.3">
      <c r="A56" s="66" t="s">
        <v>408</v>
      </c>
      <c r="B56" s="28" t="str">
        <f t="shared" ref="B56:B57" si="52">SUBSTITUTE(PROPER(A56),"_","")</f>
        <v>Ssno</v>
      </c>
      <c r="C56" s="28" t="str">
        <f t="shared" ref="C56:C57" si="53">SUBSTITUTE(PROPER(A56),"_"," ")</f>
        <v>Ssno</v>
      </c>
      <c r="D56" s="28" t="str">
        <f t="shared" ref="D56:D57" si="54">LOWER(LEFT(B56,1))&amp;RIGHT(B56,LEN(B56) - 1)</f>
        <v>ssno</v>
      </c>
      <c r="E56" s="28" t="str">
        <f>A.Backend!H50</f>
        <v>string</v>
      </c>
      <c r="F56" s="28" t="str">
        <f>A.Backend!G50</f>
        <v>2</v>
      </c>
      <c r="G56" s="28" t="str">
        <f t="shared" si="3"/>
        <v xml:space="preserve"> : string = '' ; </v>
      </c>
      <c r="H56" s="35" t="str">
        <f t="shared" si="4"/>
        <v xml:space="preserve">			{headerName: this.l('Ssno'),headerTooltip: this.l('Ssno'),field: 'ssno',flex: 1},</v>
      </c>
      <c r="I56" s="35" t="str">
        <f t="shared" si="5"/>
        <v xml:space="preserve">								&lt;div class='input-search'&gt;
									&lt;input [(ngModel)]='ssno' name='ssno'
									class='form-control' [placeholder]="l('Ssno')"
									type='text' (keyup.enter)='searchDatas()'&gt;
								&lt;/div&gt;</v>
      </c>
      <c r="J56" s="28"/>
      <c r="K56" s="35" t="str">
        <f t="shared" si="6"/>
        <v xml:space="preserve">					&lt;div class='col-md-12 form-group row'&gt;
						&lt;label class='col-md-2 form-control title'&gt;Ssno&lt;/label&gt;
						&lt;input type='text' class='col-md-10 form-control input-text' name='Ssno' [(ngModel)]='rowdata.ssno'&gt;
					&lt;/div&gt;</v>
      </c>
      <c r="L56" s="56" t="str">
        <f t="shared" ref="L56:L57" si="55">IF(E56="DateTime",
REPT(CHAR(9),2)&amp;"const dateValue =  this.rowdata."&amp;D56&amp;" ? new Date(this.rowdata."&amp;D56&amp;"?.toString()) : new Date();
"&amp;REPT(CHAR(9),2)&amp;"this.datepicker?.bsValueChange.emit(dateValue);","")</f>
        <v/>
      </c>
      <c r="M56" s="28"/>
      <c r="N56" s="28"/>
      <c r="O56" s="28"/>
      <c r="P56" s="28"/>
      <c r="Q56" s="28"/>
      <c r="R56" s="28"/>
      <c r="S56" s="28" t="str">
        <f t="shared" si="13"/>
        <v xml:space="preserve">	ssno : string = '' ; </v>
      </c>
      <c r="T56" s="28" t="str">
        <f t="shared" si="14"/>
        <v xml:space="preserve">			this.ssno,</v>
      </c>
      <c r="U56" s="28" t="str">
        <f t="shared" si="15"/>
        <v xml:space="preserve">		this.ssno = '',</v>
      </c>
      <c r="V56" s="28" t="str">
        <f t="shared" si="8"/>
        <v/>
      </c>
    </row>
    <row r="57" spans="1:22" ht="18" customHeight="1" x14ac:dyDescent="0.3">
      <c r="A57" s="66" t="s">
        <v>409</v>
      </c>
      <c r="B57" s="28" t="str">
        <f t="shared" si="52"/>
        <v>Transid</v>
      </c>
      <c r="C57" s="28" t="str">
        <f t="shared" si="53"/>
        <v>Transid</v>
      </c>
      <c r="D57" s="28" t="str">
        <f t="shared" si="54"/>
        <v>transid</v>
      </c>
      <c r="E57" s="28" t="str">
        <f>A.Backend!H51</f>
        <v>string</v>
      </c>
      <c r="F57" s="28" t="str">
        <f>A.Backend!G51</f>
        <v>18</v>
      </c>
      <c r="G57" s="28" t="str">
        <f t="shared" si="3"/>
        <v xml:space="preserve"> : string = '' ; </v>
      </c>
      <c r="H57" s="35" t="str">
        <f t="shared" si="4"/>
        <v xml:space="preserve">			{headerName: this.l('Transid'),headerTooltip: this.l('Transid'),field: 'transid',flex: 1},</v>
      </c>
      <c r="I57" s="35" t="str">
        <f t="shared" si="5"/>
        <v xml:space="preserve">								&lt;div class='input-search'&gt;
									&lt;input [(ngModel)]='transid' name='transid'
									class='form-control' [placeholder]="l('Transid')"
									type='text' (keyup.enter)='searchDatas()'&gt;
								&lt;/div&gt;</v>
      </c>
      <c r="J57" s="28"/>
      <c r="K57" s="35" t="str">
        <f t="shared" si="6"/>
        <v xml:space="preserve">					&lt;div class='col-md-12 form-group row'&gt;
						&lt;label class='col-md-2 form-control title'&gt;Transid&lt;/label&gt;
						&lt;input type='text' class='col-md-10 form-control input-text' name='Transid' [(ngModel)]='rowdata.transid'&gt;
					&lt;/div&gt;</v>
      </c>
      <c r="L57" s="56" t="str">
        <f t="shared" si="55"/>
        <v/>
      </c>
      <c r="M57" s="28"/>
      <c r="N57" s="28"/>
      <c r="O57" s="28"/>
      <c r="P57" s="28"/>
      <c r="Q57" s="28"/>
      <c r="R57" s="28"/>
      <c r="S57" s="28" t="str">
        <f t="shared" si="13"/>
        <v xml:space="preserve">	transid : string = '' ; </v>
      </c>
      <c r="T57" s="28" t="str">
        <f t="shared" si="14"/>
        <v xml:space="preserve">			this.transid,</v>
      </c>
      <c r="U57" s="28" t="str">
        <f t="shared" si="15"/>
        <v xml:space="preserve">		this.transid = '',</v>
      </c>
      <c r="V57" s="28" t="str">
        <f t="shared" si="8"/>
        <v/>
      </c>
    </row>
    <row r="59" spans="1:22" ht="17.25" customHeight="1" x14ac:dyDescent="0.3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77734375" defaultRowHeight="14.4" x14ac:dyDescent="0.3"/>
  <cols>
    <col min="1" max="1" width="22.44140625" bestFit="1" customWidth="1"/>
    <col min="2" max="2" width="29.77734375" bestFit="1" customWidth="1"/>
  </cols>
  <sheetData>
    <row r="1" spans="1:2" x14ac:dyDescent="0.3">
      <c r="A1" s="1" t="s">
        <v>16</v>
      </c>
      <c r="B1" s="1" t="s">
        <v>17</v>
      </c>
    </row>
    <row r="2" spans="1:2" x14ac:dyDescent="0.3">
      <c r="A2" t="s">
        <v>19</v>
      </c>
      <c r="B2" t="s">
        <v>32</v>
      </c>
    </row>
    <row r="3" spans="1:2" x14ac:dyDescent="0.3">
      <c r="A3" t="s">
        <v>18</v>
      </c>
      <c r="B3" t="s">
        <v>32</v>
      </c>
    </row>
    <row r="4" spans="1:2" x14ac:dyDescent="0.3">
      <c r="A4" t="s">
        <v>20</v>
      </c>
      <c r="B4" t="s">
        <v>21</v>
      </c>
    </row>
    <row r="5" spans="1:2" x14ac:dyDescent="0.3">
      <c r="A5" t="s">
        <v>22</v>
      </c>
      <c r="B5" t="s">
        <v>34</v>
      </c>
    </row>
    <row r="6" spans="1:2" x14ac:dyDescent="0.3">
      <c r="A6" t="s">
        <v>23</v>
      </c>
      <c r="B6" t="s">
        <v>354</v>
      </c>
    </row>
    <row r="7" spans="1:2" x14ac:dyDescent="0.3">
      <c r="A7" t="s">
        <v>24</v>
      </c>
      <c r="B7" t="s">
        <v>349</v>
      </c>
    </row>
    <row r="8" spans="1:2" x14ac:dyDescent="0.3">
      <c r="A8" t="s">
        <v>4</v>
      </c>
      <c r="B8" t="s">
        <v>349</v>
      </c>
    </row>
    <row r="9" spans="1:2" x14ac:dyDescent="0.3">
      <c r="A9" t="s">
        <v>0</v>
      </c>
      <c r="B9" t="s">
        <v>350</v>
      </c>
    </row>
    <row r="10" spans="1:2" x14ac:dyDescent="0.3">
      <c r="A10" t="s">
        <v>25</v>
      </c>
      <c r="B10" t="s">
        <v>353</v>
      </c>
    </row>
    <row r="11" spans="1:2" x14ac:dyDescent="0.3">
      <c r="A11" t="s">
        <v>26</v>
      </c>
      <c r="B11" t="s">
        <v>353</v>
      </c>
    </row>
    <row r="12" spans="1:2" x14ac:dyDescent="0.3">
      <c r="A12" t="s">
        <v>27</v>
      </c>
      <c r="B12" t="s">
        <v>353</v>
      </c>
    </row>
    <row r="13" spans="1:2" x14ac:dyDescent="0.3">
      <c r="A13" t="s">
        <v>28</v>
      </c>
      <c r="B13" t="s">
        <v>353</v>
      </c>
    </row>
    <row r="14" spans="1:2" x14ac:dyDescent="0.3">
      <c r="A14" t="s">
        <v>29</v>
      </c>
      <c r="B14" t="s">
        <v>353</v>
      </c>
    </row>
    <row r="15" spans="1:2" x14ac:dyDescent="0.3">
      <c r="A15" t="s">
        <v>30</v>
      </c>
      <c r="B15" t="s">
        <v>353</v>
      </c>
    </row>
    <row r="16" spans="1:2" x14ac:dyDescent="0.3">
      <c r="A16" t="s">
        <v>31</v>
      </c>
      <c r="B16" t="s">
        <v>351</v>
      </c>
    </row>
    <row r="17" spans="1:2" x14ac:dyDescent="0.3">
      <c r="A17" t="s">
        <v>3</v>
      </c>
      <c r="B17" t="s">
        <v>351</v>
      </c>
    </row>
    <row r="18" spans="1:2" x14ac:dyDescent="0.3">
      <c r="A18" t="s">
        <v>33</v>
      </c>
      <c r="B18" t="s">
        <v>351</v>
      </c>
    </row>
    <row r="19" spans="1:2" x14ac:dyDescent="0.3">
      <c r="A19" t="s">
        <v>2</v>
      </c>
      <c r="B19" t="s">
        <v>351</v>
      </c>
    </row>
    <row r="20" spans="1:2" x14ac:dyDescent="0.3">
      <c r="A20" t="s">
        <v>263</v>
      </c>
      <c r="B20" t="s">
        <v>352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77734375" defaultRowHeight="15.6" x14ac:dyDescent="0.3"/>
  <cols>
    <col min="1" max="1" width="14.21875" customWidth="1"/>
    <col min="2" max="2" width="71.77734375" style="20" customWidth="1"/>
  </cols>
  <sheetData>
    <row r="2" spans="1:2" x14ac:dyDescent="0.3">
      <c r="A2" s="22" t="s">
        <v>190</v>
      </c>
      <c r="B2" s="23" t="s">
        <v>187</v>
      </c>
    </row>
    <row r="3" spans="1:2" x14ac:dyDescent="0.3">
      <c r="B3" s="20" t="s">
        <v>112</v>
      </c>
    </row>
    <row r="4" spans="1:2" x14ac:dyDescent="0.3">
      <c r="B4" s="20" t="s">
        <v>113</v>
      </c>
    </row>
    <row r="5" spans="1:2" x14ac:dyDescent="0.3">
      <c r="B5" s="20" t="s">
        <v>114</v>
      </c>
    </row>
    <row r="6" spans="1:2" x14ac:dyDescent="0.3">
      <c r="B6" s="20" t="s">
        <v>115</v>
      </c>
    </row>
    <row r="7" spans="1:2" x14ac:dyDescent="0.3">
      <c r="B7" s="20" t="s">
        <v>116</v>
      </c>
    </row>
    <row r="8" spans="1:2" x14ac:dyDescent="0.3">
      <c r="B8" s="20" t="s">
        <v>117</v>
      </c>
    </row>
    <row r="9" spans="1:2" x14ac:dyDescent="0.3">
      <c r="B9" s="20" t="s">
        <v>118</v>
      </c>
    </row>
    <row r="10" spans="1:2" x14ac:dyDescent="0.3">
      <c r="B10" s="20" t="s">
        <v>119</v>
      </c>
    </row>
    <row r="11" spans="1:2" x14ac:dyDescent="0.3">
      <c r="B11" s="20" t="s">
        <v>120</v>
      </c>
    </row>
    <row r="12" spans="1:2" x14ac:dyDescent="0.3">
      <c r="B12" s="20" t="s">
        <v>121</v>
      </c>
    </row>
    <row r="13" spans="1:2" x14ac:dyDescent="0.3">
      <c r="B13" s="20" t="s">
        <v>122</v>
      </c>
    </row>
    <row r="14" spans="1:2" x14ac:dyDescent="0.3">
      <c r="B14" s="20" t="s">
        <v>123</v>
      </c>
    </row>
    <row r="15" spans="1:2" x14ac:dyDescent="0.3">
      <c r="B15" s="20" t="s">
        <v>124</v>
      </c>
    </row>
    <row r="16" spans="1:2" x14ac:dyDescent="0.3">
      <c r="B16" s="20" t="s">
        <v>125</v>
      </c>
    </row>
    <row r="17" spans="1:3" x14ac:dyDescent="0.3">
      <c r="B17" s="20" t="s">
        <v>126</v>
      </c>
    </row>
    <row r="18" spans="1:3" x14ac:dyDescent="0.3">
      <c r="B18" s="20" t="s">
        <v>127</v>
      </c>
      <c r="C18" t="s">
        <v>189</v>
      </c>
    </row>
    <row r="19" spans="1:3" x14ac:dyDescent="0.3">
      <c r="B19" s="20" t="s">
        <v>128</v>
      </c>
    </row>
    <row r="20" spans="1:3" x14ac:dyDescent="0.3">
      <c r="B20" s="20" t="s">
        <v>129</v>
      </c>
    </row>
    <row r="21" spans="1:3" x14ac:dyDescent="0.3">
      <c r="B21" s="20" t="s">
        <v>130</v>
      </c>
    </row>
    <row r="22" spans="1:3" x14ac:dyDescent="0.3">
      <c r="B22" s="20" t="s">
        <v>131</v>
      </c>
      <c r="C22" t="s">
        <v>194</v>
      </c>
    </row>
    <row r="23" spans="1:3" x14ac:dyDescent="0.3">
      <c r="B23" s="20" t="s">
        <v>132</v>
      </c>
    </row>
    <row r="24" spans="1:3" x14ac:dyDescent="0.3">
      <c r="B24" s="20" t="s">
        <v>133</v>
      </c>
    </row>
    <row r="25" spans="1:3" x14ac:dyDescent="0.3">
      <c r="B25" s="20" t="s">
        <v>134</v>
      </c>
    </row>
    <row r="26" spans="1:3" x14ac:dyDescent="0.3">
      <c r="A26" s="22" t="s">
        <v>191</v>
      </c>
      <c r="B26" s="23" t="s">
        <v>188</v>
      </c>
    </row>
    <row r="27" spans="1:3" x14ac:dyDescent="0.3">
      <c r="B27" s="20" t="s">
        <v>135</v>
      </c>
    </row>
    <row r="28" spans="1:3" x14ac:dyDescent="0.3">
      <c r="B28" s="21" t="s">
        <v>136</v>
      </c>
    </row>
    <row r="29" spans="1:3" x14ac:dyDescent="0.3">
      <c r="B29" s="20" t="s">
        <v>137</v>
      </c>
    </row>
    <row r="30" spans="1:3" x14ac:dyDescent="0.3">
      <c r="B30" s="20" t="s">
        <v>138</v>
      </c>
    </row>
    <row r="31" spans="1:3" x14ac:dyDescent="0.3">
      <c r="B31" s="20" t="s">
        <v>139</v>
      </c>
    </row>
    <row r="32" spans="1:3" x14ac:dyDescent="0.3">
      <c r="B32" s="20" t="s">
        <v>140</v>
      </c>
    </row>
    <row r="33" spans="2:2" x14ac:dyDescent="0.3">
      <c r="B33" s="20" t="s">
        <v>141</v>
      </c>
    </row>
    <row r="34" spans="2:2" x14ac:dyDescent="0.3">
      <c r="B34" s="20" t="s">
        <v>142</v>
      </c>
    </row>
    <row r="35" spans="2:2" x14ac:dyDescent="0.3">
      <c r="B35" s="20" t="s">
        <v>143</v>
      </c>
    </row>
    <row r="36" spans="2:2" x14ac:dyDescent="0.3">
      <c r="B36" s="20" t="s">
        <v>144</v>
      </c>
    </row>
    <row r="37" spans="2:2" x14ac:dyDescent="0.3">
      <c r="B37" s="20" t="s">
        <v>145</v>
      </c>
    </row>
    <row r="38" spans="2:2" x14ac:dyDescent="0.3">
      <c r="B38" s="20" t="s">
        <v>146</v>
      </c>
    </row>
    <row r="39" spans="2:2" x14ac:dyDescent="0.3">
      <c r="B39" s="20" t="s">
        <v>147</v>
      </c>
    </row>
    <row r="40" spans="2:2" x14ac:dyDescent="0.3">
      <c r="B40" s="20" t="s">
        <v>148</v>
      </c>
    </row>
    <row r="41" spans="2:2" x14ac:dyDescent="0.3">
      <c r="B41" s="20" t="s">
        <v>149</v>
      </c>
    </row>
    <row r="42" spans="2:2" x14ac:dyDescent="0.3">
      <c r="B42" s="20" t="s">
        <v>150</v>
      </c>
    </row>
    <row r="43" spans="2:2" x14ac:dyDescent="0.3">
      <c r="B43" s="21" t="s">
        <v>151</v>
      </c>
    </row>
    <row r="44" spans="2:2" x14ac:dyDescent="0.3">
      <c r="B44" s="20" t="s">
        <v>137</v>
      </c>
    </row>
    <row r="45" spans="2:2" x14ac:dyDescent="0.3">
      <c r="B45" s="20" t="s">
        <v>152</v>
      </c>
    </row>
    <row r="46" spans="2:2" x14ac:dyDescent="0.3">
      <c r="B46" s="20" t="s">
        <v>153</v>
      </c>
    </row>
    <row r="47" spans="2:2" x14ac:dyDescent="0.3">
      <c r="B47" s="20" t="s">
        <v>154</v>
      </c>
    </row>
    <row r="48" spans="2:2" x14ac:dyDescent="0.3">
      <c r="B48" s="20" t="s">
        <v>155</v>
      </c>
    </row>
    <row r="49" spans="2:2" x14ac:dyDescent="0.3">
      <c r="B49" s="20" t="s">
        <v>138</v>
      </c>
    </row>
    <row r="50" spans="2:2" x14ac:dyDescent="0.3">
      <c r="B50" s="20" t="s">
        <v>139</v>
      </c>
    </row>
    <row r="51" spans="2:2" x14ac:dyDescent="0.3">
      <c r="B51" s="20" t="s">
        <v>140</v>
      </c>
    </row>
    <row r="52" spans="2:2" x14ac:dyDescent="0.3">
      <c r="B52" s="20" t="s">
        <v>141</v>
      </c>
    </row>
    <row r="53" spans="2:2" x14ac:dyDescent="0.3">
      <c r="B53" s="20" t="s">
        <v>142</v>
      </c>
    </row>
    <row r="54" spans="2:2" x14ac:dyDescent="0.3">
      <c r="B54" s="20" t="s">
        <v>143</v>
      </c>
    </row>
    <row r="55" spans="2:2" x14ac:dyDescent="0.3">
      <c r="B55" s="20" t="s">
        <v>144</v>
      </c>
    </row>
    <row r="56" spans="2:2" x14ac:dyDescent="0.3">
      <c r="B56" s="20" t="s">
        <v>156</v>
      </c>
    </row>
    <row r="57" spans="2:2" x14ac:dyDescent="0.3">
      <c r="B57" s="20" t="s">
        <v>157</v>
      </c>
    </row>
    <row r="58" spans="2:2" x14ac:dyDescent="0.3">
      <c r="B58" s="20" t="s">
        <v>145</v>
      </c>
    </row>
    <row r="59" spans="2:2" x14ac:dyDescent="0.3">
      <c r="B59" s="20" t="s">
        <v>146</v>
      </c>
    </row>
    <row r="60" spans="2:2" x14ac:dyDescent="0.3">
      <c r="B60" s="20" t="s">
        <v>158</v>
      </c>
    </row>
    <row r="61" spans="2:2" x14ac:dyDescent="0.3">
      <c r="B61" s="20" t="s">
        <v>159</v>
      </c>
    </row>
    <row r="62" spans="2:2" x14ac:dyDescent="0.3">
      <c r="B62" s="20" t="s">
        <v>160</v>
      </c>
    </row>
    <row r="63" spans="2:2" x14ac:dyDescent="0.3">
      <c r="B63" s="20" t="s">
        <v>155</v>
      </c>
    </row>
    <row r="64" spans="2:2" x14ac:dyDescent="0.3">
      <c r="B64" s="20" t="s">
        <v>147</v>
      </c>
    </row>
    <row r="65" spans="2:2" x14ac:dyDescent="0.3">
      <c r="B65" s="20" t="s">
        <v>148</v>
      </c>
    </row>
    <row r="66" spans="2:2" x14ac:dyDescent="0.3">
      <c r="B66" s="20" t="s">
        <v>161</v>
      </c>
    </row>
    <row r="67" spans="2:2" x14ac:dyDescent="0.3">
      <c r="B67" s="20" t="s">
        <v>155</v>
      </c>
    </row>
    <row r="68" spans="2:2" x14ac:dyDescent="0.3">
      <c r="B68" s="20" t="s">
        <v>149</v>
      </c>
    </row>
    <row r="69" spans="2:2" x14ac:dyDescent="0.3">
      <c r="B69" s="20" t="s">
        <v>162</v>
      </c>
    </row>
    <row r="70" spans="2:2" x14ac:dyDescent="0.3">
      <c r="B70" s="21" t="s">
        <v>163</v>
      </c>
    </row>
    <row r="71" spans="2:2" x14ac:dyDescent="0.3">
      <c r="B71" s="20" t="s">
        <v>137</v>
      </c>
    </row>
    <row r="72" spans="2:2" x14ac:dyDescent="0.3">
      <c r="B72" s="20" t="s">
        <v>138</v>
      </c>
    </row>
    <row r="73" spans="2:2" x14ac:dyDescent="0.3">
      <c r="B73" s="20" t="s">
        <v>139</v>
      </c>
    </row>
    <row r="74" spans="2:2" x14ac:dyDescent="0.3">
      <c r="B74" s="20" t="s">
        <v>140</v>
      </c>
    </row>
    <row r="75" spans="2:2" x14ac:dyDescent="0.3">
      <c r="B75" s="20" t="s">
        <v>144</v>
      </c>
    </row>
    <row r="76" spans="2:2" x14ac:dyDescent="0.3">
      <c r="B76" s="20" t="s">
        <v>146</v>
      </c>
    </row>
    <row r="77" spans="2:2" x14ac:dyDescent="0.3">
      <c r="B77" s="20" t="s">
        <v>147</v>
      </c>
    </row>
    <row r="78" spans="2:2" x14ac:dyDescent="0.3">
      <c r="B78" s="20" t="s">
        <v>148</v>
      </c>
    </row>
    <row r="79" spans="2:2" x14ac:dyDescent="0.3">
      <c r="B79" s="20" t="s">
        <v>149</v>
      </c>
    </row>
    <row r="80" spans="2:2" x14ac:dyDescent="0.3">
      <c r="B80" s="20" t="s">
        <v>162</v>
      </c>
    </row>
    <row r="81" spans="1:2" x14ac:dyDescent="0.3">
      <c r="B81" s="21" t="s">
        <v>164</v>
      </c>
    </row>
    <row r="82" spans="1:2" x14ac:dyDescent="0.3">
      <c r="B82" s="21" t="s">
        <v>165</v>
      </c>
    </row>
    <row r="83" spans="1:2" x14ac:dyDescent="0.3">
      <c r="B83" s="21" t="s">
        <v>166</v>
      </c>
    </row>
    <row r="84" spans="1:2" x14ac:dyDescent="0.3">
      <c r="B84" s="21" t="s">
        <v>167</v>
      </c>
    </row>
    <row r="85" spans="1:2" x14ac:dyDescent="0.3">
      <c r="B85" s="21" t="s">
        <v>168</v>
      </c>
    </row>
    <row r="86" spans="1:2" x14ac:dyDescent="0.3">
      <c r="B86" s="21" t="s">
        <v>169</v>
      </c>
    </row>
    <row r="87" spans="1:2" x14ac:dyDescent="0.3">
      <c r="B87" s="21" t="s">
        <v>170</v>
      </c>
    </row>
    <row r="88" spans="1:2" x14ac:dyDescent="0.3">
      <c r="A88" s="22" t="s">
        <v>192</v>
      </c>
      <c r="B88" s="24" t="s">
        <v>171</v>
      </c>
    </row>
    <row r="89" spans="1:2" x14ac:dyDescent="0.3">
      <c r="B89" s="20" t="s">
        <v>172</v>
      </c>
    </row>
    <row r="90" spans="1:2" x14ac:dyDescent="0.3">
      <c r="B90" s="20" t="s">
        <v>173</v>
      </c>
    </row>
    <row r="91" spans="1:2" x14ac:dyDescent="0.3">
      <c r="B91" s="20" t="s">
        <v>174</v>
      </c>
    </row>
    <row r="92" spans="1:2" x14ac:dyDescent="0.3">
      <c r="B92" s="20" t="s">
        <v>175</v>
      </c>
    </row>
    <row r="93" spans="1:2" x14ac:dyDescent="0.3">
      <c r="B93" s="20" t="s">
        <v>176</v>
      </c>
    </row>
    <row r="94" spans="1:2" x14ac:dyDescent="0.3">
      <c r="B94" s="20" t="s">
        <v>177</v>
      </c>
    </row>
    <row r="95" spans="1:2" x14ac:dyDescent="0.3">
      <c r="B95" s="20" t="s">
        <v>178</v>
      </c>
    </row>
    <row r="96" spans="1:2" x14ac:dyDescent="0.3">
      <c r="B96" s="20" t="s">
        <v>179</v>
      </c>
    </row>
    <row r="97" spans="2:2" x14ac:dyDescent="0.3">
      <c r="B97" s="20" t="s">
        <v>180</v>
      </c>
    </row>
    <row r="98" spans="2:2" x14ac:dyDescent="0.3">
      <c r="B98" s="20" t="s">
        <v>181</v>
      </c>
    </row>
    <row r="99" spans="2:2" x14ac:dyDescent="0.3">
      <c r="B99" s="20" t="s">
        <v>182</v>
      </c>
    </row>
    <row r="100" spans="2:2" x14ac:dyDescent="0.3">
      <c r="B100" s="20" t="s">
        <v>183</v>
      </c>
    </row>
    <row r="101" spans="2:2" x14ac:dyDescent="0.3">
      <c r="B101" s="20" t="s">
        <v>184</v>
      </c>
    </row>
    <row r="102" spans="2:2" x14ac:dyDescent="0.3">
      <c r="B102" s="20" t="s">
        <v>185</v>
      </c>
    </row>
    <row r="103" spans="2:2" x14ac:dyDescent="0.3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2023-06-29T02:02:20Z</dcterms:modified>
</cp:coreProperties>
</file>
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3" i="1" l="1"/>
  <c r="G23" i="1"/>
  <c r="E23" i="1"/>
  <c r="H23" i="1" s="1"/>
  <c r="D23" i="1"/>
  <c r="V23" i="1" s="1"/>
  <c r="N23" i="1" l="1"/>
  <c r="I23" i="1"/>
  <c r="M23" i="1"/>
  <c r="W23" i="1"/>
  <c r="O23" i="1"/>
  <c r="J23" i="1"/>
  <c r="P23" i="1"/>
  <c r="X23" i="1"/>
  <c r="T23" i="1"/>
  <c r="F25" i="5"/>
  <c r="C25" i="5"/>
  <c r="B25" i="5"/>
  <c r="D25" i="5" s="1"/>
  <c r="G19" i="1"/>
  <c r="E19" i="1"/>
  <c r="X19" i="1" s="1"/>
  <c r="D19" i="1"/>
  <c r="Z23" i="1" l="1"/>
  <c r="Y23" i="1"/>
  <c r="T25" i="5"/>
  <c r="K25" i="5"/>
  <c r="L25" i="5"/>
  <c r="Y19" i="1"/>
  <c r="P19" i="1"/>
  <c r="H19" i="1"/>
  <c r="E25" i="5" s="1"/>
  <c r="V25" i="5" s="1"/>
  <c r="T19" i="1"/>
  <c r="V19" i="1"/>
  <c r="F16" i="5"/>
  <c r="F17" i="5"/>
  <c r="F18" i="5"/>
  <c r="F19" i="5"/>
  <c r="F20" i="5"/>
  <c r="F21" i="5"/>
  <c r="F22" i="5"/>
  <c r="F23" i="5"/>
  <c r="F24" i="5"/>
  <c r="F26" i="5"/>
  <c r="F27" i="5"/>
  <c r="F28" i="5"/>
  <c r="F29" i="5"/>
  <c r="G15" i="1"/>
  <c r="E15" i="1"/>
  <c r="H15" i="1" s="1"/>
  <c r="E21" i="5" s="1"/>
  <c r="D15" i="1"/>
  <c r="T15" i="1" s="1"/>
  <c r="G25" i="5" l="1"/>
  <c r="S25" i="5" s="1"/>
  <c r="I25" i="5"/>
  <c r="U25" i="5"/>
  <c r="H25" i="5"/>
  <c r="W19" i="1"/>
  <c r="J19" i="1"/>
  <c r="I19" i="1"/>
  <c r="O19" i="1"/>
  <c r="N19" i="1"/>
  <c r="M19" i="1"/>
  <c r="Z19" i="1"/>
  <c r="M15" i="1"/>
  <c r="W15" i="1"/>
  <c r="O15" i="1"/>
  <c r="J15" i="1"/>
  <c r="N15" i="1"/>
  <c r="I15" i="1"/>
  <c r="V15" i="1"/>
  <c r="P15" i="1"/>
  <c r="X15" i="1"/>
  <c r="C28" i="5"/>
  <c r="B28" i="5"/>
  <c r="D28" i="5" s="1"/>
  <c r="C27" i="5"/>
  <c r="B27" i="5"/>
  <c r="D27" i="5" s="1"/>
  <c r="C26" i="5"/>
  <c r="B26" i="5"/>
  <c r="D26" i="5" s="1"/>
  <c r="Y15" i="1" l="1"/>
  <c r="Z15" i="1"/>
  <c r="T28" i="5"/>
  <c r="T26" i="5"/>
  <c r="T27" i="5"/>
  <c r="L18" i="1"/>
  <c r="G18" i="1"/>
  <c r="E18" i="1"/>
  <c r="H18" i="1" s="1"/>
  <c r="E24" i="5" s="1"/>
  <c r="D18" i="1"/>
  <c r="V18" i="1" s="1"/>
  <c r="G20" i="1"/>
  <c r="E20" i="1"/>
  <c r="X20" i="1" s="1"/>
  <c r="D20" i="1"/>
  <c r="P20" i="1" s="1"/>
  <c r="T20" i="1" l="1"/>
  <c r="H20" i="1"/>
  <c r="N18" i="1"/>
  <c r="I18" i="1"/>
  <c r="M18" i="1"/>
  <c r="W18" i="1"/>
  <c r="O18" i="1"/>
  <c r="J18" i="1"/>
  <c r="P18" i="1"/>
  <c r="X18" i="1"/>
  <c r="T18" i="1"/>
  <c r="Y20" i="1"/>
  <c r="V20" i="1"/>
  <c r="C22" i="5"/>
  <c r="B22" i="5"/>
  <c r="D22" i="5" s="1"/>
  <c r="T22" i="5" s="1"/>
  <c r="C21" i="5"/>
  <c r="B21" i="5"/>
  <c r="D21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D12" i="1"/>
  <c r="P12" i="1" s="1"/>
  <c r="E12" i="1"/>
  <c r="X12" i="1" s="1"/>
  <c r="G12" i="1"/>
  <c r="L12" i="1"/>
  <c r="G22" i="1"/>
  <c r="E22" i="1"/>
  <c r="H22" i="1" s="1"/>
  <c r="E28" i="5" s="1"/>
  <c r="D22" i="1"/>
  <c r="V22" i="1" s="1"/>
  <c r="G14" i="1"/>
  <c r="E14" i="1"/>
  <c r="X14" i="1" s="1"/>
  <c r="D14" i="1"/>
  <c r="V14" i="1" s="1"/>
  <c r="L13" i="1"/>
  <c r="G13" i="1"/>
  <c r="E13" i="1"/>
  <c r="H13" i="1" s="1"/>
  <c r="E19" i="5" s="1"/>
  <c r="D13" i="1"/>
  <c r="T13" i="1" s="1"/>
  <c r="O20" i="1" l="1"/>
  <c r="E26" i="5"/>
  <c r="I20" i="1"/>
  <c r="I28" i="5"/>
  <c r="V28" i="5"/>
  <c r="H28" i="5"/>
  <c r="G28" i="5"/>
  <c r="S28" i="5" s="1"/>
  <c r="U28" i="5"/>
  <c r="L28" i="5"/>
  <c r="K28" i="5"/>
  <c r="W20" i="1"/>
  <c r="J20" i="1"/>
  <c r="M20" i="1"/>
  <c r="N20" i="1"/>
  <c r="Z20" i="1"/>
  <c r="H19" i="5"/>
  <c r="V12" i="1"/>
  <c r="Z18" i="1"/>
  <c r="Y18" i="1"/>
  <c r="T19" i="5"/>
  <c r="T21" i="5"/>
  <c r="I19" i="5"/>
  <c r="K19" i="5"/>
  <c r="U19" i="5"/>
  <c r="G19" i="5"/>
  <c r="S19" i="5" s="1"/>
  <c r="L19" i="5"/>
  <c r="V19" i="5"/>
  <c r="Z12" i="1"/>
  <c r="Y12" i="1"/>
  <c r="T12" i="1"/>
  <c r="H12" i="1"/>
  <c r="E18" i="5" s="1"/>
  <c r="H14" i="1"/>
  <c r="E20" i="5" s="1"/>
  <c r="W22" i="1"/>
  <c r="O22" i="1"/>
  <c r="J22" i="1"/>
  <c r="N22" i="1"/>
  <c r="I22" i="1"/>
  <c r="M22" i="1"/>
  <c r="P22" i="1"/>
  <c r="X22" i="1"/>
  <c r="T22" i="1"/>
  <c r="Y14" i="1"/>
  <c r="P14" i="1"/>
  <c r="T14" i="1"/>
  <c r="N13" i="1"/>
  <c r="M13" i="1"/>
  <c r="I13" i="1"/>
  <c r="W13" i="1"/>
  <c r="O13" i="1"/>
  <c r="J13" i="1"/>
  <c r="P13" i="1"/>
  <c r="X13" i="1"/>
  <c r="V13" i="1"/>
  <c r="K26" i="5" l="1"/>
  <c r="H26" i="5"/>
  <c r="L26" i="5"/>
  <c r="G26" i="5"/>
  <c r="S26" i="5" s="1"/>
  <c r="V26" i="5"/>
  <c r="U26" i="5"/>
  <c r="I26" i="5"/>
  <c r="G18" i="5"/>
  <c r="S18" i="5" s="1"/>
  <c r="O14" i="1"/>
  <c r="L18" i="5"/>
  <c r="I18" i="5"/>
  <c r="N14" i="1"/>
  <c r="K18" i="5"/>
  <c r="U18" i="5"/>
  <c r="J14" i="1"/>
  <c r="I12" i="1"/>
  <c r="N12" i="1"/>
  <c r="J12" i="1"/>
  <c r="O12" i="1"/>
  <c r="W12" i="1"/>
  <c r="M12" i="1"/>
  <c r="M14" i="1"/>
  <c r="I14" i="1"/>
  <c r="W14" i="1"/>
  <c r="Z14" i="1"/>
  <c r="Z22" i="1"/>
  <c r="Y22" i="1"/>
  <c r="Z13" i="1"/>
  <c r="Y13" i="1"/>
  <c r="L10" i="1"/>
  <c r="G10" i="1"/>
  <c r="E10" i="1"/>
  <c r="X10" i="1" s="1"/>
  <c r="D10" i="1"/>
  <c r="V10" i="1" s="1"/>
  <c r="H18" i="5" l="1"/>
  <c r="V18" i="5"/>
  <c r="V20" i="5"/>
  <c r="K20" i="5"/>
  <c r="H20" i="5"/>
  <c r="L20" i="5"/>
  <c r="I20" i="5"/>
  <c r="U20" i="5"/>
  <c r="G20" i="5"/>
  <c r="S20" i="5" s="1"/>
  <c r="Y10" i="1"/>
  <c r="T10" i="1"/>
  <c r="P10" i="1"/>
  <c r="H10" i="1"/>
  <c r="E16" i="5" s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G16" i="1"/>
  <c r="E16" i="1"/>
  <c r="D16" i="1"/>
  <c r="T16" i="1" s="1"/>
  <c r="H16" i="1" l="1"/>
  <c r="E22" i="5" s="1"/>
  <c r="X16" i="1"/>
  <c r="V16" i="1"/>
  <c r="P16" i="1"/>
  <c r="C23" i="5"/>
  <c r="B23" i="5"/>
  <c r="D23" i="5" s="1"/>
  <c r="T23" i="5" s="1"/>
  <c r="C17" i="5"/>
  <c r="B17" i="5"/>
  <c r="D17" i="5" s="1"/>
  <c r="T17" i="5" s="1"/>
  <c r="C16" i="5"/>
  <c r="B16" i="5"/>
  <c r="D16" i="5" s="1"/>
  <c r="I21" i="5" l="1"/>
  <c r="K21" i="5"/>
  <c r="L21" i="5"/>
  <c r="U21" i="5"/>
  <c r="H21" i="5"/>
  <c r="G21" i="5"/>
  <c r="S21" i="5" s="1"/>
  <c r="V21" i="5"/>
  <c r="T16" i="5"/>
  <c r="I16" i="5"/>
  <c r="U16" i="5"/>
  <c r="H16" i="5"/>
  <c r="K16" i="5"/>
  <c r="S16" i="5"/>
  <c r="J16" i="1"/>
  <c r="O16" i="1"/>
  <c r="W16" i="1"/>
  <c r="I16" i="1"/>
  <c r="N16" i="1"/>
  <c r="M16" i="1"/>
  <c r="Z16" i="1"/>
  <c r="Y16" i="1"/>
  <c r="B6" i="1"/>
  <c r="G21" i="1"/>
  <c r="E21" i="1"/>
  <c r="D21" i="1"/>
  <c r="V21" i="1" s="1"/>
  <c r="H21" i="1" l="1"/>
  <c r="E27" i="5" s="1"/>
  <c r="X21" i="1"/>
  <c r="P21" i="1"/>
  <c r="T21" i="1"/>
  <c r="C24" i="5"/>
  <c r="B24" i="5"/>
  <c r="D24" i="5" s="1"/>
  <c r="T24" i="5" s="1"/>
  <c r="C15" i="5"/>
  <c r="B15" i="5"/>
  <c r="D15" i="5" s="1"/>
  <c r="T15" i="5" s="1"/>
  <c r="G17" i="1"/>
  <c r="E17" i="1"/>
  <c r="D17" i="1"/>
  <c r="T17" i="1" s="1"/>
  <c r="H27" i="5" l="1"/>
  <c r="I27" i="5"/>
  <c r="G27" i="5"/>
  <c r="S27" i="5" s="1"/>
  <c r="V27" i="5"/>
  <c r="K27" i="5"/>
  <c r="L27" i="5"/>
  <c r="U27" i="5"/>
  <c r="M21" i="1"/>
  <c r="J21" i="1"/>
  <c r="O21" i="1"/>
  <c r="H17" i="1"/>
  <c r="E23" i="5" s="1"/>
  <c r="X17" i="1"/>
  <c r="I21" i="1"/>
  <c r="N21" i="1"/>
  <c r="W21" i="1"/>
  <c r="Z21" i="1"/>
  <c r="Y21" i="1"/>
  <c r="L17" i="1"/>
  <c r="P17" i="1"/>
  <c r="V17" i="1"/>
  <c r="I17" i="1" l="1"/>
  <c r="G24" i="5"/>
  <c r="S24" i="5" s="1"/>
  <c r="U24" i="5"/>
  <c r="K24" i="5"/>
  <c r="H24" i="5"/>
  <c r="I24" i="5"/>
  <c r="M17" i="1"/>
  <c r="J17" i="1"/>
  <c r="V23" i="5"/>
  <c r="N17" i="1"/>
  <c r="W17" i="1"/>
  <c r="O17" i="1"/>
  <c r="Y17" i="1"/>
  <c r="Z17" i="1"/>
  <c r="C29" i="5"/>
  <c r="B29" i="5"/>
  <c r="D29" i="5" s="1"/>
  <c r="T29" i="5" s="1"/>
  <c r="G24" i="1"/>
  <c r="E24" i="1"/>
  <c r="D24" i="1"/>
  <c r="V24" i="1" s="1"/>
  <c r="V22" i="5" l="1"/>
  <c r="H22" i="5"/>
  <c r="K22" i="5"/>
  <c r="G22" i="5"/>
  <c r="S22" i="5" s="1"/>
  <c r="I22" i="5"/>
  <c r="U22" i="5"/>
  <c r="L22" i="5"/>
  <c r="L23" i="5"/>
  <c r="G23" i="5"/>
  <c r="S23" i="5" s="1"/>
  <c r="U23" i="5"/>
  <c r="I23" i="5"/>
  <c r="H23" i="5"/>
  <c r="K23" i="5"/>
  <c r="X24" i="1"/>
  <c r="H24" i="1"/>
  <c r="E29" i="5" s="1"/>
  <c r="P24" i="1"/>
  <c r="T24" i="1"/>
  <c r="G9" i="1"/>
  <c r="F15" i="5" s="1"/>
  <c r="E9" i="1"/>
  <c r="D9" i="1"/>
  <c r="V9" i="1" s="1"/>
  <c r="O24" i="1" l="1"/>
  <c r="L29" i="5"/>
  <c r="Y24" i="1"/>
  <c r="Z24" i="1"/>
  <c r="M24" i="1"/>
  <c r="I24" i="1"/>
  <c r="H9" i="1"/>
  <c r="E15" i="5" s="1"/>
  <c r="U15" i="5" s="1"/>
  <c r="X9" i="1"/>
  <c r="J24" i="1"/>
  <c r="W24" i="1"/>
  <c r="N24" i="1"/>
  <c r="P9" i="1"/>
  <c r="T9" i="1"/>
  <c r="V29" i="5" l="1"/>
  <c r="U29" i="5"/>
  <c r="G29" i="5"/>
  <c r="S29" i="5" s="1"/>
  <c r="I29" i="5"/>
  <c r="H29" i="5"/>
  <c r="K29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E11" i="1"/>
  <c r="D11" i="1"/>
  <c r="T11" i="1" s="1"/>
  <c r="H11" i="1" l="1"/>
  <c r="E17" i="5" s="1"/>
  <c r="X11" i="1"/>
  <c r="L24" i="5"/>
  <c r="V24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6" i="1"/>
  <c r="K12" i="5" l="1"/>
  <c r="H12" i="5"/>
  <c r="V12" i="5"/>
  <c r="T12" i="5"/>
  <c r="U12" i="5"/>
  <c r="I12" i="5"/>
  <c r="L12" i="5"/>
  <c r="S12" i="5"/>
  <c r="R3" i="1" l="1"/>
  <c r="D1" i="1"/>
  <c r="F6" i="1"/>
  <c r="T26" i="1"/>
  <c r="T13" i="5"/>
  <c r="T7" i="1" l="1"/>
  <c r="W26" i="1"/>
  <c r="G6" i="1" l="1"/>
  <c r="I13" i="5"/>
  <c r="K13" i="5"/>
  <c r="U13" i="5"/>
  <c r="H13" i="5"/>
  <c r="S13" i="5"/>
  <c r="L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9" i="1" l="1"/>
  <c r="L15" i="1"/>
  <c r="L22" i="1"/>
  <c r="L14" i="1"/>
  <c r="L20" i="1"/>
  <c r="L21" i="1"/>
  <c r="L24" i="1"/>
  <c r="L16" i="1"/>
  <c r="L9" i="1"/>
  <c r="L11" i="1"/>
  <c r="C7" i="1"/>
  <c r="P26" i="1"/>
  <c r="I26" i="1"/>
  <c r="N26" i="1"/>
  <c r="J26" i="1"/>
  <c r="O26" i="1"/>
  <c r="Q7" i="1" l="1"/>
  <c r="M68" i="3" s="1"/>
  <c r="L7" i="1"/>
  <c r="G68" i="3" s="1"/>
  <c r="K68" i="3"/>
  <c r="J68" i="3"/>
  <c r="M26" i="1"/>
  <c r="K2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<sst xmlns="http://schemas.openxmlformats.org/spreadsheetml/2006/main" count="503" uniqueCount="384">
  <si>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</si>
  <si>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</si>
  <si>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</si>
  <si>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</si>
  <si>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</si>
  <si>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</si>
  <si>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</si>
  <si>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</si>
  <si>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</si>
  <si>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</si>
  <si>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</si>
  <si>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</si>
  <si>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</si>
  <si>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</si>
  <si>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</si>
  <si>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</si>
  <si>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</si>
  <si>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</si>
  <si>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</si>
  <si>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</si>
  <si>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</si>
  <si>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</si>
  <si>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</si>
  <si>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</si>
  <si>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</si>
  <si>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</si>
  <si>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</si>
  <si>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</si>
  <si>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</si>
  <si>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</si>
  <si>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</si>
  <si>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</si>
  <si>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</si>
  <si>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</si>
  <si>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</si>
  <si>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</si>
  <si>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</si>
  <si>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</si>
  <si>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</si>
  <si>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</si>
  <si>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</si>
  <si>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</si>
  <si>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</si>
  <si>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</si>
  <si>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</si>
  <si>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</si>
  <si>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</si>
  <si>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</si>
  <si>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</si>
  <si>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</si>
  <si>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</si>
  <si>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</si>
  <si>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</si>
  <si>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</si>
  <si>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</si>
  <si>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</si>
  <si>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</si>
  <si>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</si>
  <si>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</si>
  <si>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</si>
  <si>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</si>
  <si>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</si>
  <si>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</si>
  <si>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</si>
  <si>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</si>
  <si>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</si>
  <si>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</si>
  <si>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</si>
  <si>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</si>
  <si>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</si>
  <si>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</si>
  <si>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</si>
  <si>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</si>
  <si>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</si>
  <si>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</si>
  <si>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</si>
  <si>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</si>
  <si>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</si>
  <si>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</si>
  <si>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</si>
  <si>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</si>
  <si>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</si>
  <si>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</si>
  <si>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</si>
  <si>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</si>
  <si>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</si>
  <si>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</si>
  <si>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</si>
  <si>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</si>
  <si>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</si>
  <si>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</si>
  <si>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</si>
  <si>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</si>
  <si>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</si>
  <si>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</si>
  <si>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</si>
  <si>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</si>
  <si>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</si>
  <si>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</si>
  <si>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</si>
  <si>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</si>
  <si>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</si>
  <si>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</si>
  <si>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</si>
  <si>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</si>
  <si>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</si>
  <si>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</si>
  <si>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</si>
  <si>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</si>
  <si>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</si>
  <si>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</si>
  <si>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</si>
  <si>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</si>
  <si>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</si>
  <si>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</si>
  <si>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</si>
  <si>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</si>
  <si>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</si>
  <si>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</si>
  <si>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</si>
  <si>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</si>
  <si>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</si>
  <si>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</si>
  <si>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</si>
  <si>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</si>
  <si>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</si>
  <si>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</si>
  <si>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</si>
  <si>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</si>
  <si>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</si>
  <si>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</si>
  <si>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</si>
  <si>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</si>
  <si>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</si>
  <si>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</si>
  <si>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</si>
  <si>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</si>
  <si>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</si>
  <si>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</si>
  <si>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</si>
  <si>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</si>
  <si>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</si>
  <si>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</si>
  <si>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</si>
  <si>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</si>
  <si>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</si>
  <si>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</si>
  <si>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</si>
  <si>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</si>
  <si>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</si>
  <si>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</si>
  <si>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</si>
  <si>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</si>
  <si>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</si>
  <si>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</si>
  <si>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</si>
  <si>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</si>
  <si>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</si>
  <si>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</si>
  <si>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</si>
  <si>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</si>
  <si>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</si>
  <si>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</si>
  <si>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</si>
  <si>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</si>
  <si>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</si>
  <si>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</si>
  <si>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</si>
  <si>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</si>
  <si>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</si>
  <si>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</si>
  <si>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</si>
  <si>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</si>
  <si>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</si>
  <si>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</si>
  <si>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</si>
  <si>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</si>
  <si>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</si>
  <si>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</si>
  <si>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</si>
  <si>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</si>
  <si>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</si>
  <si>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</si>
  <si>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</si>
  <si>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</si>
  <si>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</si>
  <si>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</si>
  <si>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</si>
  <si>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</si>
  <si>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</si>
  <si>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</si>
  <si>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</si>
  <si>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</si>
  <si>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</si>
  <si>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</si>
  <si>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</si>
  <si>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</si>
  <si>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</si>
  <si>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</si>
  <si>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</si>
  <si>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</si>
  <si>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</si>
  <si>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</si>
  <si>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</si>
  <si>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</si>
  <si>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</si>
  <si>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</si>
  <si>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</si>
  <si>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</si>
  <si>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</si>
  <si>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</si>
  <si>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</si>
  <si>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</si>
  <si>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</si>
  <si>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</si>
  <si>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</si>
  <si>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</si>
  <si>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</si>
  <si>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</si>
  <si>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</si>
  <si>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</si>
  <si>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</si>
  <si>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</si>
  <si>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</si>
  <si>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</si>
  <si>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</si>
  <si>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</si>
  <si>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</si>
  <si>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</si>
  <si>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</si>
  <si>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</si>
  <si>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</si>
  <si>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</si>
  <si>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</si>
  <si>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</si>
  <si>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</si>
  <si>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</si>
  <si>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</si>
  <si>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</si>
  <si>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</si>
  <si>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</si>
  <si>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</si>
  <si>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</si>
  <si>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</si>
  <si>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</si>
  <si>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</si>
  <si>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</si>
  <si>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</si>
  <si>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</si>
  <si>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</si>
  <si>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</si>
  <si>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</si>
  <si>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</si>
  <si>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</si>
  <si>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</si>
  <si>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</si>
  <si>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</si>
  <si>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</si>
  <si>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</si>
  <si>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</si>
  <si>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</si>
  <si>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</si>
  <si>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</si>
  <si>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</si>
  <si>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</si>
  <si>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</si>
  <si>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</si>
  <si>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</si>
  <si>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</si>
  <si>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</si>
  <si>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</si>
  <si>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</si>
  <si>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</si>
  <si>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</si>
  <si>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</si>
  <si>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</si>
  <si>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</si>
  <si>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</si>
  <si>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</si>
  <si>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</si>
  <si>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</si>
  <si>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</si>
  <si>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</si>
  <si>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</si>
  <si>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</si>
  <si>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</si>
  <si>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</si>
  <si>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</si>
  <si>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</si>
  <si>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</si>
  <si>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</si>
  <si>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</si>
  <si>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</si>
  <si>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</si>
  <si>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</si>
  <si>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</si>
  <si>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</si>
  <si>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</si>
  <si>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</si>
  <si>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</si>
  <si>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</si>
  <si>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</si>
  <si>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</si>
  <si>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</si>
  <si>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</si>
  <si>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</si>
  <si>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</si>
  <si>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</si>
  <si>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</si>
  <si>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</si>
  <si>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</si>
  <si>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</si>
  <si>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</si>
  <si>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</si>
  <si>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</si>
  <si>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</si>
  <si>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</si>
  <si>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</si>
  <si>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</si>
  <si>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</si>
  <si>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</si>
  <si>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</si>
  <si>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</si>
  <si>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</si>
  <si>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</si>
  <si>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</si>
  <si>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</si>
  <si>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</si>
  <si>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</si>
  <si>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</si>
  <si>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</si>
  <si>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</si>
  <si>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</si>
  <si>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</si>
  <si>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</si>
  <si>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</si>
  <si>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</si>
  <si>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</si>
  <si>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</si>
  <si>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</si>
  <si>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</si>
  <si>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</si>
  <si>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</si>
  <si>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</si>
  <si>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</si>
  <si>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</si>
  <si>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</si>
  <si>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</si>
  <si>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</si>
  <si>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</si>
  <si>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</si>
  <si>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</si>
  <si>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</si>
  <si>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</si>
  <si>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</si>
  <si>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</si>
  <si>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</si>
  <si>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</si>
  <si>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</si>
  <si>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PART_NAME</t>
  </si>
  <si>
    <t>COLOR_SFX</t>
  </si>
  <si>
    <t>Bigint</t>
  </si>
  <si>
    <t>PART_NO_NORMALIZED_S4</t>
  </si>
  <si>
    <t>MATERIAL_ID</t>
  </si>
  <si>
    <t>PART_LIST_ID</t>
  </si>
  <si>
    <t>decimal(6,4)</t>
  </si>
  <si>
    <t>PART_NO_NORMALIZED</t>
  </si>
  <si>
    <t>varchar(12)</t>
  </si>
  <si>
    <t>QTY</t>
  </si>
  <si>
    <t>PERIOD_ID</t>
  </si>
  <si>
    <t>WORKING_DATE</t>
  </si>
  <si>
    <t>varchar(2)</t>
  </si>
  <si>
    <t>Y</t>
  </si>
  <si>
    <t>datetime2(7)</t>
  </si>
  <si>
    <t>TRANSACTION_DATETIME</t>
  </si>
  <si>
    <t>varchar(300)</t>
  </si>
  <si>
    <t>REFERENCE_ID</t>
  </si>
  <si>
    <t>PART_LIST_GRADE_ID</t>
  </si>
  <si>
    <t>varchar(20)</t>
  </si>
  <si>
    <t>LOT_NO</t>
  </si>
  <si>
    <t>CKD Physical Stock Issuing Transaction Details</t>
  </si>
  <si>
    <t>InvCkdPhysicalStockTransaction</t>
  </si>
  <si>
    <t>PhysicalStockTransaction</t>
  </si>
  <si>
    <t>TRANSTYPE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</si>
</sst>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vCkdPhysicalStockP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4" sqref="D84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347</v>
      </c>
      <c r="F18" s="1" t="s">
        <v>349</v>
      </c>
      <c r="G18" t="s">
        <v>348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321</v>
      </c>
      <c r="F42" s="1" t="s">
        <v>334</v>
      </c>
      <c r="G42" t="s">
        <v>334</v>
      </c>
    </row>
    <row r="43" spans="1:8" x14ac:dyDescent="0.25">
      <c r="A43" s="1"/>
      <c r="D43" t="s">
        <v>322</v>
      </c>
      <c r="F43" s="1" t="s">
        <v>328</v>
      </c>
      <c r="G43" t="s">
        <v>335</v>
      </c>
    </row>
    <row r="44" spans="1:8" x14ac:dyDescent="0.25">
      <c r="A44" s="1"/>
      <c r="D44" t="s">
        <v>324</v>
      </c>
      <c r="F44" s="1" t="s">
        <v>329</v>
      </c>
      <c r="G44" t="s">
        <v>336</v>
      </c>
    </row>
    <row r="45" spans="1:8" x14ac:dyDescent="0.25">
      <c r="A45" s="1"/>
      <c r="D45" t="s">
        <v>323</v>
      </c>
      <c r="F45" s="1" t="s">
        <v>330</v>
      </c>
      <c r="G45" t="s">
        <v>337</v>
      </c>
    </row>
    <row r="46" spans="1:8" x14ac:dyDescent="0.25">
      <c r="A46" s="1"/>
      <c r="D46" t="s">
        <v>326</v>
      </c>
      <c r="F46" s="1" t="s">
        <v>331</v>
      </c>
      <c r="G46" t="s">
        <v>338</v>
      </c>
    </row>
    <row r="47" spans="1:8" x14ac:dyDescent="0.25">
      <c r="A47" s="1"/>
      <c r="D47" t="s">
        <v>344</v>
      </c>
      <c r="F47" s="1" t="s">
        <v>345</v>
      </c>
      <c r="G47" t="s">
        <v>346</v>
      </c>
    </row>
    <row r="48" spans="1:8" x14ac:dyDescent="0.25">
      <c r="A48" s="1"/>
      <c r="D48" t="s">
        <v>327</v>
      </c>
      <c r="F48" s="1" t="s">
        <v>332</v>
      </c>
      <c r="G48" t="s">
        <v>339</v>
      </c>
    </row>
    <row r="49" spans="1:7" x14ac:dyDescent="0.25">
      <c r="A49" s="1"/>
      <c r="D49" t="s">
        <v>325</v>
      </c>
      <c r="F49" s="1" t="s">
        <v>333</v>
      </c>
      <c r="G49" t="s">
        <v>340</v>
      </c>
    </row>
    <row r="50" spans="1:7" x14ac:dyDescent="0.25">
      <c r="A50" s="1"/>
      <c r="D50" t="s">
        <v>341</v>
      </c>
      <c r="F50" s="1" t="s">
        <v>342</v>
      </c>
      <c r="G50" t="s">
        <v>343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[Table("InvCkdPhysicalStockTransaction")]
	[Index(nameof(PartNo), Name="IX_InvCkdPhysicalStockTransaction_PartNo")]
	[Index(nameof(PartListId), Name="IX_InvCkdPhysicalStockTransaction_PartListId")]
	[Index(nameof(PartListGradeId), Name="IX_InvCkdPhysicalStockTransaction_PartListGradeId")]
	[Index(nameof(MaterialId), Name="IX_InvCkdPhysicalStockTransaction_MaterialId")]
	[Index(nameof(LotNo), Name="IX_InvCkdPhysicalStockTransaction_LotNo")]
	[Index(nameof(ReferenceId), Name="IX_InvCkdPhysicalStockTransaction_ReferenceId")]
	[Index(nameof(WorkingDate), Name="IX_InvCkdPhysicalStockTransaction_WorkingDate")]
	[Index(nameof(PeriodId), Name="IX_InvCkdPhysicalStockTransaction_PeriodId")]
	public class InvCkdPhysicalStockTransaction: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[StringLength(MaxLotNoLength)]
		public virtual string LotNo { get; set; }
		public virtual long? ReferenceId { get; set; }
		public virtual DateTime? WorkingDate { get; set; }
		public virtual long? PeriodId { get; set; }
		public virtual int? Transtype { get; set; }
		[StringLength(MaxIsActiveLength)]
		public virtual string IsActive { get; set; }
	}
}
</v>
      </c>
      <c r="D68" s="48" t="str">
        <f>A.Backend!O7</f>
        <v xml:space="preserve">		public const string Pages_Inventory_CKD_PhysicalStockTransaction = "Pages.Inventory.CKD.PhysicalStockTransaction";
		public const string Pages_Inventory_CKD_PhysicalStockTransaction_CreateEdit = "Pages.Inventory.CKD.PhysicalStockTransaction.CreateEdit";
		public const string Pages_Inventory_CKD_PhysicalStockTransaction_Delete = "Pages.Inventory.CKD.PhysicalStockTransaction.Delete";
</v>
      </c>
      <c r="E68" s="48" t="str">
        <f>A.Backend!N7</f>
        <v xml:space="preserve">		var perInvCkdPhysicalStockTransaction = PARENTS.CreateChildPermission(AppPermissions.Pages_Inventory_CKD_PhysicalStockTransaction, L( "InventoryCKDPhysicalStockTransaction"), multiTenancySides: MultiTenancySides.Tenant);
		perInvCkdPhysicalStockTransaction.CreateChildPermission(AppPermissions.Pages_Inventory_CKD_PhysicalStockTransaction_CreateEdit, L( "InventoryCKDPhysicalStockTransactionCreateEdit"), multiTenancySides: MultiTenancySides.Tenant);
		perInvCkdPhysicalStockTransaction.CreateChildPermission(AppPermissions.Pages_Inventory_CKD_PhysicalStockTransaction_Delete, L( "InventoryCKDPhysicalStockTransactionDelete"), multiTenancySides: MultiTenancySides.Tenant);</v>
      </c>
      <c r="F68" s="48" t="str">
        <f>A.Backend!K7</f>
        <v>public virtual DbSet&lt;InvCkdPhysicalStockTransaction&gt; InvCkdPhysicalStockTransactions { get; set; }</v>
      </c>
      <c r="G68" s="48" t="str">
        <f ca="1">A.Backend!L7</f>
        <v xml:space="preserve">namespace prod.Inventory.CKD
{
	public class InvCkdPhysicalStockTransactionConsts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InvCkdPhysicalStockTransactionDto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string LotNo { get; set; }
		public virtual long? ReferenceId { get; set; }
		public virtual DateTime? WorkingDate { get; set; }
		public virtual long? PeriodId { get; set; }
		public virtual int? Transtype { get; set; }
		public virtual string IsActive { get; set; }
	}
	public class CreateOrEditInvCkdPhysicalStockTransactionDto : EntityDto&lt;long?&gt;	
	{
		[StringLength(InvCkdPhysicalStockTransactionConsts.MaxPartNoLength)]
		public virtual string PartNo { get; set; }
		[StringLength(InvCkdPhysicalStockTransactionConsts.MaxPartNoNormalizedLength)]
		public virtual string PartNoNormalized { get; set; }
		[StringLength(InvCkdPhysicalStockTransactionConsts.MaxPartNameLength)]
		public virtual string PartName { get; set; }
		[StringLength(InvCkdPhysicalStockTransactionConsts.MaxPartNoNormalizedS4Length)]
		public virtual string PartNoNormalizedS4 { get; set; }
		[StringLength(InvCkdPhysicalStockTransactionConsts.MaxColorSfxLength)]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[StringLength(InvCkdPhysicalStockTransactionConsts.MaxLotNoLength)]
		public virtual string LotNo { get; set; }
		public virtual long? ReferenceId { get; set; }
		public virtual DateTime? WorkingDate { get; set; }
		public virtual long? PeriodId { get; set; }
		public virtual int? Transtype { get; set; }
		[StringLength(InvCkdPhysicalStockTransactionConsts.MaxIsActiveLength)]
		public virtual string IsActive { get; set; }
	}
	public class GetInvCkdPhysicalStockTransactionInput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InvCkdPhysicalStockTransactionExportInput{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string LotNo { get; set; }
		public virtual long? ReferenceId { get; set; }
		public virtual DateTime? WorkingDate { get; set; }
		public virtual long? PeriodId { get; set; }
		public virtual int? Transtype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IInvCkdPhysicalStockTransactionAppService : IApplicationService
	{
		Task&lt;PagedResultDto&lt;InvCkdPhysicalStockTransactionDto&gt;&gt; GetAll(GetInvCkdPhysicalStockTransactionInput input);
		Task CreateOrEdit(CreateOrEditInvCkdPhysicalStockTransactionDto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IInvCkdPhysicalStockTransactionExcelExporter : IApplicationService
	{
		FileDto ExportToFile(List&lt;InvCkdPhysicalStockTransactionDto&gt; invckdphysicalstocktransaction);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InvCkdPhysicalStockTransactionExcelExporter : NpoiExcelExporterBase, IInvCkdPhysicalStockTransactionExcelExporter
    {
        public InvCkdPhysicalStockTransactionExcelExporter(ITempFileCacheManager tempFileCacheManager) : base(tempFileCacheManager) { }
        public FileDto ExportToFile(List&lt;InvCkdPhysicalStockTransactionDto&gt; physicalstocktransaction)
        {
            return CreateExcelPackage(
				"InventoryCKDPhysicalStockTransaction.xlsx",
				excelPackage =&gt;
				 {
					var sheet = excelPackage.CreateSheet("PhysicalStockTransaction");
					AddHeader(
								sheet,
								("PartNo"),
								("PartNoNormalized"),
								("PartName"),
								("PartNoNormalizedS4"),
								("ColorSfx"),
								("PartListId"),
								("PartListGradeId"),
								("MaterialId"),
								("Qty"),
								("TransactionDatetime"),
								("LotNo"),
								("ReferenceId"),
								("WorkingDate"),
								("PeriodId"),
								("Transtype"),
								("IsActive"),
							   );
					AddObjects(
						 sheet, 1, physicalstocktransaction,                                       
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_.LotNo,
								_ =&gt; _.ReferenceId,
								_ =&gt; _.WorkingDate,
								_ =&gt; _.PeriodId,
								_ =&gt; _.Transtype,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[AbpAuthorize(AppPermissions.Pages_Inventory_CKD_PhysicalStockTransaction)]
    public class InvCkdPhysicalStockTransactionAppService : vovinaAppServiceBase, IInvCkdPhysicalStockTransactionAppService
    {
        private readonly IDapperRepository&lt;InvCkdPhysicalStockTransaction, long&gt; _dapperRepo;
        private readonly IRepository&lt;InvCkdPhysicalStockTransaction, long&gt; _repo;
        private readonly IInvCkdPhysicalStockTransactionExcelExporter _calendarListExcelExporter;
        public InvCkdPhysicalStockTransactionAppService(IRepository&lt;InvCkdPhysicalStockTransaction,long&gt; repo, 
                                         IDapperRepository&lt;InvCkdPhysicalStockTransaction,long&gt; dapperRepo,
                                        IInvCkdPhysicalStockTransactionExcelExporter calendarListExcelExporter
            )
        {
            _repo = repo;
            _dapperRepo = dapperRepo;
            _calendarListExcelExporter = calendarListExcelExporter;
        }
        [AbpAuthorize(AppPermissions.Pages_Inventory_CKD_PhysicalStockTransaction_CreateEdit)]
        public async Task CreateOrEdit(CreateOrEditInvCkdPhysicalStockTransactionDto input)
        {
            if (input.Id == null) await Create(input);
            else await Update(input);
        }
        //CREATE
        private async Task Create(CreateOrEditInvCkdPhysicalStockTransactionDto input)
        {          
            var mainObj = ObjectMapper.Map&lt;InvCkdPhysicalStockTransaction&gt;(input);
            await CurrentUnitOfWork.GetDbContext&lt;vovinaDbContext&gt;().AddAsync(mainObj);
        }
        // EDIT
        private async Task Update(CreateOrEditInvCkdPhysicalStockTransactionDto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Task&lt;PagedResultDto&lt;InvCkdPhysicalStockTransactionDto&gt;&gt; GetAll(GetInvCkdPhysicalStockTransactionInput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InvCkdPhysicalStockTransactionDto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LotNo = o.LotNo,
							ReferenceId = o.ReferenceId,
							WorkingDate = o.WorkingDate,
							PeriodId = o.PeriodId,
							Transtype = o.Transtype,
							IsActive = o.IsActive,
                        };
            var totalCount = await filtered.CountAsync();
			var paged = system.PageBy(input);
            return new PagedResultDto&lt;InvCkdPhysicalStockTransactionDto&gt;(
                totalCount,
                 await paged.ToListAsync()
            );
        }
        public async Task&lt;FileDto&gt; GetPhysicalStockTransactionToExcel(InvCkdPhysicalStockTransactionExportInput input)
        {
            var query = from o in _repo.GetAll()
                        select new InvCkdPhysicalStockTransactionDto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LotNo = o.LotNo,
							ReferenceId = o.ReferenceId,
							WorkingDate = o.WorkingDate,
							PeriodId = o.PeriodId,
							Transtype = o.Transtype,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_dapperRepo.ExecuteAsync(InvCkdPhysicalStockTransactionConsts.SP_MST_WPT_CALENDAR_GENERATE);
       // }
    }
}</v>
      </c>
      <c r="N68" s="58" t="str">
        <f>A.Backend!U7</f>
        <v xml:space="preserve">  configuration.CreateMap&lt;InvCkdPhysicalStockTransactionDto, InvCkdPhysicalStockTransaction&gt;();
  configuration.CreateMap&lt;InvCkdPhysicalStockTransaction, InvCkdPhysicalStockTransactionDto&gt;();
  configuration.CreateMap&lt;CreateOrEditInvCkdPhysicalStockTransactionDto, InvCkdPhysicalStockTransaction&gt;();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physicalstocktransaction</v>
      </c>
      <c r="C73" s="66" t="str">
        <f>"create folder " &amp;B73</f>
        <v>create folder physicalstocktransaction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physicalstocktransaction.component.ts</v>
      </c>
      <c r="D74" s="28" t="str">
        <f>B.Frontend!I14</f>
        <v>physicalstocktransaction.component.html</v>
      </c>
      <c r="E74" s="28" t="str">
        <f>B.Frontend!J14</f>
        <v>physicalstocktransaction.component.less</v>
      </c>
      <c r="F74" s="28" t="str">
        <f>B.Frontend!K14</f>
        <v>create-or-edit-physicalstocktransaction-modal.component.html</v>
      </c>
      <c r="G74" s="28" t="str">
        <f>B.Frontend!L14</f>
        <v>create-or-edit-physicalstocktransaction-modal.component.ts</v>
      </c>
      <c r="H74" s="28" t="str">
        <f>B.Frontend!M14</f>
        <v>create-or-edit-physicalstocktransaction-modal.component.less</v>
      </c>
      <c r="I74" s="28" t="str">
        <f>B.Frontend!N14</f>
        <v>physicalstocktransaction.module.ts</v>
      </c>
      <c r="J74" s="28" t="str">
        <f>B.Frontend!O14</f>
        <v>physicalstocktransaction-routing.module.ts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InvCkdPhysicalStockTransactionDto, InvCkdPhysicalStockTransactionServiceProxy } from '@shared/service-proxies/service-proxies';
import { finalize } from 'rxjs/internal/operators/finalize';
import { CreateOrEditPhysicalStockTransactionModalComponent } from './create-or-edit-physicalstocktransaction-modal.component';
import { DatePipe } from '@angular/common';
import { FileDownloadService } from '@shared/utils/file-download.service';
import ceil from 'lodash-es/ceil';
import { Paginator } from 'primeng/paginator';
@Component({
    templateUrl: './physicalstocktransaction.component.html',
    styleUrls: ['./physicalstocktransaction.component.less'],
})
export class PhysicalStockTransactionComponent extends AppComponentBase implements OnInit {
    @ViewChild('createOrEditModalPhysicalStockTransaction', { static: true }) createOrEditModalPhysicalStockTransaction:| CreateOrEditPhysicalStockTransactionModalComponent|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InvCkdPhysicalStockTransactionDto = new InvCkdPhysicalStockTransactionDto();
    saveSelectedRow: InvCkdPhysicalStockTransactionDto = new InvCkdPhysicalStockTransactionDto();
    datas: InvCkdPhysicalStockTransactionDto = new InvCkdPhysicalStockTransactionDto();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partListGradeId
	materialId
	qty
	transactionDatetime
	lotNo : string = '' ; 
	referenceId
	workingDate
	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this.l('Lot No'),headerTooltip: this.l('Lot No'),field: 'lotNo',flex: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this.partListGradeId,
			this.materialId,
			this.qty,
			this.transactionDatetime,
			this.lotNo,
			this.referenceId,
			this.workingDate,
			this.periodId,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this.partListGradeId = '',
		this.materialId = '',
		this.qty = '',
		this.transactionDatetime = '',
		this.lotNo = '',
		this.referenceId = '',
		this.workingDate = '',
		this.periodId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this.partListGradeId,
			this.materialId,
			this.qty,
			this.transactionDatetime,
			this.lotNo,
			this.referenceId,
			this.workingDate,
			this.periodId,
			this.isActive,
			'',
            this.paginationParams.skipCount,
            this.paginationParams.pageSize
        );
    }
    onChangeRowSelection(params: { api: { getSelectedRows: () =&gt; InvCkdPhysicalStockTransactionDto[] } }) {
        this.saveSelectedRow = params.api.getSelectedRows()[0] ?? new InvCkdPhysicalStockTransactionDto();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this._service.getPhysicalStockTransactionToExcel(
			this.partNo,
			this.partNoNormalized,
			this.partName,
			this.partNoNormalizedS4,
			this.colorSfx,
			this.partListId,
			this.partListGradeId,
			this.materialId,
			this.qty,
			this.transactionDatetime,
			this.lotNo,
			this.referenceId,
			this.workingDate,
			this.periodId,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Physical Stock Issuing Transaction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&lt;create-or-edit-physicalstocktransaction-modal
    #createOrEditModalPhysicalStockTransaction
    (modalSave)="callBackDataGrid(dataParams)"
    (modalClose)="onChangeRowSelection(dataParams)"
&gt;
&lt;/create-or-edit-physicalstocktransaction-modal&gt;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#createOrEditModalPhysicalStockTransaction="bs-modal"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PhysicalStockTransaction')}}&lt;/h3&gt;
                    &lt;h3 *ngIf="!rowdata.id"&gt;{{('Create New PhysicalStockTransaction')}}&lt;/h3&gt;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CreateOrEditInvCkdPhysicalStockTransactionDto, InvCkdPhysicalStockTransactionServiceProxy } from '@shared/service-proxies/service-proxies';
import { BsDatepickerDirective } from 'ngx-bootstrap/datepicker';
@Component({
    selector: 'create-or-edit-physicalstocktransaction-modal',
    templateUrl: './create-or-edit-physicalstocktransaction-modal.component.html',
    styleUrls: ['./create-or-edit-physicalstocktransaction-modal.component.less']
    })
export class CreateOrEditPhysicalStockTransactionModalComponent extends AppComponentBase {
    @ViewChild('createOrEditModalPhysicalStockTransaction',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CreateOrEditInvCkdPhysicalStockTransactionDto = new CreateOrEditInvCkdPhysicalStockTransactionDto();
    active: boolean = false;
    saving: boolean = false;
    _isActive: boolean;
    constructor(
        injector: Injector,
        private _mstwptPhysicalStockTransactionService: InvCkdPhysicalStockTransactionServiceProxy,
    ) 
    {
        super(injector);
    }
    show(rowdata?: CreateOrEditInvCkdPhysicalStockTransactionDto): void {
        if (!rowdata) this.rowdata = new CreateOrEditInvCkdPhysicalStockTransactionDto();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this._mstwptPhysicalStockTransactionService.createOrEdit(this.rowdata)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PhysicalStockTransactionRoutingModule } from './physicalstocktransaction-routing.module';
import { PhysicalStockTransactionComponent } from './physicalstocktransaction.component';
import { CreateOrEditPhysicalStockTransactionModalComponent } from './create-or-edit-physicalstocktransaction-modal.component';
@NgModule({
    declarations: [
       PhysicalStockTransactionComponent, 
        CreateOrEditPhysicalStockTransactionModalComponent
    ],
    imports: [
        AppSharedModule, PhysicalStockTransactionRoutingModule]
})
export class PhysicalStockTransactionModule {}</v>
      </c>
      <c r="J75" s="46" t="str">
        <f>B.Frontend!O10</f>
        <v>import {NgModule} from '@angular/core';
import {RouterModule, Routes} from '@angular/router';
import { PhysicalStockTransactionComponent } from './physicalstocktransaction.component';
const routes: Routes = [{
    path: '',
    component: PhysicalStockTransactionComponent,
    pathMatch: 'full'
}];
@NgModule({
    imports: [RouterModule.forChild(routes)],
    exports: [RouterModule],
})
export class PhysicalStockTransactionRoutingModule {}</v>
      </c>
      <c r="K75" s="46" t="str">
        <f>B.Frontend!P10</f>
        <v xml:space="preserve"> new AppMenuItem("PhysicalStockTransaction", "Pages.Inventory.CKD.PhysicalStockTransaction", "flaticon-book",   "/app/main/inventory/ckd/physicalstocktransaction"),</v>
      </c>
      <c r="L75" s="47" t="str">
        <f>B.Frontend!Q10</f>
        <v>{
    path: 'inventory/ckd/physicalstocktransaction',
    loadChildren: () =&gt; import('./inventory/ckd/physicalstocktransaction/physicalstocktransaction.module').then(m =&gt; m.PhysicalStockTransactionModule),
    data: { permission: 'Pages.Inventory.CKD.PhysicalStockTransaction' }
},</v>
      </c>
      <c r="M75" s="45" t="str">
        <f>B.Frontend!R10</f>
        <v>ApiServiceProxies.InvCkdPhysicalStockTransactionServiceProxy,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6"/>
  <sheetViews>
    <sheetView tabSelected="1" workbookViewId="0">
      <pane xSplit="1" topLeftCell="B1" activePane="topRight" state="frozen"/>
      <selection pane="topRight" activeCell="C22" sqref="C2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381</v>
      </c>
      <c r="C3" s="9" t="s">
        <v>41</v>
      </c>
      <c r="D3" s="9" t="s">
        <v>42</v>
      </c>
      <c r="E3" s="9" t="s">
        <v>37</v>
      </c>
      <c r="F3" s="10" t="str">
        <f>"J"&amp;COUNTA($A:$A)</f>
        <v>J24</v>
      </c>
      <c r="G3" s="4" t="s">
        <v>54</v>
      </c>
      <c r="H3" s="9" t="str">
        <f>"I"&amp;COUNTA($A:$A)</f>
        <v>I24</v>
      </c>
      <c r="I3" s="9" t="str">
        <f>REPT(CHAR(9),2)&amp;"[Required]"&amp;"
"</f>
        <v xml:space="preserve">		[Required]
</v>
      </c>
      <c r="J3" s="10" t="str">
        <f>"L"&amp;COUNTA($A:$A)</f>
        <v>L24</v>
      </c>
      <c r="K3" s="5" t="s">
        <v>53</v>
      </c>
      <c r="L3" s="10" t="str">
        <f>"M"&amp;COUNTA($A:$A)</f>
        <v>M24</v>
      </c>
      <c r="M3" s="10" t="str">
        <f>"N"&amp;COUNTA($A:$A)</f>
        <v>N24</v>
      </c>
      <c r="N3" s="10" t="str">
        <f>"O"&amp;COUNTA($A:$A)</f>
        <v>O24</v>
      </c>
      <c r="O3" s="10" t="str">
        <f>"P"&amp;COUNTA($A:$A)</f>
        <v>P24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InvCkdPhysicalStockTransactionExportInput{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T24</v>
      </c>
      <c r="V3" s="10" t="str">
        <f>"V"&amp;COUNTA($A:$A)</f>
        <v>V24</v>
      </c>
      <c r="W3" s="9" t="str">
        <f>"W"&amp;COUNTA($A:$A)</f>
        <v>W24</v>
      </c>
    </row>
    <row r="4" spans="1:26" s="10" customFormat="1" ht="33" customHeight="1" x14ac:dyDescent="0.25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382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InvCkdPhysicalStockTransaction: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InvCkdPhysicalStockTransactionConsts	
	{
</v>
      </c>
      <c r="F6" s="10" t="str">
        <f>REPT(CHAR(9),1)&amp;"public class "&amp;B3&amp;"Dto"&amp;K3&amp;REPT(CHAR(9),1)&amp;"
"&amp;REPT(CHAR(9),1)&amp;C3</f>
        <v xml:space="preserve">	public class InvCkdPhysicalStockTransactionDto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CreateOrEditInvCkdPhysicalStockTransactionDto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GetInvCkdPhysicalStockTransactionInput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InvCkdPhysicalStockTransaction</v>
      </c>
      <c r="C7" s="10" t="str">
        <f>REPT(CHAR(9),1)&amp;"[Table("""&amp;B7&amp;""")]"&amp;"
"</f>
        <v xml:space="preserve">	[Table("InvCkdPhysicalStockTransaction")]
</v>
      </c>
      <c r="D7" s="10"/>
      <c r="E7" s="10"/>
      <c r="F7" s="10"/>
      <c r="G7" s="10"/>
      <c r="H7" s="10"/>
      <c r="I7" s="10"/>
      <c r="J7" t="str">
        <f ca="1">SUBSTITUTE(SUBSTITUTE((B1&amp;C6&amp;C7&amp;K26&amp;D6&amp;I26&amp;E3&amp;J26&amp;""&amp;REPT(CHAR(9),1)&amp;D3&amp;D3),"WorkingPattern",$Q$3),"Master",$B$4)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[Table("InvCkdPhysicalStockTransaction")]
	[Index(nameof(PartNo), Name="IX_InvCkdPhysicalStockTransaction_PartNo")]
	[Index(nameof(PartListId), Name="IX_InvCkdPhysicalStockTransaction_PartListId")]
	[Index(nameof(PartListGradeId), Name="IX_InvCkdPhysicalStockTransaction_PartListGradeId")]
	[Index(nameof(MaterialId), Name="IX_InvCkdPhysicalStockTransaction_MaterialId")]
	[Index(nameof(LotNo), Name="IX_InvCkdPhysicalStockTransaction_LotNo")]
	[Index(nameof(ReferenceId), Name="IX_InvCkdPhysicalStockTransaction_ReferenceId")]
	[Index(nameof(WorkingDate), Name="IX_InvCkdPhysicalStockTransaction_WorkingDate")]
	[Index(nameof(PeriodId), Name="IX_InvCkdPhysicalStockTransaction_PeriodId")]
	public class InvCkdPhysicalStockTransaction: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[StringLength(MaxLotNoLength)]
		public virtual string LotNo { get; set; }
		public virtual long? ReferenceId { get; set; }
		public virtual DateTime? WorkingDate { get; set; }
		public virtual long? PeriodId { get; set; }
		public virtual int? Transtype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DbSet&lt;InvCkdPhysicalStockTransaction&gt; InvCkdPhysicalStockTransactions { get; set; }</v>
      </c>
      <c r="L7" t="str">
        <f ca="1">SUBSTITUTE(SUBSTITUTE((C6&amp;E6&amp;I26&amp;"
"&amp;REPT(CHAR(9),2)&amp;"// Define Store Name: Format SP_ + &lt;Store Name&gt; = &lt;Store Name&gt;
"&amp;E3&amp;REPT(CHAR(9),1)&amp;D3&amp;D3),"WorkingPattern",$Q$3),"Master",$B$4)</f>
        <v xml:space="preserve">namespace prod.Inventory.CKD
{
	public class InvCkdPhysicalStockTransactionConsts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"&amp;B6&amp;".Dto"&amp;E3&amp;C3&amp;F6&amp;M26&amp;E3&amp;REPT(CHAR(9),1)&amp;D3&amp;G6&amp;N26&amp;REPT(CHAR(9),1)&amp;D3&amp;H6&amp;O26&amp;"
"&amp;REPT(CHAR(9),1)&amp;D3&amp;D3),"WorkingPattern",$Q$3),"Master",$B$4)</f>
        <v xml:space="preserve">using Abp.Application.Services.Dto;
using System;
using System.ComponentModel.DataAnnotations;
namespace prod.Inventory.CKD.Dto
{
	public class InvCkdPhysicalStockTransactionDto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string LotNo { get; set; }
		public virtual long? ReferenceId { get; set; }
		public virtual DateTime? WorkingDate { get; set; }
		public virtual long? PeriodId { get; set; }
		public virtual int? Transtype { get; set; }
		public virtual string IsActive { get; set; }
	}
	public class CreateOrEditInvCkdPhysicalStockTransactionDto : EntityDto&lt;long?&gt;	
	{
		[StringLength(InvCkdPhysicalStockTransactionConsts.MaxPartNoLength)]
		public virtual string PartNo { get; set; }
		[StringLength(InvCkdPhysicalStockTransactionConsts.MaxPartNoNormalizedLength)]
		public virtual string PartNoNormalized { get; set; }
		[StringLength(InvCkdPhysicalStockTransactionConsts.MaxPartNameLength)]
		public virtual string PartName { get; set; }
		[StringLength(InvCkdPhysicalStockTransactionConsts.MaxPartNoNormalizedS4Length)]
		public virtual string PartNoNormalizedS4 { get; set; }
		[StringLength(InvCkdPhysicalStockTransactionConsts.MaxColorSfxLength)]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[StringLength(InvCkdPhysicalStockTransactionConsts.MaxLotNoLength)]
		public virtual string LotNo { get; set; }
		public virtual long? ReferenceId { get; set; }
		public virtual DateTime? WorkingDate { get; set; }
		public virtual long? PeriodId { get; set; }
		public virtual int? Transtype { get; set; }
		[StringLength(InvCkdPhysicalStockTransactionConsts.MaxIsActiveLength)]
		public virtual string IsActive { get; set; }
	}
	public class GetInvCkdPhysicalStockTransactionInput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perInvCkdPhysicalStockTransaction = PARENTS.CreateChildPermission(AppPermissions.Pages_Inventory_CKD_PhysicalStockTransaction, L( "InventoryCKDPhysicalStockTransaction"), multiTenancySides: MultiTenancySides.Tenant);
		perInvCkdPhysicalStockTransaction.CreateChildPermission(AppPermissions.Pages_Inventory_CKD_PhysicalStockTransaction_CreateEdit, L( "InventoryCKDPhysicalStockTransactionCreateEdit"), multiTenancySides: MultiTenancySides.Tenant);
		perInvCkdPhysicalStockTransaction.CreateChildPermission(AppPermissions.Pages_Inventory_CKD_PhysicalStockTransaction_Delete, L( "InventoryCKDPhysicalStockTransactionDelete"),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Pages_Inventory_CKD_PhysicalStockTransaction = "Pages.Inventory.CKD.PhysicalStockTransaction";
		public const string Pages_Inventory_CKD_PhysicalStockTransaction_CreateEdit = "Pages.Inventory.CKD.PhysicalStockTransaction.CreateEdit";
		public const string Pages_Inventory_CKD_PhysicalStockTransaction_Delete = "Pages.Inventory.CKD.PhysicalStockTransaction.Delete";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IInvCkdPhysicalStockTransactionAppService : IApplicationService
	{
		Task&lt;PagedResultDto&lt;InvCkdPhysicalStockTransactionDto&gt;&gt; GetAll(GetInvCkdPhysicalStockTransactionInput input);
		Task CreateOrEdit(CreateOrEditInvCkdPhysicalStockTransactionDto input);
		Task Delete(EntityDto input);
	}
}
</v>
      </c>
      <c r="Q7" t="str">
        <f ca="1">SUBSTITUTE(SUBSTITUTE(SUBSTITUTE(SUBSTITUTE(SUBSTITUTE(SUBSTITUTE(E1,"MstWptCalendar",$B$3),"&lt;PROPERTIES&gt;",P26),"Calendar",$B$5),"WorkingPattern",$Q$3),"Master",$B$4),"&lt;PARAMS_SEARCH&gt;",$W$26)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[AbpAuthorize(AppPermissions.Pages_Inventory_CKD_PhysicalStockTransaction)]
    public class InvCkdPhysicalStockTransactionAppService : vovinaAppServiceBase, IInvCkdPhysicalStockTransactionAppService
    {
        private readonly IDapperRepository&lt;InvCkdPhysicalStockTransaction, long&gt; _dapperRepo;
        private readonly IRepository&lt;InvCkdPhysicalStockTransaction, long&gt; _repo;
        private readonly IInvCkdPhysicalStockTransactionExcelExporter _calendarListExcelExporter;
        public InvCkdPhysicalStockTransactionAppService(IRepository&lt;InvCkdPhysicalStockTransaction,long&gt; repo, 
                                         IDapperRepository&lt;InvCkdPhysicalStockTransaction,long&gt; dapperRepo,
                                        IInvCkdPhysicalStockTransactionExcelExporter calendarListExcelExporter
            )
        {
            _repo = repo;
            _dapperRepo = dapperRepo;
            _calendarListExcelExporter = calendarListExcelExporter;
        }
        [AbpAuthorize(AppPermissions.Pages_Inventory_CKD_PhysicalStockTransaction_CreateEdit)]
        public async Task CreateOrEdit(CreateOrEditInvCkdPhysicalStockTransactionDto input)
        {
            if (input.Id == null) await Create(input);
            else await Update(input);
        }
        //CREATE
        private async Task Create(CreateOrEditInvCkdPhysicalStockTransactionDto input)
        {          
            var mainObj = ObjectMapper.Map&lt;InvCkdPhysicalStockTransaction&gt;(input);
            await CurrentUnitOfWork.GetDbContext&lt;vovinaDbContext&gt;().AddAsync(mainObj);
        }
        // EDIT
        private async Task Update(CreateOrEditInvCkdPhysicalStockTransactionDto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Task&lt;PagedResultDto&lt;InvCkdPhysicalStockTransactionDto&gt;&gt; GetAll(GetInvCkdPhysicalStockTransactionInput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InvCkdPhysicalStockTransactionDto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LotNo = o.LotNo,
							ReferenceId = o.ReferenceId,
							WorkingDate = o.WorkingDate,
							PeriodId = o.PeriodId,
							Transtype = o.Transtype,
							IsActive = o.IsActive,
                        };
            var totalCount = await filtered.CountAsync();
			var paged = system.PageBy(input);
            return new PagedResultDto&lt;InvCkdPhysicalStockTransactionDto&gt;(
                totalCount,
                 await paged.ToListAsync()
            );
        }
        public async Task&lt;FileDto&gt; GetPhysicalStockTransactionToExcel(InvCkdPhysicalStockTransactionExportInput input)
        {
            var query = from o in _repo.GetAll()
                        select new InvCkdPhysicalStockTransactionDto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LotNo = o.LotNo,
							ReferenceId = o.ReferenceId,
							WorkingDate = o.WorkingDate,
							PeriodId = o.PeriodId,
							Transtype = o.Transtype,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_dapperRepo.ExecuteAsync(InvCkdPhysicalStockTransactionConsts.SP_MST_WPT_CALENDAR_GENERATE);
       // }
    }
}</v>
      </c>
      <c r="R7" t="str">
        <f ca="1">SUBSTITUTE(SUBSTITUTE((C1&amp;"namespace "&amp;B6&amp;".Dto"&amp;E3&amp;C3&amp;R3&amp;M26&amp;E3&amp;REPT(CHAR(9),1)&amp;D3&amp;D3),"WorkingPattern",$Q$3),"Master",$B$4)</f>
        <v xml:space="preserve">using Abp.Application.Services.Dto;
using System;
using System.ComponentModel.DataAnnotations;
namespace prod.Inventory.CKD.Dto
{
	public class InvCkdPhysicalStockTransactionExportInput{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string LotNo { get; set; }
		public virtual long? ReferenceId { get; set; }
		public virtual DateTime? WorkingDate { get; set; }
		public virtual long? PeriodId { get; set; }
		public virtual int? Transtype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IInvCkdPhysicalStockTransactionExcelExporter : IApplicationService
	{
		FileDto ExportToFile(List&lt;InvCkdPhysicalStockTransactionDto&gt; invckdphysicalstocktransaction);
	}
}
</v>
      </c>
      <c r="T7" s="26" t="str">
        <f ca="1">SUBSTITUTE(SUBSTITUTE(SUBSTITUTE(SUBSTITUTE(SUBSTITUTE(SUBSTITUTE(SUBSTITUTE(T1,"MstWptCalendar",$B$3),"&lt;PROPERTIES1&gt;",V26),"&lt;PROPERTIES&gt;",T26),"Calendar",$B$5),"calendar",LOWER(B5)),"WorkingPattern",$Q$3),"Master",$B$4)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InvCkdPhysicalStockTransactionExcelExporter : NpoiExcelExporterBase, IInvCkdPhysicalStockTransactionExcelExporter
    {
        public InvCkdPhysicalStockTransactionExcelExporter(ITempFileCacheManager tempFileCacheManager) : base(tempFileCacheManager) { }
        public FileDto ExportToFile(List&lt;InvCkdPhysicalStockTransactionDto&gt; physicalstocktransaction)
        {
            return CreateExcelPackage(
				"InventoryCKDPhysicalStockTransaction.xlsx",
				excelPackage =&gt;
				 {
					var sheet = excelPackage.CreateSheet("PhysicalStockTransaction");
					AddHeader(
								sheet,
								("PartNo"),
								("PartNoNormalized"),
								("PartName"),
								("PartNoNormalizedS4"),
								("ColorSfx"),
								("PartListId"),
								("PartListGradeId"),
								("MaterialId"),
								("Qty"),
								("TransactionDatetime"),
								("LotNo"),
								("ReferenceId"),
								("WorkingDate"),
								("PeriodId"),
								("Transtype"),
								("IsActive"),
							   );
					AddObjects(
						 sheet, 1, physicalstocktransaction,                                       
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_.LotNo,
								_ =&gt; _.ReferenceId,
								_ =&gt; _.WorkingDate,
								_ =&gt; _.PeriodId,
								_ =&gt; _.Transtype,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configuration.CreateMap&lt;InvCkdPhysicalStockTransactionDto, InvCkdPhysicalStockTransaction&gt;();
  configuration.CreateMap&lt;InvCkdPhysicalStockTransaction, InvCkdPhysicalStockTransactionDto&gt;();
  configuration.CreateMap&lt;CreateOrEditInvCkdPhysicalStockTransactionDto, InvCkdPhysicalStockTransaction&gt;();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358</v>
      </c>
      <c r="B9" t="s">
        <v>367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12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12;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 t="s">
        <v>372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[Index(nameof(PartNo), Name="IX_InvCkdPhysicalStockTransaction_PartNo")]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[StringLength(InvCkdPhysicalStockTransactionConsts.MaxPartNoLength)]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366</v>
      </c>
      <c r="B10" t="s">
        <v>367</v>
      </c>
      <c r="C10" t="s">
        <v>1</v>
      </c>
      <c r="D10" t="str">
        <f t="shared" si="0"/>
        <v>PartNoNormalized</v>
      </c>
      <c r="E10" t="str">
        <f t="shared" si="1"/>
        <v>varchar</v>
      </c>
      <c r="F10" s="6"/>
      <c r="G10" t="str">
        <f t="shared" si="2"/>
        <v>12</v>
      </c>
      <c r="H10" t="str">
        <f>+VLOOKUP(E10,'Data Type Mapping'!A:B,2,)</f>
        <v>string</v>
      </c>
      <c r="I10" t="str">
        <f t="shared" si="3"/>
        <v xml:space="preserve">		public const int MaxPartNoNormalizedLength = 12;
</v>
      </c>
      <c r="J10" t="str">
        <f t="shared" si="4"/>
        <v xml:space="preserve">		[StringLength(MaxPartNoNormalizedLength)]
		public virtual string PartNoNormalized { get; set; }
</v>
      </c>
      <c r="K10" s="6"/>
      <c r="L10" t="str">
        <f t="shared" si="5"/>
        <v/>
      </c>
      <c r="M10" t="str">
        <f t="shared" si="6"/>
        <v xml:space="preserve">		public virtual string PartNoNormalized { get; set; }
</v>
      </c>
      <c r="N10" t="str">
        <f t="shared" si="7"/>
        <v xml:space="preserve">		[StringLength(InvCkdPhysicalStockTransactionConsts.MaxPartNoNormalizedLength)]
		public virtual string PartNoNormalized { get; set; }
</v>
      </c>
      <c r="O10" t="str">
        <f t="shared" si="8"/>
        <v xml:space="preserve">		public virtual string PartNoNormalized { get; set; }
</v>
      </c>
      <c r="P10" t="str">
        <f t="shared" si="9"/>
        <v xml:space="preserve">							PartNoNormalized = o.PartNoNormalized,</v>
      </c>
      <c r="T10" s="64" t="str">
        <f t="shared" si="10"/>
        <v xml:space="preserve">								("PartNoNormalized"),</v>
      </c>
      <c r="V10" s="65" t="str">
        <f t="shared" si="11"/>
        <v xml:space="preserve">								_ =&gt; _.PartNoNormalized,</v>
      </c>
      <c r="W10" s="64" t="str">
        <f t="shared" si="12"/>
        <v xml:space="preserve">				.WhereIf(!string.IsNullOrWhiteSpace(input.PartNoNormalized), e =&gt; e.PartNoNormalized.Contains(input.PartNoNormalized))</v>
      </c>
      <c r="X10" t="str">
        <f t="shared" ref="X10" si="13">IF(E10="VARCHAR","Char",(IF(E10="DATE","Date","Number")))</f>
        <v>Char</v>
      </c>
      <c r="Y10" t="str">
        <f t="shared" ref="Y10" si="14">IF(X10="Char","Left",IF(X10="Date","Center","Right"))</f>
        <v>Left</v>
      </c>
      <c r="Z10" t="str">
        <f t="shared" ref="Z10" si="15">IF(X10="Char","",IF(X10="Date","DD/MM/YYYY",IF(H10="decimal?","#,###.####","#,###")))</f>
        <v/>
      </c>
    </row>
    <row r="11" spans="1:26" customFormat="1" ht="18.75" customHeight="1" x14ac:dyDescent="0.25">
      <c r="A11" t="s">
        <v>359</v>
      </c>
      <c r="B11" t="s">
        <v>375</v>
      </c>
      <c r="C11" t="s">
        <v>1</v>
      </c>
      <c r="D11" t="str">
        <f t="shared" ref="D11:D17" si="16">SUBSTITUTE(PROPER(A11),"_","")</f>
        <v>PartName</v>
      </c>
      <c r="E11" t="str">
        <f t="shared" ref="E11:E17" si="17">IFERROR(LEFT(B11, FIND("(",B11)-1),B11)</f>
        <v>varchar</v>
      </c>
      <c r="F11" s="6"/>
      <c r="G11" t="str">
        <f t="shared" ref="G11:G17" si="18">IFERROR(MID(B11,FIND("(",B11) +1, FIND(")",B11) - FIND("(",B11) - 1),"")</f>
        <v>300</v>
      </c>
      <c r="H11" t="str">
        <f>+VLOOKUP(E11,'Data Type Mapping'!A:B,2,)</f>
        <v>string</v>
      </c>
      <c r="I11" t="str">
        <f t="shared" ref="I11:I17" si="19">IF(H11="string",REPT(CHAR(9),2)&amp;"public const int Max"&amp;D11&amp;"Length = "&amp;G11&amp;";"&amp;$E$3,"" )</f>
        <v xml:space="preserve">		public const int MaxPartNameLength = 300;
</v>
      </c>
      <c r="J11" t="str">
        <f t="shared" ref="J11:J17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[StringLength(MaxPartNameLength)]
		public virtual string PartName { get; set; }
</v>
      </c>
      <c r="K11" s="6"/>
      <c r="L11" t="str">
        <f t="shared" ref="L11:L17" si="21">IF(K11="","",REPT(CHAR(9),1)&amp;"[Index(nameof("&amp;IF(D11="","",""&amp;D11)&amp;")"&amp;", Name="&amp;"""IX_"&amp;$B$7&amp;"_"&amp;D11&amp;""")]")</f>
        <v/>
      </c>
      <c r="M11" t="str">
        <f t="shared" ref="M11:M17" si="22">REPT(CHAR(9),2)&amp;"public virtual "&amp;IF(OR(H11="DateTime",H11="TimeSpan"),H11&amp;"?",H11)&amp;IF(C11="?","? "," ")&amp;D11&amp;" { get; set; }" &amp; "
"</f>
        <v xml:space="preserve">		public virtual string PartName { get; set; }
</v>
      </c>
      <c r="N11" t="str">
        <f t="shared" ref="N11:N17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[StringLength(InvCkdPhysicalStockTransactionConsts.MaxPartNameLength)]
		public virtual string PartName { get; set; }
</v>
      </c>
      <c r="O11" t="str">
        <f t="shared" ref="O11:O17" si="24">IF(OR(H11="string",H11="DateTime",H11="int"),REPT(CHAR(9),2)&amp;"public virtual "&amp;IF(OR(H11="DateTime",H11="TimeSpan"),H11&amp;"?",H11)&amp;IF(C11="?","? "," ")&amp;D11&amp;" { get; set; }"&amp;$E$3,"")</f>
        <v xml:space="preserve">		public virtual string PartName { get; set; }
</v>
      </c>
      <c r="P11" t="str">
        <f t="shared" ref="P11:P17" si="25">REPT(CHAR(9),7)&amp;D11&amp;" = o." &amp;D11 &amp;","</f>
        <v xml:space="preserve">							PartName = o.PartName,</v>
      </c>
      <c r="T11" s="64" t="str">
        <f t="shared" ref="T11:T17" si="26">REPT(CHAR(9),8)&amp;"("""&amp;D11&amp;"""),"</f>
        <v xml:space="preserve">								("PartName"),</v>
      </c>
      <c r="V11" s="65" t="str">
        <f t="shared" ref="V11:V17" si="27">REPT(CHAR(9),8)&amp;"_ =&gt; _."&amp;D11&amp;","</f>
        <v xml:space="preserve">								_ =&gt; _.PartName,</v>
      </c>
      <c r="W11" s="64" t="str">
        <f t="shared" ref="W11:W17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.WhereIf(!string.IsNullOrWhiteSpace(input.PartName), e =&gt; e.PartName.Contains(input.PartName))</v>
      </c>
      <c r="X11" t="str">
        <f t="shared" ref="X11:X24" si="29">IF(E11="VARCHAR","Char",(IF(E11="DATE","Date","Number")))</f>
        <v>Char</v>
      </c>
      <c r="Y11" t="str">
        <f t="shared" ref="Y11:Y24" si="30">IF(X11="Char","Left",IF(X11="Date","Center","Right"))</f>
        <v>Left</v>
      </c>
      <c r="Z11" t="str">
        <f t="shared" ref="Z11:Z24" si="31">IF(X11="Char","",IF(X11="Date","DD/MM/YYYY",IF(H11="decimal?","#,###.####","#,###")))</f>
        <v/>
      </c>
    </row>
    <row r="12" spans="1:26" customFormat="1" ht="18.75" customHeight="1" x14ac:dyDescent="0.25">
      <c r="A12" t="s">
        <v>362</v>
      </c>
      <c r="B12" t="s">
        <v>351</v>
      </c>
      <c r="C12" t="s">
        <v>1</v>
      </c>
      <c r="D12" t="str">
        <f t="shared" si="16"/>
        <v>PartNoNormalizedS4</v>
      </c>
      <c r="E12" t="str">
        <f t="shared" si="17"/>
        <v>varchar</v>
      </c>
      <c r="F12" s="6"/>
      <c r="G12" t="str">
        <f t="shared" si="18"/>
        <v>10</v>
      </c>
      <c r="H12" t="str">
        <f>+VLOOKUP(E12,'Data Type Mapping'!A:B,2,)</f>
        <v>string</v>
      </c>
      <c r="I12" t="str">
        <f t="shared" si="19"/>
        <v xml:space="preserve">		public const int MaxPartNoNormalizedS4Length = 10;
</v>
      </c>
      <c r="J12" t="str">
        <f t="shared" si="20"/>
        <v xml:space="preserve">		[StringLength(MaxPartNoNormalizedS4Length)]
		public virtual string PartNoNormalizedS4 { get; set; }
</v>
      </c>
      <c r="K12" s="6"/>
      <c r="L12" t="str">
        <f t="shared" si="21"/>
        <v/>
      </c>
      <c r="M12" t="str">
        <f t="shared" si="22"/>
        <v xml:space="preserve">		public virtual string PartNoNormalizedS4 { get; set; }
</v>
      </c>
      <c r="N12" t="str">
        <f t="shared" si="23"/>
        <v xml:space="preserve">		[StringLength(InvCkdPhysicalStockTransactionConsts.MaxPartNoNormalizedS4Length)]
		public virtual string PartNoNormalizedS4 { get; set; }
</v>
      </c>
      <c r="O12" t="str">
        <f t="shared" si="24"/>
        <v xml:space="preserve">		public virtual string PartNoNormalizedS4 { get; set; }
</v>
      </c>
      <c r="P12" t="str">
        <f t="shared" si="25"/>
        <v xml:space="preserve">							PartNoNormalizedS4 = o.PartNoNormalizedS4,</v>
      </c>
      <c r="T12" s="64" t="str">
        <f t="shared" si="26"/>
        <v xml:space="preserve">								("PartNoNormalizedS4"),</v>
      </c>
      <c r="V12" s="65" t="str">
        <f t="shared" si="27"/>
        <v xml:space="preserve">								_ =&gt; _.PartNoNormalizedS4,</v>
      </c>
      <c r="W12" s="64" t="str">
        <f t="shared" si="28"/>
        <v xml:space="preserve">				.WhereIf(!string.IsNullOrWhiteSpace(input.PartNoNormalizedS4), e =&gt; e.PartNoNormalizedS4.Contains(input.PartNoNormalizedS4))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25">
      <c r="A13" t="s">
        <v>360</v>
      </c>
      <c r="B13" t="s">
        <v>371</v>
      </c>
      <c r="C13" t="s">
        <v>1</v>
      </c>
      <c r="D13" t="str">
        <f t="shared" si="16"/>
        <v>ColorSfx</v>
      </c>
      <c r="E13" t="str">
        <f t="shared" si="17"/>
        <v>varchar</v>
      </c>
      <c r="F13" s="6"/>
      <c r="G13" t="str">
        <f t="shared" si="18"/>
        <v>2</v>
      </c>
      <c r="H13" t="str">
        <f>+VLOOKUP(E13,'Data Type Mapping'!A:B,2,)</f>
        <v>string</v>
      </c>
      <c r="I13" t="str">
        <f t="shared" si="19"/>
        <v xml:space="preserve">		public const int MaxColorSfxLength = 2;
</v>
      </c>
      <c r="J13" t="str">
        <f t="shared" si="20"/>
        <v xml:space="preserve">		[StringLength(MaxColorSfxLength)]
		public virtual string ColorSfx { get; set; }
</v>
      </c>
      <c r="K13" s="6"/>
      <c r="L13" t="str">
        <f t="shared" si="21"/>
        <v/>
      </c>
      <c r="M13" t="str">
        <f t="shared" si="22"/>
        <v xml:space="preserve">		public virtual string ColorSfx { get; set; }
</v>
      </c>
      <c r="N13" t="str">
        <f t="shared" si="23"/>
        <v xml:space="preserve">		[StringLength(InvCkdPhysicalStockTransactionConsts.MaxColorSfxLength)]
		public virtual string ColorSfx { get; set; }
</v>
      </c>
      <c r="O13" t="str">
        <f t="shared" si="24"/>
        <v xml:space="preserve">		public virtual string ColorSfx { get; set; }
</v>
      </c>
      <c r="P13" t="str">
        <f t="shared" si="25"/>
        <v xml:space="preserve">							ColorSfx = o.ColorSfx,</v>
      </c>
      <c r="T13" s="64" t="str">
        <f t="shared" si="26"/>
        <v xml:space="preserve">								("ColorSfx"),</v>
      </c>
      <c r="V13" s="65" t="str">
        <f t="shared" si="27"/>
        <v xml:space="preserve">								_ =&gt; _.ColorSfx,</v>
      </c>
      <c r="W13" s="64" t="str">
        <f t="shared" si="28"/>
        <v xml:space="preserve">				.WhereIf(!string.IsNullOrWhiteSpace(input.ColorSfx), e =&gt; e.ColorSfx.Contains(input.ColorSfx))</v>
      </c>
      <c r="X13" t="str">
        <f t="shared" ref="X13" si="32">IF(E13="VARCHAR","Char",(IF(E13="DATE","Date","Number")))</f>
        <v>Char</v>
      </c>
      <c r="Y13" t="str">
        <f t="shared" ref="Y13" si="33">IF(X13="Char","Left",IF(X13="Date","Center","Right"))</f>
        <v>Left</v>
      </c>
      <c r="Z13" t="str">
        <f t="shared" ref="Z13" si="34">IF(X13="Char","",IF(X13="Date","DD/MM/YYYY",IF(H13="decimal?","#,###.####","#,###")))</f>
        <v/>
      </c>
    </row>
    <row r="14" spans="1:26" customFormat="1" ht="18.75" customHeight="1" x14ac:dyDescent="0.25">
      <c r="A14" t="s">
        <v>364</v>
      </c>
      <c r="B14" t="s">
        <v>361</v>
      </c>
      <c r="C14" t="s">
        <v>1</v>
      </c>
      <c r="D14" t="str">
        <f>SUBSTITUTE(PROPER(A14),"_","")</f>
        <v>PartListId</v>
      </c>
      <c r="E14" t="str">
        <f>IFERROR(LEFT(B14, FIND("(",B14)-1),B14)</f>
        <v>Bigint</v>
      </c>
      <c r="F14" s="6"/>
      <c r="G14" t="str">
        <f>IFERROR(MID(B14,FIND("(",B14) +1, FIND(")",B14) - FIND("(",B14) - 1),"")</f>
        <v/>
      </c>
      <c r="H14" t="str">
        <f>+VLOOKUP(E14,'Data Type Mapping'!A:B,2,)</f>
        <v>long?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long? PartListId { get; set; }
</v>
      </c>
      <c r="K14" s="6" t="s">
        <v>372</v>
      </c>
      <c r="L14" t="str">
        <f>IF(K14="","",REPT(CHAR(9),1)&amp;"[Index(nameof("&amp;IF(D14="","",""&amp;D14)&amp;")"&amp;", Name="&amp;"""IX_"&amp;$B$7&amp;"_"&amp;D14&amp;""")]")</f>
        <v xml:space="preserve">	[Index(nameof(PartListId), Name="IX_InvCkdPhysicalStockTransaction_PartListId")]</v>
      </c>
      <c r="M14" t="str">
        <f>REPT(CHAR(9),2)&amp;"public virtual "&amp;IF(OR(H14="DateTime",H14="TimeSpan"),H14&amp;"?",H14)&amp;IF(C14="?","? "," ")&amp;D14&amp;" { get; set; }" &amp; "
"</f>
        <v xml:space="preserve">		public virtual long? PartListId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long? PartListId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PartListId = o.PartListId,</v>
      </c>
      <c r="T14" s="64" t="str">
        <f>REPT(CHAR(9),8)&amp;"("""&amp;D14&amp;"""),"</f>
        <v xml:space="preserve">								("PartListId"),</v>
      </c>
      <c r="V14" s="65" t="str">
        <f>REPT(CHAR(9),8)&amp;"_ =&gt; _."&amp;D14&amp;","</f>
        <v xml:space="preserve">								_ =&gt; _.PartListId,</v>
      </c>
      <c r="W14" s="64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  <c r="X14" t="str">
        <f>IF(E14="VARCHAR","Char",(IF(E14="DATE","Date","Number")))</f>
        <v>Number</v>
      </c>
      <c r="Y14" t="str">
        <f>IF(X14="Char","Left",IF(X14="Date","Center","Right"))</f>
        <v>Right</v>
      </c>
      <c r="Z14" t="str">
        <f>IF(X14="Char","",IF(X14="Date","DD/MM/YYYY",IF(H14="decimal?","#,###.####","#,###")))</f>
        <v>#,###</v>
      </c>
    </row>
    <row r="15" spans="1:26" customFormat="1" ht="18.75" customHeight="1" x14ac:dyDescent="0.25">
      <c r="A15" t="s">
        <v>377</v>
      </c>
      <c r="B15" t="s">
        <v>361</v>
      </c>
      <c r="C15" t="s">
        <v>1</v>
      </c>
      <c r="D15" t="str">
        <f>SUBSTITUTE(PROPER(A15),"_","")</f>
        <v>PartListGradeId</v>
      </c>
      <c r="E15" t="str">
        <f>IFERROR(LEFT(B15, FIND("(",B15)-1),B15)</f>
        <v>Bigint</v>
      </c>
      <c r="F15" s="6"/>
      <c r="G15" t="str">
        <f>IFERROR(MID(B15,FIND("(",B15) +1, FIND(")",B15) - FIND("(",B15) - 1),"")</f>
        <v/>
      </c>
      <c r="H15" t="str">
        <f>+VLOOKUP(E15,'Data Type Mapping'!A:B,2,)</f>
        <v>long?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PartListGradeId { get; set; }
</v>
      </c>
      <c r="K15" s="6" t="s">
        <v>372</v>
      </c>
      <c r="L15" t="str">
        <f>IF(K15="","",REPT(CHAR(9),1)&amp;"[Index(nameof("&amp;IF(D15="","",""&amp;D15)&amp;")"&amp;", Name="&amp;"""IX_"&amp;$B$7&amp;"_"&amp;D15&amp;""")]")</f>
        <v xml:space="preserve">	[Index(nameof(PartListGradeId), Name="IX_InvCkdPhysicalStockTransaction_PartListGradeId")]</v>
      </c>
      <c r="M15" t="str">
        <f>REPT(CHAR(9),2)&amp;"public virtual "&amp;IF(OR(H15="DateTime",H15="TimeSpan"),H15&amp;"?",H15)&amp;IF(C15="?","? "," ")&amp;D15&amp;" { get; set; }" &amp; "
"</f>
        <v xml:space="preserve">		public virtual long? PartListGradeId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PartListGradeId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PartListGradeId = o.PartListGradeId,</v>
      </c>
      <c r="T15" s="64" t="str">
        <f>REPT(CHAR(9),8)&amp;"("""&amp;D15&amp;"""),"</f>
        <v xml:space="preserve">								("PartListGradeId"),</v>
      </c>
      <c r="V15" s="65" t="str">
        <f>REPT(CHAR(9),8)&amp;"_ =&gt; _."&amp;D15&amp;","</f>
        <v xml:space="preserve">								_ =&gt; _.PartListGradeId,</v>
      </c>
      <c r="W15" s="64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  <c r="X15" t="str">
        <f>IF(E15="VARCHAR","Char",(IF(E15="DATE","Date","Number")))</f>
        <v>Number</v>
      </c>
      <c r="Y15" t="str">
        <f>IF(X15="Char","Left",IF(X15="Date","Center","Right"))</f>
        <v>Right</v>
      </c>
      <c r="Z15" t="str">
        <f>IF(X15="Char","",IF(X15="Date","DD/MM/YYYY",IF(H15="decimal?","#,###.####","#,###")))</f>
        <v>#,###</v>
      </c>
    </row>
    <row r="16" spans="1:26" customFormat="1" ht="18.75" customHeight="1" x14ac:dyDescent="0.25">
      <c r="A16" t="s">
        <v>363</v>
      </c>
      <c r="B16" t="s">
        <v>361</v>
      </c>
      <c r="C16" t="s">
        <v>1</v>
      </c>
      <c r="D16" t="str">
        <f>SUBSTITUTE(PROPER(A16),"_","")</f>
        <v>MaterialId</v>
      </c>
      <c r="E16" t="str">
        <f>IFERROR(LEFT(B16, FIND("(",B16)-1),B16)</f>
        <v>Bigint</v>
      </c>
      <c r="F16" s="6"/>
      <c r="G16" t="str">
        <f>IFERROR(MID(B16,FIND("(",B16) +1, FIND(")",B16) - FIND("(",B16) - 1),"")</f>
        <v/>
      </c>
      <c r="H16" t="str">
        <f>+VLOOKUP(E16,'Data Type Mapping'!A:B,2,)</f>
        <v>long?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MaterialId { get; set; }
</v>
      </c>
      <c r="K16" s="6" t="s">
        <v>372</v>
      </c>
      <c r="L16" t="str">
        <f>IF(K16="","",REPT(CHAR(9),1)&amp;"[Index(nameof("&amp;IF(D16="","",""&amp;D16)&amp;")"&amp;", Name="&amp;"""IX_"&amp;$B$7&amp;"_"&amp;D16&amp;""")]")</f>
        <v xml:space="preserve">	[Index(nameof(MaterialId), Name="IX_InvCkdPhysicalStockTransaction_MaterialId")]</v>
      </c>
      <c r="M16" t="str">
        <f>REPT(CHAR(9),2)&amp;"public virtual "&amp;IF(OR(H16="DateTime",H16="TimeSpan"),H16&amp;"?",H16)&amp;IF(C16="?","? "," ")&amp;D16&amp;" { get; set; }" &amp; "
"</f>
        <v xml:space="preserve">		public virtual long? MaterialId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MaterialId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MaterialId = o.MaterialId,</v>
      </c>
      <c r="T16" s="64" t="str">
        <f>REPT(CHAR(9),8)&amp;"("""&amp;D16&amp;"""),"</f>
        <v xml:space="preserve">								("MaterialId"),</v>
      </c>
      <c r="V16" s="65" t="str">
        <f>REPT(CHAR(9),8)&amp;"_ =&gt; _."&amp;D16&amp;","</f>
        <v xml:space="preserve">								_ =&gt; _.MaterialId,</v>
      </c>
      <c r="W16" s="64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>IF(E16="VARCHAR","Char",(IF(E16="DATE","Date","Number")))</f>
        <v>Number</v>
      </c>
      <c r="Y16" t="str">
        <f>IF(X16="Char","Left",IF(X16="Date","Center","Right"))</f>
        <v>Right</v>
      </c>
      <c r="Z16" t="str">
        <f>IF(X16="Char","",IF(X16="Date","DD/MM/YYYY",IF(H16="decimal?","#,###.####","#,###")))</f>
        <v>#,###</v>
      </c>
    </row>
    <row r="17" spans="1:26" customFormat="1" ht="18.75" customHeight="1" x14ac:dyDescent="0.25">
      <c r="A17" t="s">
        <v>368</v>
      </c>
      <c r="B17" t="s">
        <v>365</v>
      </c>
      <c r="C17" t="s">
        <v>1</v>
      </c>
      <c r="D17" t="str">
        <f t="shared" si="16"/>
        <v>Qty</v>
      </c>
      <c r="E17" t="str">
        <f t="shared" si="17"/>
        <v>decimal</v>
      </c>
      <c r="F17" s="6"/>
      <c r="G17" t="str">
        <f t="shared" si="18"/>
        <v>6,4</v>
      </c>
      <c r="H17" t="str">
        <f>+VLOOKUP(E17,'Data Type Mapping'!A:B,2,)</f>
        <v>decimal?</v>
      </c>
      <c r="I17" t="str">
        <f t="shared" si="19"/>
        <v/>
      </c>
      <c r="J17" t="str">
        <f t="shared" si="20"/>
        <v xml:space="preserve">		public virtual decimal? Qty { get; set; }
</v>
      </c>
      <c r="K17" s="6"/>
      <c r="L17" t="str">
        <f t="shared" si="21"/>
        <v/>
      </c>
      <c r="M17" t="str">
        <f t="shared" si="22"/>
        <v xml:space="preserve">		public virtual decimal? Qty { get; set; }
</v>
      </c>
      <c r="N17" t="str">
        <f t="shared" si="23"/>
        <v xml:space="preserve">		public virtual decimal? Qty { get; set; }
</v>
      </c>
      <c r="O17" t="str">
        <f t="shared" si="24"/>
        <v/>
      </c>
      <c r="P17" t="str">
        <f t="shared" si="25"/>
        <v xml:space="preserve">							Qty = o.Qty,</v>
      </c>
      <c r="T17" s="64" t="str">
        <f t="shared" si="26"/>
        <v xml:space="preserve">								("Qty"),</v>
      </c>
      <c r="V17" s="65" t="str">
        <f t="shared" si="27"/>
        <v xml:space="preserve">								_ =&gt; _.Qty,</v>
      </c>
      <c r="W17" s="64" t="str">
        <f t="shared" si="28"/>
        <v/>
      </c>
      <c r="X17" t="str">
        <f t="shared" si="29"/>
        <v>Number</v>
      </c>
      <c r="Y17" t="str">
        <f t="shared" si="30"/>
        <v>Right</v>
      </c>
      <c r="Z17" t="str">
        <f t="shared" si="31"/>
        <v>#,###.####</v>
      </c>
    </row>
    <row r="18" spans="1:26" customFormat="1" ht="18.75" customHeight="1" x14ac:dyDescent="0.25">
      <c r="A18" t="s">
        <v>374</v>
      </c>
      <c r="B18" t="s">
        <v>373</v>
      </c>
      <c r="C18" t="s">
        <v>1</v>
      </c>
      <c r="D18" t="str">
        <f t="shared" ref="D18" si="35">SUBSTITUTE(PROPER(A18),"_","")</f>
        <v>TransactionDatetime</v>
      </c>
      <c r="E18" t="str">
        <f t="shared" ref="E18" si="36">IFERROR(LEFT(B18, FIND("(",B18)-1),B18)</f>
        <v>datetime2</v>
      </c>
      <c r="F18" s="6" t="s">
        <v>373</v>
      </c>
      <c r="G18" t="str">
        <f t="shared" ref="G18" si="37">IFERROR(MID(B18,FIND("(",B18) +1, FIND(")",B18) - FIND("(",B18) - 1),"")</f>
        <v>7</v>
      </c>
      <c r="H18" t="str">
        <f>+VLOOKUP(E18,'Data Type Mapping'!A:B,2,)</f>
        <v>DateTime?</v>
      </c>
      <c r="I18" t="str">
        <f t="shared" ref="I18" si="38">IF(H18="string",REPT(CHAR(9),2)&amp;"public const int Max"&amp;D18&amp;"Length = "&amp;G18&amp;";"&amp;$E$3,"" )</f>
        <v/>
      </c>
      <c r="J18" t="str">
        <f t="shared" ref="J18" si="3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[Column(TypeName="datetime2(7)")]
		public virtual DateTime? TransactionDatetime { get; set; }
</v>
      </c>
      <c r="K18" s="6"/>
      <c r="L18" t="str">
        <f t="shared" ref="L18" si="40">IF(K18="","",REPT(CHAR(9),1)&amp;"[Index(nameof("&amp;IF(D18="","",""&amp;D18)&amp;")"&amp;", Name="&amp;"""IX_"&amp;$B$7&amp;"_"&amp;D18&amp;""")]")</f>
        <v/>
      </c>
      <c r="M18" t="str">
        <f t="shared" ref="M18" si="41">REPT(CHAR(9),2)&amp;"public virtual "&amp;IF(OR(H18="DateTime",H18="TimeSpan"),H18&amp;"?",H18)&amp;IF(C18="?","? "," ")&amp;D18&amp;" { get; set; }" &amp; "
"</f>
        <v xml:space="preserve">		public virtual DateTime? TransactionDatetime { get; set; }
</v>
      </c>
      <c r="N18" t="str">
        <f t="shared" ref="N18" si="42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TransactionDatetime { get; set; }
</v>
      </c>
      <c r="O18" t="str">
        <f t="shared" ref="O18" si="43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44">REPT(CHAR(9),7)&amp;D18&amp;" = o." &amp;D18 &amp;","</f>
        <v xml:space="preserve">							TransactionDatetime = o.TransactionDatetime,</v>
      </c>
      <c r="T18" s="64" t="str">
        <f t="shared" ref="T18" si="45">REPT(CHAR(9),8)&amp;"("""&amp;D18&amp;"""),"</f>
        <v xml:space="preserve">								("TransactionDatetime"),</v>
      </c>
      <c r="V18" s="65" t="str">
        <f t="shared" ref="V18" si="46">REPT(CHAR(9),8)&amp;"_ =&gt; _."&amp;D18&amp;","</f>
        <v xml:space="preserve">								_ =&gt; _.TransactionDatetime,</v>
      </c>
      <c r="W18" s="64" t="str">
        <f t="shared" ref="W18" si="47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  <c r="X18" t="str">
        <f t="shared" ref="X18" si="48">IF(E18="VARCHAR","Char",(IF(E18="DATE","Date","Number")))</f>
        <v>Number</v>
      </c>
      <c r="Y18" t="str">
        <f t="shared" ref="Y18" si="49">IF(X18="Char","Left",IF(X18="Date","Center","Right"))</f>
        <v>Right</v>
      </c>
      <c r="Z18" t="str">
        <f t="shared" ref="Z18" si="50">IF(X18="Char","",IF(X18="Date","DD/MM/YYYY",IF(H18="decimal?","#,###.####","#,###")))</f>
        <v>#,###</v>
      </c>
    </row>
    <row r="19" spans="1:26" customFormat="1" ht="18.75" customHeight="1" x14ac:dyDescent="0.25">
      <c r="A19" t="s">
        <v>379</v>
      </c>
      <c r="B19" t="s">
        <v>378</v>
      </c>
      <c r="C19" t="s">
        <v>1</v>
      </c>
      <c r="D19" t="str">
        <f>SUBSTITUTE(PROPER(A19),"_","")</f>
        <v>LotNo</v>
      </c>
      <c r="E19" t="str">
        <f>IFERROR(LEFT(B19, FIND("(",B19)-1),B19)</f>
        <v>varchar</v>
      </c>
      <c r="F19" s="6"/>
      <c r="G19" t="str">
        <f>IFERROR(MID(B19,FIND("(",B19) +1, FIND(")",B19) - FIND("(",B19) - 1),"")</f>
        <v>20</v>
      </c>
      <c r="H19" t="str">
        <f>+VLOOKUP(E19,'Data Type Mapping'!A:B,2,)</f>
        <v>string</v>
      </c>
      <c r="I19" t="str">
        <f>IF(H19="string",REPT(CHAR(9),2)&amp;"public const int Max"&amp;D19&amp;"Length = "&amp;G19&amp;";"&amp;$E$3,"" )</f>
        <v xml:space="preserve">		public const int MaxLotNoLength = 20;
</v>
      </c>
      <c r="J19" t="str">
        <f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[StringLength(MaxLotNoLength)]
		public virtual string LotNo { get; set; }
</v>
      </c>
      <c r="K19" s="6" t="s">
        <v>372</v>
      </c>
      <c r="L19" t="str">
        <f>IF(K19="","",REPT(CHAR(9),1)&amp;"[Index(nameof("&amp;IF(D19="","",""&amp;D19)&amp;")"&amp;", Name="&amp;"""IX_"&amp;$B$7&amp;"_"&amp;D19&amp;""")]")</f>
        <v xml:space="preserve">	[Index(nameof(LotNo), Name="IX_InvCkdPhysicalStockTransaction_LotNo")]</v>
      </c>
      <c r="M19" t="str">
        <f>REPT(CHAR(9),2)&amp;"public virtual "&amp;IF(OR(H19="DateTime",H19="TimeSpan"),H19&amp;"?",H19)&amp;IF(C19="?","? "," ")&amp;D19&amp;" { get; set; }" &amp; "
"</f>
        <v xml:space="preserve">		public virtual string LotNo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[StringLength(InvCkdPhysicalStockTransactionConsts.MaxLotNoLength)]
		public virtual string LotNo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string LotNo { get; set; }
</v>
      </c>
      <c r="P19" t="str">
        <f>REPT(CHAR(9),7)&amp;D19&amp;" = o." &amp;D19 &amp;","</f>
        <v xml:space="preserve">							LotNo = o.LotNo,</v>
      </c>
      <c r="T19" s="64" t="str">
        <f>REPT(CHAR(9),8)&amp;"("""&amp;D19&amp;"""),"</f>
        <v xml:space="preserve">								("LotNo"),</v>
      </c>
      <c r="V19" s="65" t="str">
        <f>REPT(CHAR(9),8)&amp;"_ =&gt; _."&amp;D19&amp;","</f>
        <v xml:space="preserve">								_ =&gt; _.LotNo,</v>
      </c>
      <c r="W19" s="64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.WhereIf(!string.IsNullOrWhiteSpace(input.LotNo), e =&gt; e.LotNo.Contains(input.LotNo))</v>
      </c>
      <c r="X19" t="str">
        <f>IF(E19="VARCHAR","Char",(IF(E19="DATE","Date","Number")))</f>
        <v>Char</v>
      </c>
      <c r="Y19" t="str">
        <f>IF(X19="Char","Left",IF(X19="Date","Center","Right"))</f>
        <v>Left</v>
      </c>
      <c r="Z19" t="str">
        <f>IF(X19="Char","",IF(X19="Date","DD/MM/YYYY",IF(H19="decimal?","#,###.####","#,###")))</f>
        <v/>
      </c>
    </row>
    <row r="20" spans="1:26" customFormat="1" ht="18.75" customHeight="1" x14ac:dyDescent="0.25">
      <c r="A20" t="s">
        <v>376</v>
      </c>
      <c r="B20" t="s">
        <v>361</v>
      </c>
      <c r="C20" t="s">
        <v>1</v>
      </c>
      <c r="D20" t="str">
        <f>SUBSTITUTE(PROPER(A20),"_","")</f>
        <v>ReferenceId</v>
      </c>
      <c r="E20" t="str">
        <f>IFERROR(LEFT(B20, FIND("(",B20)-1),B20)</f>
        <v>Bigint</v>
      </c>
      <c r="F20" s="6"/>
      <c r="G20" t="str">
        <f>IFERROR(MID(B20,FIND("(",B20) +1, FIND(")",B20) - FIND("(",B20) - 1),"")</f>
        <v/>
      </c>
      <c r="H20" t="str">
        <f>+VLOOKUP(E20,'Data Type Mapping'!A:B,2,)</f>
        <v>long?</v>
      </c>
      <c r="I20" t="str">
        <f>IF(H20="string",REPT(CHAR(9),2)&amp;"public const int Max"&amp;D20&amp;"Length = "&amp;G20&amp;";"&amp;$E$3,"" )</f>
        <v/>
      </c>
      <c r="J20" t="str">
        <f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long? ReferenceId { get; set; }
</v>
      </c>
      <c r="K20" s="6" t="s">
        <v>372</v>
      </c>
      <c r="L20" t="str">
        <f>IF(K20="","",REPT(CHAR(9),1)&amp;"[Index(nameof("&amp;IF(D20="","",""&amp;D20)&amp;")"&amp;", Name="&amp;"""IX_"&amp;$B$7&amp;"_"&amp;D20&amp;""")]")</f>
        <v xml:space="preserve">	[Index(nameof(ReferenceId), Name="IX_InvCkdPhysicalStockTransaction_ReferenceId")]</v>
      </c>
      <c r="M20" t="str">
        <f>REPT(CHAR(9),2)&amp;"public virtual "&amp;IF(OR(H20="DateTime",H20="TimeSpan"),H20&amp;"?",H20)&amp;IF(C20="?","? "," ")&amp;D20&amp;" { get; set; }" &amp; "
"</f>
        <v xml:space="preserve">		public virtual long? ReferenceId { get; set; }
</v>
      </c>
      <c r="N20" t="str">
        <f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long? ReferenceId { get; set; }
</v>
      </c>
      <c r="O20" t="str">
        <f>IF(OR(H20="string",H20="DateTime",H20="int"),REPT(CHAR(9),2)&amp;"public virtual "&amp;IF(OR(H20="DateTime",H20="TimeSpan"),H20&amp;"?",H20)&amp;IF(C20="?","? "," ")&amp;D20&amp;" { get; set; }"&amp;$E$3,"")</f>
        <v/>
      </c>
      <c r="P20" t="str">
        <f>REPT(CHAR(9),7)&amp;D20&amp;" = o." &amp;D20 &amp;","</f>
        <v xml:space="preserve">							ReferenceId = o.ReferenceId,</v>
      </c>
      <c r="T20" s="64" t="str">
        <f>REPT(CHAR(9),8)&amp;"("""&amp;D20&amp;"""),"</f>
        <v xml:space="preserve">								("ReferenceId"),</v>
      </c>
      <c r="V20" s="65" t="str">
        <f>REPT(CHAR(9),8)&amp;"_ =&gt; _."&amp;D20&amp;","</f>
        <v xml:space="preserve">								_ =&gt; _.ReferenceId,</v>
      </c>
      <c r="W20" s="64" t="str">
        <f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  <c r="X20" t="str">
        <f>IF(E20="VARCHAR","Char",(IF(E20="DATE","Date","Number")))</f>
        <v>Number</v>
      </c>
      <c r="Y20" t="str">
        <f>IF(X20="Char","Left",IF(X20="Date","Center","Right"))</f>
        <v>Right</v>
      </c>
      <c r="Z20" t="str">
        <f>IF(X20="Char","",IF(X20="Date","DD/MM/YYYY",IF(H20="decimal?","#,###.####","#,###")))</f>
        <v>#,###</v>
      </c>
    </row>
    <row r="21" spans="1:26" customFormat="1" ht="18.75" customHeight="1" x14ac:dyDescent="0.25">
      <c r="A21" t="s">
        <v>370</v>
      </c>
      <c r="B21" t="s">
        <v>2</v>
      </c>
      <c r="C21" t="s">
        <v>1</v>
      </c>
      <c r="D21" t="str">
        <f t="shared" ref="D21" si="51">SUBSTITUTE(PROPER(A21),"_","")</f>
        <v>WorkingDate</v>
      </c>
      <c r="E21" t="str">
        <f t="shared" ref="E21" si="52">IFERROR(LEFT(B21, FIND("(",B21)-1),B21)</f>
        <v>date</v>
      </c>
      <c r="F21" s="6"/>
      <c r="G21" t="str">
        <f t="shared" ref="G21" si="53">IFERROR(MID(B21,FIND("(",B21) +1, FIND(")",B21) - FIND("(",B21) - 1),"")</f>
        <v/>
      </c>
      <c r="H21" t="str">
        <f>+VLOOKUP(E21,'Data Type Mapping'!A:B,2,)</f>
        <v>DateTime?</v>
      </c>
      <c r="I21" t="str">
        <f t="shared" ref="I21" si="54">IF(H21="string",REPT(CHAR(9),2)&amp;"public const int Max"&amp;D21&amp;"Length = "&amp;G21&amp;";"&amp;$E$3,"" )</f>
        <v/>
      </c>
      <c r="J21" t="str">
        <f t="shared" ref="J21" si="55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DateTime? WorkingDate { get; set; }
</v>
      </c>
      <c r="K21" s="6" t="s">
        <v>372</v>
      </c>
      <c r="L21" t="str">
        <f t="shared" ref="L21" si="56">IF(K21="","",REPT(CHAR(9),1)&amp;"[Index(nameof("&amp;IF(D21="","",""&amp;D21)&amp;")"&amp;", Name="&amp;"""IX_"&amp;$B$7&amp;"_"&amp;D21&amp;""")]")</f>
        <v xml:space="preserve">	[Index(nameof(WorkingDate), Name="IX_InvCkdPhysicalStockTransaction_WorkingDate")]</v>
      </c>
      <c r="M21" t="str">
        <f t="shared" ref="M21" si="57">REPT(CHAR(9),2)&amp;"public virtual "&amp;IF(OR(H21="DateTime",H21="TimeSpan"),H21&amp;"?",H21)&amp;IF(C21="?","? "," ")&amp;D21&amp;" { get; set; }" &amp; "
"</f>
        <v xml:space="preserve">		public virtual DateTime? WorkingDate { get; set; }
</v>
      </c>
      <c r="N21" t="str">
        <f t="shared" ref="N21" si="58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DateTime? WorkingDate { get; set; }
</v>
      </c>
      <c r="O21" t="str">
        <f t="shared" ref="O21" si="59">IF(OR(H21="string",H21="DateTime",H21="int"),REPT(CHAR(9),2)&amp;"public virtual "&amp;IF(OR(H21="DateTime",H21="TimeSpan"),H21&amp;"?",H21)&amp;IF(C21="?","? "," ")&amp;D21&amp;" { get; set; }"&amp;$E$3,"")</f>
        <v/>
      </c>
      <c r="P21" t="str">
        <f t="shared" ref="P21" si="60">REPT(CHAR(9),7)&amp;D21&amp;" = o." &amp;D21 &amp;","</f>
        <v xml:space="preserve">							WorkingDate = o.WorkingDate,</v>
      </c>
      <c r="T21" s="64" t="str">
        <f t="shared" ref="T21" si="61">REPT(CHAR(9),8)&amp;"("""&amp;D21&amp;"""),"</f>
        <v xml:space="preserve">								("WorkingDate"),</v>
      </c>
      <c r="V21" s="65" t="str">
        <f t="shared" ref="V21" si="62">REPT(CHAR(9),8)&amp;"_ =&gt; _."&amp;D21&amp;","</f>
        <v xml:space="preserve">								_ =&gt; _.WorkingDate,</v>
      </c>
      <c r="W21" s="64" t="str">
        <f t="shared" ref="W21" si="63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  <c r="X21" t="str">
        <f t="shared" si="29"/>
        <v>Date</v>
      </c>
      <c r="Y21" t="str">
        <f t="shared" si="30"/>
        <v>Center</v>
      </c>
      <c r="Z21" t="str">
        <f t="shared" si="31"/>
        <v>DD/MM/YYYY</v>
      </c>
    </row>
    <row r="22" spans="1:26" customFormat="1" ht="18.75" customHeight="1" x14ac:dyDescent="0.25">
      <c r="A22" t="s">
        <v>369</v>
      </c>
      <c r="B22" t="s">
        <v>361</v>
      </c>
      <c r="C22" t="s">
        <v>1</v>
      </c>
      <c r="D22" t="str">
        <f>SUBSTITUTE(PROPER(A22),"_","")</f>
        <v>PeriodId</v>
      </c>
      <c r="E22" t="str">
        <f>IFERROR(LEFT(B22, FIND("(",B22)-1),B22)</f>
        <v>Bigint</v>
      </c>
      <c r="F22" s="6"/>
      <c r="G22" t="str">
        <f>IFERROR(MID(B22,FIND("(",B22) +1, FIND(")",B22) - FIND("(",B22) - 1),"")</f>
        <v/>
      </c>
      <c r="H22" t="str">
        <f>+VLOOKUP(E22,'Data Type Mapping'!A:B,2,)</f>
        <v>long?</v>
      </c>
      <c r="I22" t="str">
        <f>IF(H22="string",REPT(CHAR(9),2)&amp;"public const int Max"&amp;D22&amp;"Length = "&amp;G22&amp;";"&amp;$E$3,"" )</f>
        <v/>
      </c>
      <c r="J22" t="str">
        <f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long? PeriodId { get; set; }
</v>
      </c>
      <c r="K22" s="6" t="s">
        <v>372</v>
      </c>
      <c r="L22" t="str">
        <f>IF(K22="","",REPT(CHAR(9),1)&amp;"[Index(nameof("&amp;IF(D22="","",""&amp;D22)&amp;")"&amp;", Name="&amp;"""IX_"&amp;$B$7&amp;"_"&amp;D22&amp;""")]")</f>
        <v xml:space="preserve">	[Index(nameof(PeriodId), Name="IX_InvCkdPhysicalStockTransaction_PeriodId")]</v>
      </c>
      <c r="M22" t="str">
        <f>REPT(CHAR(9),2)&amp;"public virtual "&amp;IF(OR(H22="DateTime",H22="TimeSpan"),H22&amp;"?",H22)&amp;IF(C22="?","? "," ")&amp;D22&amp;" { get; set; }" &amp; "
"</f>
        <v xml:space="preserve">		public virtual long? PeriodId { get; set; }
</v>
      </c>
      <c r="N22" t="str">
        <f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long? PeriodId { get; set; }
</v>
      </c>
      <c r="O22" t="str">
        <f>IF(OR(H22="string",H22="DateTime",H22="int"),REPT(CHAR(9),2)&amp;"public virtual "&amp;IF(OR(H22="DateTime",H22="TimeSpan"),H22&amp;"?",H22)&amp;IF(C22="?","? "," ")&amp;D22&amp;" { get; set; }"&amp;$E$3,"")</f>
        <v/>
      </c>
      <c r="P22" t="str">
        <f>REPT(CHAR(9),7)&amp;D22&amp;" = o." &amp;D22 &amp;","</f>
        <v xml:space="preserve">							PeriodId = o.PeriodId,</v>
      </c>
      <c r="T22" s="64" t="str">
        <f>REPT(CHAR(9),8)&amp;"("""&amp;D22&amp;"""),"</f>
        <v xml:space="preserve">								("PeriodId"),</v>
      </c>
      <c r="V22" s="65" t="str">
        <f>REPT(CHAR(9),8)&amp;"_ =&gt; _."&amp;D22&amp;","</f>
        <v xml:space="preserve">								_ =&gt; _.PeriodId,</v>
      </c>
      <c r="W22" s="64" t="str">
        <f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  <c r="X22" t="str">
        <f>IF(E22="VARCHAR","Char",(IF(E22="DATE","Date","Number")))</f>
        <v>Number</v>
      </c>
      <c r="Y22" t="str">
        <f>IF(X22="Char","Left",IF(X22="Date","Center","Right"))</f>
        <v>Right</v>
      </c>
      <c r="Z22" t="str">
        <f>IF(X22="Char","",IF(X22="Date","DD/MM/YYYY",IF(H22="decimal?","#,###.####","#,###")))</f>
        <v>#,###</v>
      </c>
    </row>
    <row r="23" spans="1:26" customFormat="1" ht="18.75" customHeight="1" x14ac:dyDescent="0.25">
      <c r="A23" t="s">
        <v>383</v>
      </c>
      <c r="B23" t="s">
        <v>4</v>
      </c>
      <c r="C23" t="s">
        <v>1</v>
      </c>
      <c r="D23" t="str">
        <f t="shared" ref="D23" si="64">SUBSTITUTE(PROPER(A23),"_","")</f>
        <v>Transtype</v>
      </c>
      <c r="E23" t="str">
        <f t="shared" ref="E23" si="65">IFERROR(LEFT(B23, FIND("(",B23)-1),B23)</f>
        <v>int</v>
      </c>
      <c r="F23" s="6"/>
      <c r="G23" t="str">
        <f t="shared" ref="G23" si="66">IFERROR(MID(B23,FIND("(",B23) +1, FIND(")",B23) - FIND("(",B23) - 1),"")</f>
        <v/>
      </c>
      <c r="H23" t="str">
        <f>+VLOOKUP(E23,'[1]Data Type Mapping'!A:B,2,)</f>
        <v>int?</v>
      </c>
      <c r="I23" t="str">
        <f t="shared" ref="I23" si="67">IF(H23="string",REPT(CHAR(9),2)&amp;"public const int Max"&amp;D23&amp;"Length = "&amp;G23&amp;";"&amp;$E$3,"" )</f>
        <v/>
      </c>
      <c r="J23" t="str">
        <f t="shared" ref="J23" si="68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int? Transtype { get; set; }
</v>
      </c>
      <c r="K23" s="6"/>
      <c r="L23" t="str">
        <f t="shared" ref="L23" si="69">IF(K23="","",REPT(CHAR(9),1)&amp;"[Index(nameof("&amp;IF(D23="","",""&amp;D23)&amp;")"&amp;", Name="&amp;"""IX_"&amp;$B$7&amp;"_"&amp;D23&amp;""")]")</f>
        <v/>
      </c>
      <c r="M23" t="str">
        <f t="shared" ref="M23" si="70">REPT(CHAR(9),2)&amp;"public virtual "&amp;IF(OR(H23="DateTime",H23="TimeSpan"),H23&amp;"?",H23)&amp;IF(C23="?","? "," ")&amp;D23&amp;" { get; set; }" &amp; "
"</f>
        <v xml:space="preserve">		public virtual int? Transtype { get; set; }
</v>
      </c>
      <c r="N23" t="str">
        <f t="shared" ref="N23" si="71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int? Transtype { get; set; }
</v>
      </c>
      <c r="O23" t="str">
        <f t="shared" ref="O23" si="72">IF(OR(H23="string",H23="DateTime",H23="int"),REPT(CHAR(9),2)&amp;"public virtual "&amp;IF(OR(H23="DateTime",H23="TimeSpan"),H23&amp;"?",H23)&amp;IF(C23="?","? "," ")&amp;D23&amp;" { get; set; }"&amp;$E$3,"")</f>
        <v/>
      </c>
      <c r="P23" t="str">
        <f t="shared" ref="P23" si="73">REPT(CHAR(9),7)&amp;D23&amp;" = o." &amp;D23 &amp;","</f>
        <v xml:space="preserve">							Transtype = o.Transtype,</v>
      </c>
      <c r="T23" s="64" t="str">
        <f t="shared" ref="T23" si="74">REPT(CHAR(9),8)&amp;"("""&amp;D23&amp;"""),"</f>
        <v xml:space="preserve">								("Transtype"),</v>
      </c>
      <c r="V23" s="65" t="str">
        <f t="shared" ref="V23" si="75">REPT(CHAR(9),8)&amp;"_ =&gt; _."&amp;D23&amp;","</f>
        <v xml:space="preserve">								_ =&gt; _.Transtype,</v>
      </c>
      <c r="W23" s="64" t="str">
        <f t="shared" ref="W23" si="76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  <c r="X23" t="str">
        <f t="shared" ref="X23" si="77">IF(E23="VARCHAR","Char",(IF(E23="DATE","Date","Number")))</f>
        <v>Number</v>
      </c>
      <c r="Y23" t="str">
        <f t="shared" ref="Y23" si="78">IF(X23="Char","Left",IF(X23="Date","Center","Right"))</f>
        <v>Right</v>
      </c>
      <c r="Z23" t="str">
        <f t="shared" ref="Z23" si="79">IF(X23="Char","",IF(X23="Date","DD/MM/YYYY",IF(H23="decimal?","#,###.####","#,###")))</f>
        <v>#,###</v>
      </c>
    </row>
    <row r="24" spans="1:26" customFormat="1" ht="22.5" customHeight="1" x14ac:dyDescent="0.25">
      <c r="A24" t="s">
        <v>319</v>
      </c>
      <c r="B24" t="s">
        <v>320</v>
      </c>
      <c r="C24" t="s">
        <v>1</v>
      </c>
      <c r="D24" t="str">
        <f>SUBSTITUTE(PROPER(A24),"_","")</f>
        <v>IsActive</v>
      </c>
      <c r="E24" t="str">
        <f t="shared" ref="E24" si="80">IFERROR(LEFT(B24, FIND("(",B24)-1),B24)</f>
        <v>varchar</v>
      </c>
      <c r="F24" s="6"/>
      <c r="G24" t="str">
        <f t="shared" ref="G24" si="81">IFERROR(MID(B24,FIND("(",B24) +1, FIND(")",B24) - FIND("(",B24) - 1),"")</f>
        <v>1</v>
      </c>
      <c r="H24" t="str">
        <f>+VLOOKUP(E24,'Data Type Mapping'!A:B,2,)</f>
        <v>string</v>
      </c>
      <c r="I24" t="str">
        <f t="shared" ref="I24" si="82">IF(H24="string",REPT(CHAR(9),2)&amp;"public const int Max"&amp;D24&amp;"Length = "&amp;G24&amp;";"&amp;$E$3,"" )</f>
        <v xml:space="preserve">		public const int MaxIsActiveLength = 1;
</v>
      </c>
      <c r="J24" t="str">
        <f t="shared" ref="J24" si="83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[StringLength(MaxIsActiveLength)]
		public virtual string IsActive { get; set; }
</v>
      </c>
      <c r="K24" s="6"/>
      <c r="L24" t="str">
        <f>IF(K24="","",REPT(CHAR(9),1)&amp;"[Index(nameof("&amp;IF(D24="","",""&amp;D24)&amp;")"&amp;", Name="&amp;"""IX_"&amp;$B$7&amp;"_"&amp;D24&amp;""")]")</f>
        <v/>
      </c>
      <c r="M24" t="str">
        <f t="shared" ref="M24" si="84">REPT(CHAR(9),2)&amp;"public virtual "&amp;IF(OR(H24="DateTime",H24="TimeSpan"),H24&amp;"?",H24)&amp;IF(C24="?","? "," ")&amp;D24&amp;" { get; set; }" &amp; "
"</f>
        <v xml:space="preserve">		public virtual string IsActive { get; set; }
</v>
      </c>
      <c r="N24" t="str">
        <f t="shared" ref="N24" si="85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[StringLength(InvCkdPhysicalStockTransactionConsts.MaxIsActiveLength)]
		public virtual string IsActive { get; set; }
</v>
      </c>
      <c r="O24" t="str">
        <f t="shared" ref="O24" si="86">IF(OR(H24="string",H24="DateTime",H24="int"),REPT(CHAR(9),2)&amp;"public virtual "&amp;IF(OR(H24="DateTime",H24="TimeSpan"),H24&amp;"?",H24)&amp;IF(C24="?","? "," ")&amp;D24&amp;" { get; set; }"&amp;$E$3,"")</f>
        <v xml:space="preserve">		public virtual string IsActive { get; set; }
</v>
      </c>
      <c r="P24" t="str">
        <f t="shared" ref="P24" si="87">REPT(CHAR(9),7)&amp;D24&amp;" = o." &amp;D24 &amp;","</f>
        <v xml:space="preserve">							IsActive = o.IsActive,</v>
      </c>
      <c r="T24" s="64" t="str">
        <f t="shared" ref="T24" si="88">REPT(CHAR(9),8)&amp;"("""&amp;D24&amp;"""),"</f>
        <v xml:space="preserve">								("IsActive"),</v>
      </c>
      <c r="V24" s="65" t="str">
        <f t="shared" ref="V24" si="89">REPT(CHAR(9),8)&amp;"_ =&gt; _."&amp;D24&amp;","</f>
        <v xml:space="preserve">								_ =&gt; _.IsActive,</v>
      </c>
      <c r="W24" s="64" t="str">
        <f t="shared" ref="W24" si="90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.WhereIf(!string.IsNullOrWhiteSpace(input.IsActive), e =&gt; e.IsActive.Contains(input.IsActive))</v>
      </c>
      <c r="X24" t="str">
        <f t="shared" si="29"/>
        <v>Char</v>
      </c>
      <c r="Y24" t="str">
        <f t="shared" si="30"/>
        <v>Left</v>
      </c>
      <c r="Z24" t="str">
        <f t="shared" si="31"/>
        <v/>
      </c>
    </row>
    <row r="26" spans="1:26" ht="45.75" customHeight="1" x14ac:dyDescent="0.25">
      <c r="H26" s="11"/>
      <c r="I26" s="31" t="str">
        <f ca="1">TEXTJOIN2("
", TRUE,INDIRECT( $H$1):INDIRECT( $H$3))</f>
        <v xml:space="preserve">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MaxIsActiveLength = 1;
</v>
      </c>
      <c r="J26" s="30" t="str">
        <f ca="1">TEXTJOIN2("
", TRUE,INDIRECT( $F$1):INDIRECT( $F$3))</f>
        <v xml:space="preserve">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[StringLength(MaxLotNoLength)]
		public virtual string LotNo { get; set; }
		public virtual long? ReferenceId { get; set; }
		public virtual DateTime? WorkingDate { get; set; }
		public virtual long? PeriodId { get; set; }
		public virtual int? Transtype { get; set; }
		[StringLength(MaxIsActiveLength)]
		public virtual string IsActive { get; set; }
</v>
      </c>
      <c r="K26" s="32" t="str">
        <f ca="1">TEXTJOIN2("
", TRUE,INDIRECT( $J$1):INDIRECT( $J$3))</f>
        <v xml:space="preserve">	[Index(nameof(PartNo), Name="IX_InvCkdPhysicalStockTransaction_PartNo")]
	[Index(nameof(PartListId), Name="IX_InvCkdPhysicalStockTransaction_PartListId")]
	[Index(nameof(PartListGradeId), Name="IX_InvCkdPhysicalStockTransaction_PartListGradeId")]
	[Index(nameof(MaterialId), Name="IX_InvCkdPhysicalStockTransaction_MaterialId")]
	[Index(nameof(LotNo), Name="IX_InvCkdPhysicalStockTransaction_LotNo")]
	[Index(nameof(ReferenceId), Name="IX_InvCkdPhysicalStockTransaction_ReferenceId")]
	[Index(nameof(WorkingDate), Name="IX_InvCkdPhysicalStockTransaction_WorkingDate")]
	[Index(nameof(PeriodId), Name="IX_InvCkdPhysicalStockTransaction_PeriodId")]
</v>
      </c>
      <c r="L26" s="12" t="s">
        <v>57</v>
      </c>
      <c r="M26" s="33" t="str">
        <f ca="1">TEXTJOIN2("
",TRUE,INDIRECT( $L$1):INDIRECT($L$3))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string LotNo { get; set; }
		public virtual long? ReferenceId { get; set; }
		public virtual DateTime? WorkingDate { get; set; }
		public virtual long? PeriodId { get; set; }
		public virtual int? Transtype { get; set; }
		public virtual string IsActive { get; set; }
</v>
      </c>
      <c r="N26" s="30" t="str">
        <f ca="1">TEXTJOIN2("
",TRUE,INDIRECT( $M$1):INDIRECT($M$3))</f>
        <v xml:space="preserve">		[StringLength(InvCkdPhysicalStockTransactionConsts.MaxPartNoLength)]
		public virtual string PartNo { get; set; }
		[StringLength(InvCkdPhysicalStockTransactionConsts.MaxPartNoNormalizedLength)]
		public virtual string PartNoNormalized { get; set; }
		[StringLength(InvCkdPhysicalStockTransactionConsts.MaxPartNameLength)]
		public virtual string PartName { get; set; }
		[StringLength(InvCkdPhysicalStockTransactionConsts.MaxPartNoNormalizedS4Length)]
		public virtual string PartNoNormalizedS4 { get; set; }
		[StringLength(InvCkdPhysicalStockTransactionConsts.MaxColorSfxLength)]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[StringLength(InvCkdPhysicalStockTransactionConsts.MaxLotNoLength)]
		public virtual string LotNo { get; set; }
		public virtual long? ReferenceId { get; set; }
		public virtual DateTime? WorkingDate { get; set; }
		public virtual long? PeriodId { get; set; }
		public virtual int? Transtype { get; set; }
		[StringLength(InvCkdPhysicalStockTransactionConsts.MaxIsActiveLength)]
		public virtual string IsActive { get; set; }
</v>
      </c>
      <c r="O26" s="30" t="str">
        <f ca="1">TEXTJOIN2("
",TRUE,INDIRECT( $N$1):INDIRECT($N$3))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IsActive { get; set; }
</v>
      </c>
      <c r="P26" s="8" t="str">
        <f ca="1">TEXTJOIN2("
",TRUE,INDIRECT( $O$1):INDIRECT($O$3))</f>
        <v xml:space="preserve">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LotNo = o.LotNo,
							ReferenceId = o.ReferenceId,
							WorkingDate = o.WorkingDate,
							PeriodId = o.PeriodId,
							Transtype = o.Transtype,
							IsActive = o.IsActive,</v>
      </c>
      <c r="T26" s="8" t="str">
        <f ca="1">TEXTJOIN2("
",TRUE,INDIRECT( $T$2):INDIRECT($T$3))</f>
        <v xml:space="preserve">								("PartNo"),
								("PartNoNormalized"),
								("PartName"),
								("PartNoNormalizedS4"),
								("ColorSfx"),
								("PartListId"),
								("PartListGradeId"),
								("MaterialId"),
								("Qty"),
								("TransactionDatetime"),
								("LotNo"),
								("ReferenceId"),
								("WorkingDate"),
								("PeriodId"),
								("Transtype"),
								("IsActive"),</v>
      </c>
      <c r="V26" s="8" t="str">
        <f ca="1">TEXTJOIN2("
",TRUE,INDIRECT( $V$2):INDIRECT($V$3))</f>
        <v xml:space="preserve">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_.LotNo,
								_ =&gt; _.ReferenceId,
								_ =&gt; _.WorkingDate,
								_ =&gt; _.PeriodId,
								_ =&gt; _.Transtype,
								_ =&gt; _.IsActive,</v>
      </c>
      <c r="W26" s="8" t="str">
        <f ca="1">TEXTJOIN2("
",TRUE,INDIRECT( $W$2):INDIRECT($W$3))</f>
        <v xml:space="preserve">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workbookViewId="0">
      <selection activeCell="B7" sqref="B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60" x14ac:dyDescent="0.25">
      <c r="A1" s="38" t="s">
        <v>208</v>
      </c>
      <c r="B1" s="39" t="s">
        <v>380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InvCkdPhysicalStockTransaction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PhysicalStockTransaction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physicalstocktransaction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InvCkdPhysicalStockTransactionDto, InvCkdPhysicalStockTransactionServiceProxy } from '@shared/service-proxies/service-proxies';
import { finalize } from 'rxjs/internal/operators/finalize';
import { CreateOrEditPhysicalStockTransactionModalComponent } from './create-or-edit-physicalstocktransaction-modal.component';
import { DatePipe } from '@angular/common';
import { FileDownloadService } from '@shared/utils/file-download.service';
import ceil from 'lodash-es/ceil';
import { Paginator } from 'primeng/paginator';
@Component({
    templateUrl: './physicalstocktransaction.component.html',
    styleUrls: ['./physicalstocktransaction.component.less'],
})
export class PhysicalStockTransactionComponent extends AppComponentBase implements OnInit {
    @ViewChild('createOrEditModalPhysicalStockTransaction', { static: true }) createOrEditModalPhysicalStockTransaction:| CreateOrEditPhysicalStockTransactionModalComponent|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InvCkdPhysicalStockTransactionDto = new InvCkdPhysicalStockTransactionDto();
    saveSelectedRow: InvCkdPhysicalStockTransactionDto = new InvCkdPhysicalStockTransactionDto();
    datas: InvCkdPhysicalStockTransactionDto = new InvCkdPhysicalStockTransactionDto();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partListGradeId
	materialId
	qty
	transactionDatetime
	lotNo : string = '' ; 
	referenceId
	workingDate
	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this.l('Lot No'),headerTooltip: this.l('Lot No'),field: 'lotNo',flex: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this.partListGradeId,
			this.materialId,
			this.qty,
			this.transactionDatetime,
			this.lotNo,
			this.referenceId,
			this.workingDate,
			this.periodId,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this.partListGradeId = '',
		this.materialId = '',
		this.qty = '',
		this.transactionDatetime = '',
		this.lotNo = '',
		this.referenceId = '',
		this.workingDate = '',
		this.periodId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this.partListGradeId,
			this.materialId,
			this.qty,
			this.transactionDatetime,
			this.lotNo,
			this.referenceId,
			this.workingDate,
			this.periodId,
			this.isActive,
			'',
            this.paginationParams.skipCount,
            this.paginationParams.pageSize
        );
    }
    onChangeRowSelection(params: { api: { getSelectedRows: () =&gt; InvCkdPhysicalStockTransactionDto[] } }) {
        this.saveSelectedRow = params.api.getSelectedRows()[0] ?? new InvCkdPhysicalStockTransactionDto();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this._service.getPhysicalStockTransactionToExcel(
			this.partNo,
			this.partNoNormalized,
			this.partName,
			this.partNoNormalizedS4,
			this.colorSfx,
			this.partListId,
			this.partListGradeId,
			this.materialId,
			this.qty,
			this.transactionDatetime,
			this.lotNo,
			this.referenceId,
			this.workingDate,
			this.periodId,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Physical Stock Issuing Transaction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&lt;create-or-edit-physicalstocktransaction-modal
    #createOrEditModalPhysicalStockTransaction
    (modalSave)="callBackDataGrid(dataParams)"
    (modalClose)="onChangeRowSelection(dataParams)"
&gt;
&lt;/create-or-edit-physicalstocktransaction-modal&gt;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#createOrEditModalPhysicalStockTransaction="bs-modal"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PhysicalStockTransaction')}}&lt;/h3&gt;
                    &lt;h3 *ngIf="!rowdata.id"&gt;{{('Create New PhysicalStockTransaction')}}&lt;/h3&gt;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CreateOrEditInvCkdPhysicalStockTransactionDto, InvCkdPhysicalStockTransactionServiceProxy } from '@shared/service-proxies/service-proxies';
import { BsDatepickerDirective } from 'ngx-bootstrap/datepicker';
@Component({
    selector: 'create-or-edit-physicalstocktransaction-modal',
    templateUrl: './create-or-edit-physicalstocktransaction-modal.component.html',
    styleUrls: ['./create-or-edit-physicalstocktransaction-modal.component.less']
    })
export class CreateOrEditPhysicalStockTransactionModalComponent extends AppComponentBase {
    @ViewChild('createOrEditModalPhysicalStockTransaction',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CreateOrEditInvCkdPhysicalStockTransactionDto = new CreateOrEditInvCkdPhysicalStockTransactionDto();
    active: boolean = false;
    saving: boolean = false;
    _isActive: boolean;
    constructor(
        injector: Injector,
        private _mstwptPhysicalStockTransactionService: InvCkdPhysicalStockTransactionServiceProxy,
    ) 
    {
        super(injector);
    }
    show(rowdata?: CreateOrEditInvCkdPhysicalStockTransactionDto): void {
        if (!rowdata) this.rowdata = new CreateOrEditInvCkdPhysicalStockTransactionDto();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this._mstwptPhysicalStockTransactionService.createOrEdit(this.rowdata)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PhysicalStockTransactionRoutingModule } from './physicalstocktransaction-routing.module';
import { PhysicalStockTransactionComponent } from './physicalstocktransaction.component';
import { CreateOrEditPhysicalStockTransactionModalComponent } from './create-or-edit-physicalstocktransaction-modal.component';
@NgModule({
    declarations: [
       PhysicalStockTransactionComponent, 
        CreateOrEditPhysicalStockTransactionModalComponent
    ],
    imports: [
        AppSharedModule, PhysicalStockTransactionRoutingModule]
})
export class PhysicalStockTransactionModule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PhysicalStockTransactionComponent } from './physicalstocktransaction.component';
const routes: Routes = [{
    path: '',
    component: PhysicalStockTransactionComponent,
    pathMatch: 'full'
}];
@NgModule({
    imports: [RouterModule.forChild(routes)],
    exports: [RouterModule],
})
export class PhysicalStockTransactionRoutingModule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AppMenuItem("PhysicalStockTransaction", "Pages.Inventory.CKD.PhysicalStockTransaction", "flaticon-book",   "/app/main/inventory/ckd/physicalstocktransaction"),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'inventory/ckd/physicalstocktransaction',
    loadChildren: () =&gt; import('./inventory/ckd/physicalstocktransaction/physicalstocktransaction.module').then(m =&gt; m.PhysicalStockTransactionModule),
    data: { permission: 'Pages.Inventory.CKD.PhysicalStockTransaction' }
},</v>
      </c>
      <c r="R10" s="47" t="str">
        <f>SUBSTITUTE(R9,"MstWptCalendar",$B$6)</f>
        <v>ApiServiceProxies.InvCkdPhysicalStockTransactionServiceProxy,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this.l('Lot No'),headerTooltip: this.l('Lot No'),field: 'lotNo',flex: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partNoNormalized : string = '' ; 
	partName : string = '' ; 
	partNoNormalizedS4 : string = '' ; 
	colorSfx : string = '' ; 
	partListId
	partListGradeId
	materialId
	qty
	transactionDatetime
	lotNo : string = '' ; 
	referenceId
	workingDate
	periodId
	isActive : string = '' ; </v>
      </c>
      <c r="T13" s="63" t="str">
        <f ca="1">TEXTJOIN2("
",TRUE,INDIRECT(T11):INDIRECT(T12))</f>
        <v xml:space="preserve">			this.partNo,
			this.partNoNormalized,
			this.partName,
			this.partNoNormalizedS4,
			this.colorSfx,
			this.partListId,
			this.partListGradeId,
			this.materialId,
			this.qty,
			this.transactionDatetime,
			this.lotNo,
			this.referenceId,
			this.workingDate,
			this.periodId,
			this.isActive,</v>
      </c>
      <c r="U13" s="63" t="str">
        <f ca="1">TEXTJOIN2("
",TRUE,INDIRECT(U11):INDIRECT(U12))</f>
        <v xml:space="preserve">		this.partNo = '',
		this.partNoNormalized = '',
		this.partName = '',
		this.partNoNormalizedS4 = '',
		this.colorSfx = '',
		this.partListId = '',
		this.partListGradeId = '',
		this.materialId = '',
		this.qty = '',
		this.transactionDatetime = '',
		this.lotNo = '',
		this.referenceId = '',
		this.workingDate = '',
		this.periodId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physicalstocktransaction.component.ts</v>
      </c>
      <c r="I14" s="37" t="str">
        <f>B8&amp;".component.html"</f>
        <v>physicalstocktransaction.component.html</v>
      </c>
      <c r="J14" s="36" t="str">
        <f>B8&amp;".component.less"</f>
        <v>physicalstocktransaction.component.less</v>
      </c>
      <c r="K14" s="37" t="str">
        <f>"create-or-edit-"&amp;B8&amp;"-modal.component.html"</f>
        <v>create-or-edit-physicalstocktransaction-modal.component.html</v>
      </c>
      <c r="L14" s="37" t="str">
        <f>"create-or-edit-"&amp;B8&amp;"-modal.component.ts"</f>
        <v>create-or-edit-physicalstocktransaction-modal.component.ts</v>
      </c>
      <c r="M14" s="37" t="str">
        <f>"create-or-edit-"&amp;B8&amp;"-modal.component.less"</f>
        <v>create-or-edit-physicalstocktransaction-modal.component.less</v>
      </c>
      <c r="N14" s="37" t="str">
        <f>B8&amp;".module.ts"</f>
        <v>physicalstocktransaction.module.ts</v>
      </c>
      <c r="O14" s="37" t="str">
        <f>B8&amp;"-routing.module.ts"</f>
        <v>physicalstocktransaction-routing.module.ts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:B28" si="0">SUBSTITUTE(PROPER(A15),"_","")</f>
        <v>PartNo</v>
      </c>
      <c r="C15" s="28" t="str">
        <f t="shared" ref="C15:C28" si="1">SUBSTITUTE(PROPER(A15),"_"," ")</f>
        <v>Part No</v>
      </c>
      <c r="D15" s="28" t="str">
        <f t="shared" ref="D15:D29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:G29" si="3">IF(E15="string"," : string = '' ; ",IF(OR(E15="DateTime",E15="TimeSpan")," : any ;",IF(E15="int"," : number = 0 ;","")))</f>
        <v xml:space="preserve"> : string = '' ; </v>
      </c>
      <c r="H15" s="35" t="str">
        <f t="shared" ref="H15:H2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28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28" si="8">IF(AND(E15="string",F15="1"),D15,"")</f>
        <v/>
      </c>
    </row>
    <row r="16" spans="1:22" ht="18" customHeight="1" x14ac:dyDescent="0.25">
      <c r="A16" t="s">
        <v>366</v>
      </c>
      <c r="B16" s="28" t="str">
        <f t="shared" ref="B16" si="9">SUBSTITUTE(PROPER(A16),"_","")</f>
        <v>PartNoNormalized</v>
      </c>
      <c r="C16" s="28" t="str">
        <f t="shared" ref="C16" si="10">SUBSTITUTE(PROPER(A16),"_"," ")</f>
        <v>Part No Normalized</v>
      </c>
      <c r="D16" s="28" t="str">
        <f t="shared" si="2"/>
        <v>partNoNormalized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this.l('Part No Normalized'),headerTooltip: this.l('Part No Normalized'),field: 'partNoNormalized',flex: 1},</v>
      </c>
      <c r="I16" s="35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9" si="12">REPT(CHAR(9),1)&amp;D16&amp;G16</f>
        <v xml:space="preserve">	partNoNormalized : string = '' ; </v>
      </c>
      <c r="T16" s="28" t="str">
        <f t="shared" ref="T16:T29" si="13">REPT(CHAR(9),3)&amp;"this."&amp;D16&amp;","</f>
        <v xml:space="preserve">			this.partNoNormalized,</v>
      </c>
      <c r="U16" s="28" t="str">
        <f t="shared" ref="U16:U29" si="14">IF(E16="int",REPT(CHAR(9),2)&amp;"this."&amp;D16&amp;" = 0,",REPT(CHAR(9),2)&amp;"this."&amp;D16&amp;" = '',")</f>
        <v xml:space="preserve">		this.partNoNormalized = '',</v>
      </c>
      <c r="V16" s="28" t="str">
        <f t="shared" ref="V16" si="15">IF(AND(E16="string",F16="1"),D16,"")</f>
        <v/>
      </c>
    </row>
    <row r="17" spans="1:22" ht="18" customHeight="1" x14ac:dyDescent="0.25">
      <c r="A17" t="s">
        <v>359</v>
      </c>
      <c r="B17" s="28" t="str">
        <f>SUBSTITUTE(PROPER(A17),"_","")</f>
        <v>PartName</v>
      </c>
      <c r="C17" s="28" t="str">
        <f>SUBSTITUTE(PROPER(A17),"_"," ")</f>
        <v>Part Name</v>
      </c>
      <c r="D17" s="28" t="str">
        <f t="shared" si="2"/>
        <v>partName</v>
      </c>
      <c r="E17" s="28" t="str">
        <f>A.Backend!H11</f>
        <v>string</v>
      </c>
      <c r="F17" s="28" t="str">
        <f>A.Backend!G11</f>
        <v>300</v>
      </c>
      <c r="G17" s="28" t="str">
        <f t="shared" si="3"/>
        <v xml:space="preserve"> : string = '' ; </v>
      </c>
      <c r="H17" s="35" t="str">
        <f t="shared" si="4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partName : string = '' ; </v>
      </c>
      <c r="T17" s="28" t="str">
        <f t="shared" si="13"/>
        <v xml:space="preserve">			this.partName,</v>
      </c>
      <c r="U17" s="28" t="str">
        <f t="shared" si="14"/>
        <v xml:space="preserve">		this.partName = '',</v>
      </c>
      <c r="V17" s="28" t="str">
        <f>IF(AND(E17="string",F17="1"),D17,"")</f>
        <v/>
      </c>
    </row>
    <row r="18" spans="1:22" ht="15" customHeight="1" x14ac:dyDescent="0.25">
      <c r="A18" t="s">
        <v>362</v>
      </c>
      <c r="B18" s="28" t="str">
        <f t="shared" ref="B18:B22" si="16">SUBSTITUTE(PROPER(A18),"_","")</f>
        <v>PartNoNormalizedS4</v>
      </c>
      <c r="C18" s="28" t="str">
        <f t="shared" ref="C18:C22" si="17">SUBSTITUTE(PROPER(A18),"_"," ")</f>
        <v>Part No Normalized S4</v>
      </c>
      <c r="D18" s="28" t="str">
        <f t="shared" ref="D18:D22" si="18">LOWER(LEFT(B18,1))&amp;RIGHT(B18,LEN(B18) - 1)</f>
        <v>partNoNormalizedS4</v>
      </c>
      <c r="E18" s="28" t="str">
        <f>A.Backend!H12</f>
        <v>string</v>
      </c>
      <c r="F18" s="28" t="str">
        <f>A.Backend!G12</f>
        <v>10</v>
      </c>
      <c r="G18" s="28" t="str">
        <f t="shared" ref="G18:G22" si="19">IF(E18="string"," : string = '' ; ",IF(OR(E18="DateTime",E18="TimeSpan")," : any ;",IF(E18="int"," : number = 0 ;","")))</f>
        <v xml:space="preserve"> : string = '' ; </v>
      </c>
      <c r="H18" s="35" t="str">
        <f t="shared" ref="H18:H22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 Normalized S4'),headerTooltip: this.l('Part No Normalized S4'),field: 'partNoNormalizedS4',flex: 1},</v>
      </c>
      <c r="I18" s="35" t="str">
        <f t="shared" ref="I18:I22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[(ngModel)]='partNoNormalizedS4' name='partNoNormalizedS4'
									class='form-control' [placeholder]="l('Part No Normalized S4')"
									type='text' (keyup.enter)='searchDatas()'&gt;
								&lt;/div&gt;</v>
      </c>
      <c r="J18" s="28"/>
      <c r="K18" s="35" t="str">
        <f t="shared" ref="K18:K22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</v>
      </c>
      <c r="L18" s="56" t="str">
        <f t="shared" ref="L18:L22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22" si="24">REPT(CHAR(9),1)&amp;D18&amp;G18</f>
        <v xml:space="preserve">	partNoNormalizedS4 : string = '' ; </v>
      </c>
      <c r="T18" s="28" t="str">
        <f t="shared" ref="T18:T22" si="25">REPT(CHAR(9),3)&amp;"this."&amp;D18&amp;","</f>
        <v xml:space="preserve">			this.partNoNormalizedS4,</v>
      </c>
      <c r="U18" s="28" t="str">
        <f t="shared" ref="U18:U22" si="26">IF(E18="int",REPT(CHAR(9),2)&amp;"this."&amp;D18&amp;" = 0,",REPT(CHAR(9),2)&amp;"this."&amp;D18&amp;" = '',")</f>
        <v xml:space="preserve">		this.partNoNormalizedS4 = '',</v>
      </c>
      <c r="V18" s="28" t="str">
        <f t="shared" ref="V18:V22" si="27">IF(AND(E18="string",F18="1"),D18,"")</f>
        <v/>
      </c>
    </row>
    <row r="19" spans="1:22" ht="18" customHeight="1" x14ac:dyDescent="0.25">
      <c r="A19" t="s">
        <v>360</v>
      </c>
      <c r="B19" s="28" t="str">
        <f t="shared" si="16"/>
        <v>ColorSfx</v>
      </c>
      <c r="C19" s="28" t="str">
        <f t="shared" si="17"/>
        <v>Color Sfx</v>
      </c>
      <c r="D19" s="28" t="str">
        <f t="shared" si="18"/>
        <v>colorSfx</v>
      </c>
      <c r="E19" s="28" t="str">
        <f>A.Backend!H13</f>
        <v>string</v>
      </c>
      <c r="F19" s="28" t="str">
        <f>A.Backend!G13</f>
        <v>2</v>
      </c>
      <c r="G19" s="28" t="str">
        <f t="shared" si="19"/>
        <v xml:space="preserve"> : string = '' ; </v>
      </c>
      <c r="H19" s="35" t="str">
        <f t="shared" si="20"/>
        <v xml:space="preserve">			{headerName: this.l('Color Sfx'),headerTooltip: this.l('Color Sfx'),field: 'colorSfx',flex: 1},</v>
      </c>
      <c r="I19" s="35" t="str">
        <f t="shared" si="21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19" s="28"/>
      <c r="K19" s="35" t="str">
        <f t="shared" si="22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24"/>
        <v xml:space="preserve">	colorSfx : string = '' ; </v>
      </c>
      <c r="T19" s="28" t="str">
        <f t="shared" si="25"/>
        <v xml:space="preserve">			this.colorSfx,</v>
      </c>
      <c r="U19" s="28" t="str">
        <f t="shared" si="26"/>
        <v xml:space="preserve">		this.colorSfx = '',</v>
      </c>
      <c r="V19" s="28" t="str">
        <f t="shared" si="27"/>
        <v/>
      </c>
    </row>
    <row r="20" spans="1:22" ht="15" customHeight="1" x14ac:dyDescent="0.25">
      <c r="A20" t="s">
        <v>364</v>
      </c>
      <c r="B20" s="28" t="str">
        <f t="shared" si="16"/>
        <v>PartListId</v>
      </c>
      <c r="C20" s="28" t="str">
        <f t="shared" si="17"/>
        <v>Part List Id</v>
      </c>
      <c r="D20" s="28" t="str">
        <f t="shared" si="18"/>
        <v>partListId</v>
      </c>
      <c r="E20" s="28" t="str">
        <f>A.Backend!H14</f>
        <v>long?</v>
      </c>
      <c r="F20" s="28" t="str">
        <f>A.Backend!G14</f>
        <v/>
      </c>
      <c r="G20" s="28" t="str">
        <f t="shared" si="19"/>
        <v/>
      </c>
      <c r="H20" s="35" t="str">
        <f t="shared" si="20"/>
        <v xml:space="preserve">			{headerName: this.l('Part List Id'),headerTooltip: this.l('Part List Id'),field: 'partListId',flex: 1},</v>
      </c>
      <c r="I20" s="35" t="str">
        <f t="shared" si="21"/>
        <v/>
      </c>
      <c r="J20" s="28"/>
      <c r="K20" s="35" t="str">
        <f t="shared" si="22"/>
        <v/>
      </c>
      <c r="L20" s="56" t="str">
        <f t="shared" si="23"/>
        <v/>
      </c>
      <c r="M20" s="28"/>
      <c r="N20" s="28"/>
      <c r="O20" s="28"/>
      <c r="P20" s="28"/>
      <c r="Q20" s="28"/>
      <c r="R20" s="28"/>
      <c r="S20" s="28" t="str">
        <f t="shared" si="24"/>
        <v xml:space="preserve">	partListId</v>
      </c>
      <c r="T20" s="28" t="str">
        <f t="shared" si="25"/>
        <v xml:space="preserve">			this.partListId,</v>
      </c>
      <c r="U20" s="28" t="str">
        <f t="shared" si="26"/>
        <v xml:space="preserve">		this.partListId = '',</v>
      </c>
      <c r="V20" s="28" t="str">
        <f t="shared" si="27"/>
        <v/>
      </c>
    </row>
    <row r="21" spans="1:22" ht="18" customHeight="1" x14ac:dyDescent="0.25">
      <c r="A21" t="s">
        <v>377</v>
      </c>
      <c r="B21" s="28" t="str">
        <f t="shared" si="16"/>
        <v>PartListGradeId</v>
      </c>
      <c r="C21" s="28" t="str">
        <f t="shared" si="17"/>
        <v>Part List Grade Id</v>
      </c>
      <c r="D21" s="28" t="str">
        <f t="shared" si="18"/>
        <v>partListGradeId</v>
      </c>
      <c r="E21" s="28" t="str">
        <f>A.Backend!H15</f>
        <v>long?</v>
      </c>
      <c r="F21" s="28" t="str">
        <f>A.Backend!G15</f>
        <v/>
      </c>
      <c r="G21" s="28" t="str">
        <f t="shared" si="19"/>
        <v/>
      </c>
      <c r="H21" s="35" t="str">
        <f t="shared" si="20"/>
        <v xml:space="preserve">			{headerName: this.l('Part List Grade Id'),headerTooltip: this.l('Part List Grade Id'),field: 'partListGradeId',flex: 1},</v>
      </c>
      <c r="I21" s="35" t="str">
        <f t="shared" si="21"/>
        <v/>
      </c>
      <c r="J21" s="28"/>
      <c r="K21" s="35" t="str">
        <f t="shared" si="22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si="24"/>
        <v xml:space="preserve">	partListGradeId</v>
      </c>
      <c r="T21" s="28" t="str">
        <f t="shared" si="25"/>
        <v xml:space="preserve">			this.partListGradeId,</v>
      </c>
      <c r="U21" s="28" t="str">
        <f t="shared" si="26"/>
        <v xml:space="preserve">		this.partListGradeId = '',</v>
      </c>
      <c r="V21" s="28" t="str">
        <f t="shared" si="27"/>
        <v/>
      </c>
    </row>
    <row r="22" spans="1:22" ht="18" customHeight="1" x14ac:dyDescent="0.25">
      <c r="A22" t="s">
        <v>363</v>
      </c>
      <c r="B22" s="28" t="str">
        <f t="shared" si="16"/>
        <v>MaterialId</v>
      </c>
      <c r="C22" s="28" t="str">
        <f t="shared" si="17"/>
        <v>Material Id</v>
      </c>
      <c r="D22" s="28" t="str">
        <f t="shared" si="18"/>
        <v>materialId</v>
      </c>
      <c r="E22" s="28" t="str">
        <f>A.Backend!H16</f>
        <v>long?</v>
      </c>
      <c r="F22" s="28" t="str">
        <f>A.Backend!G16</f>
        <v/>
      </c>
      <c r="G22" s="28" t="str">
        <f t="shared" si="19"/>
        <v/>
      </c>
      <c r="H22" s="35" t="str">
        <f t="shared" si="20"/>
        <v xml:space="preserve">			{headerName: this.l('Material Id'),headerTooltip: this.l('Material Id'),field: 'materialId',flex: 1},</v>
      </c>
      <c r="I22" s="35" t="str">
        <f t="shared" si="21"/>
        <v/>
      </c>
      <c r="J22" s="28"/>
      <c r="K22" s="35" t="str">
        <f t="shared" si="22"/>
        <v/>
      </c>
      <c r="L22" s="56" t="str">
        <f t="shared" si="23"/>
        <v/>
      </c>
      <c r="M22" s="28"/>
      <c r="N22" s="28"/>
      <c r="O22" s="28"/>
      <c r="P22" s="28"/>
      <c r="Q22" s="28"/>
      <c r="R22" s="28"/>
      <c r="S22" s="28" t="str">
        <f t="shared" si="24"/>
        <v xml:space="preserve">	materialId</v>
      </c>
      <c r="T22" s="28" t="str">
        <f t="shared" si="25"/>
        <v xml:space="preserve">			this.materialId,</v>
      </c>
      <c r="U22" s="28" t="str">
        <f t="shared" si="26"/>
        <v xml:space="preserve">		this.materialId = '',</v>
      </c>
      <c r="V22" s="28" t="str">
        <f t="shared" si="27"/>
        <v/>
      </c>
    </row>
    <row r="23" spans="1:22" ht="15" customHeight="1" x14ac:dyDescent="0.25">
      <c r="A23" t="s">
        <v>368</v>
      </c>
      <c r="B23" s="28" t="str">
        <f t="shared" ref="B23" si="28">SUBSTITUTE(PROPER(A23),"_","")</f>
        <v>Qty</v>
      </c>
      <c r="C23" s="28" t="str">
        <f t="shared" ref="C23" si="29">SUBSTITUTE(PROPER(A23),"_"," ")</f>
        <v>Qty</v>
      </c>
      <c r="D23" s="28" t="str">
        <f t="shared" si="2"/>
        <v>qty</v>
      </c>
      <c r="E23" s="28" t="str">
        <f>A.Backend!H17</f>
        <v>decimal?</v>
      </c>
      <c r="F23" s="28" t="str">
        <f>A.Backend!G17</f>
        <v>6,4</v>
      </c>
      <c r="G23" s="28" t="str">
        <f t="shared" si="3"/>
        <v/>
      </c>
      <c r="H23" s="35" t="str">
        <f t="shared" si="4"/>
        <v xml:space="preserve">			{headerName: this.l('Qty'),headerTooltip: this.l('Qty'),field: 'qty',flex: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" si="30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2"/>
        <v xml:space="preserve">	qty</v>
      </c>
      <c r="T23" s="28" t="str">
        <f t="shared" si="13"/>
        <v xml:space="preserve">			this.qty,</v>
      </c>
      <c r="U23" s="28" t="str">
        <f t="shared" si="14"/>
        <v xml:space="preserve">		this.qty = '',</v>
      </c>
      <c r="V23" s="28" t="str">
        <f t="shared" ref="V23" si="31">IF(AND(E23="string",F23="1"),D23,"")</f>
        <v/>
      </c>
    </row>
    <row r="24" spans="1:22" ht="18" customHeight="1" x14ac:dyDescent="0.25">
      <c r="A24" t="s">
        <v>374</v>
      </c>
      <c r="B24" s="28" t="str">
        <f t="shared" si="0"/>
        <v>TransactionDatetime</v>
      </c>
      <c r="C24" s="28" t="str">
        <f t="shared" si="1"/>
        <v>Transaction Datetime</v>
      </c>
      <c r="D24" s="28" t="str">
        <f t="shared" si="2"/>
        <v>transactionDatetime</v>
      </c>
      <c r="E24" s="28" t="str">
        <f>A.Backend!H18</f>
        <v>DateTime?</v>
      </c>
      <c r="F24" s="28" t="str">
        <f>A.Backend!G18</f>
        <v>7</v>
      </c>
      <c r="G24" s="28" t="str">
        <f t="shared" si="3"/>
        <v/>
      </c>
      <c r="H24" s="35" t="str">
        <f t="shared" si="4"/>
        <v xml:space="preserve">			{headerName: this.l('Transaction Datetime'),headerTooltip: this.l('Transaction Datetime'),field: 'transactionDatetime',flex: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7"/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transactionDatetime</v>
      </c>
      <c r="T24" s="28" t="str">
        <f t="shared" si="13"/>
        <v xml:space="preserve">			this.transactionDatetime,</v>
      </c>
      <c r="U24" s="28" t="str">
        <f t="shared" si="14"/>
        <v xml:space="preserve">		this.transactionDatetime = '',</v>
      </c>
      <c r="V24" s="28" t="str">
        <f t="shared" si="8"/>
        <v/>
      </c>
    </row>
    <row r="25" spans="1:22" ht="18" customHeight="1" x14ac:dyDescent="0.25">
      <c r="A25" t="s">
        <v>379</v>
      </c>
      <c r="B25" s="28" t="str">
        <f t="shared" ref="B25" si="32">SUBSTITUTE(PROPER(A25),"_","")</f>
        <v>LotNo</v>
      </c>
      <c r="C25" s="28" t="str">
        <f t="shared" ref="C25" si="33">SUBSTITUTE(PROPER(A25),"_"," ")</f>
        <v>Lot No</v>
      </c>
      <c r="D25" s="28" t="str">
        <f t="shared" ref="D25" si="34">LOWER(LEFT(B25,1))&amp;RIGHT(B25,LEN(B25) - 1)</f>
        <v>lotNo</v>
      </c>
      <c r="E25" s="28" t="str">
        <f>A.Backend!H19</f>
        <v>string</v>
      </c>
      <c r="F25" s="28" t="str">
        <f>A.Backend!G19</f>
        <v>20</v>
      </c>
      <c r="G25" s="28" t="str">
        <f t="shared" ref="G25" si="35">IF(E25="string"," : string = '' ; ",IF(OR(E25="DateTime",E25="TimeSpan")," : any ;",IF(E25="int"," : number = 0 ;","")))</f>
        <v xml:space="preserve"> : string = '' ; </v>
      </c>
      <c r="H25" s="35" t="str">
        <f t="shared" ref="H25" si="36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this.l('Lot No'),headerTooltip: this.l('Lot No'),field: 'lotNo',flex: 1},</v>
      </c>
      <c r="I25" s="35" t="str">
        <f t="shared" ref="I25" si="37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5" s="28"/>
      <c r="K25" s="35" t="str">
        <f t="shared" ref="K25" si="38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5" s="56" t="str">
        <f t="shared" ref="L25" si="39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ref="S25" si="40">REPT(CHAR(9),1)&amp;D25&amp;G25</f>
        <v xml:space="preserve">	lotNo : string = '' ; </v>
      </c>
      <c r="T25" s="28" t="str">
        <f t="shared" ref="T25" si="41">REPT(CHAR(9),3)&amp;"this."&amp;D25&amp;","</f>
        <v xml:space="preserve">			this.lotNo,</v>
      </c>
      <c r="U25" s="28" t="str">
        <f t="shared" ref="U25" si="42">IF(E25="int",REPT(CHAR(9),2)&amp;"this."&amp;D25&amp;" = 0,",REPT(CHAR(9),2)&amp;"this."&amp;D25&amp;" = '',")</f>
        <v xml:space="preserve">		this.lotNo = '',</v>
      </c>
      <c r="V25" s="28" t="str">
        <f t="shared" ref="V25" si="43">IF(AND(E25="string",F25="1"),D25,"")</f>
        <v/>
      </c>
    </row>
    <row r="26" spans="1:22" ht="18" customHeight="1" x14ac:dyDescent="0.25">
      <c r="A26" t="s">
        <v>376</v>
      </c>
      <c r="B26" s="28" t="str">
        <f t="shared" si="0"/>
        <v>ReferenceId</v>
      </c>
      <c r="C26" s="28" t="str">
        <f t="shared" si="1"/>
        <v>Reference Id</v>
      </c>
      <c r="D26" s="28" t="str">
        <f t="shared" si="2"/>
        <v>referenceId</v>
      </c>
      <c r="E26" s="28" t="str">
        <f>A.Backend!H20</f>
        <v>long?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this.l('Reference Id'),headerTooltip: this.l('Reference Id'),field: 'referenceId',flex: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7"/>
        <v/>
      </c>
      <c r="M26" s="28"/>
      <c r="N26" s="28"/>
      <c r="O26" s="28"/>
      <c r="P26" s="28"/>
      <c r="Q26" s="28"/>
      <c r="R26" s="28"/>
      <c r="S26" s="28" t="str">
        <f t="shared" si="12"/>
        <v xml:space="preserve">	referenceId</v>
      </c>
      <c r="T26" s="28" t="str">
        <f t="shared" si="13"/>
        <v xml:space="preserve">			this.referenceId,</v>
      </c>
      <c r="U26" s="28" t="str">
        <f t="shared" si="14"/>
        <v xml:space="preserve">		this.referenceId = '',</v>
      </c>
      <c r="V26" s="28" t="str">
        <f t="shared" si="8"/>
        <v/>
      </c>
    </row>
    <row r="27" spans="1:22" ht="18" customHeight="1" x14ac:dyDescent="0.25">
      <c r="A27" t="s">
        <v>370</v>
      </c>
      <c r="B27" s="28" t="str">
        <f t="shared" si="0"/>
        <v>WorkingDate</v>
      </c>
      <c r="C27" s="28" t="str">
        <f t="shared" si="1"/>
        <v>Working Date</v>
      </c>
      <c r="D27" s="28" t="str">
        <f t="shared" si="2"/>
        <v>workingDate</v>
      </c>
      <c r="E27" s="28" t="str">
        <f>A.Backend!H21</f>
        <v>DateTime?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this.l('Working Date'),headerTooltip: this.l('Working Date'),field: 'workingDate',flex: 1},</v>
      </c>
      <c r="I27" s="35" t="str">
        <f t="shared" si="5"/>
        <v/>
      </c>
      <c r="J27" s="28"/>
      <c r="K27" s="35" t="str">
        <f t="shared" si="6"/>
        <v/>
      </c>
      <c r="L27" s="56" t="str">
        <f t="shared" si="7"/>
        <v/>
      </c>
      <c r="M27" s="28"/>
      <c r="N27" s="28"/>
      <c r="O27" s="28"/>
      <c r="P27" s="28"/>
      <c r="Q27" s="28"/>
      <c r="R27" s="28"/>
      <c r="S27" s="28" t="str">
        <f t="shared" si="12"/>
        <v xml:space="preserve">	workingDate</v>
      </c>
      <c r="T27" s="28" t="str">
        <f t="shared" si="13"/>
        <v xml:space="preserve">			this.workingDate,</v>
      </c>
      <c r="U27" s="28" t="str">
        <f t="shared" si="14"/>
        <v xml:space="preserve">		this.workingDate = '',</v>
      </c>
      <c r="V27" s="28" t="str">
        <f t="shared" si="8"/>
        <v/>
      </c>
    </row>
    <row r="28" spans="1:22" ht="15" customHeight="1" x14ac:dyDescent="0.25">
      <c r="A28" t="s">
        <v>369</v>
      </c>
      <c r="B28" s="28" t="str">
        <f t="shared" si="0"/>
        <v>PeriodId</v>
      </c>
      <c r="C28" s="28" t="str">
        <f t="shared" si="1"/>
        <v>Period Id</v>
      </c>
      <c r="D28" s="28" t="str">
        <f t="shared" ref="D28" si="44">LOWER(LEFT(B28,1))&amp;RIGHT(B28,LEN(B28) - 1)</f>
        <v>periodId</v>
      </c>
      <c r="E28" s="28" t="str">
        <f>A.Backend!H22</f>
        <v>long?</v>
      </c>
      <c r="F28" s="28" t="str">
        <f>A.Backend!G22</f>
        <v/>
      </c>
      <c r="G28" s="28" t="str">
        <f t="shared" ref="G28" si="45">IF(E28="string"," : string = '' ; ",IF(OR(E28="DateTime",E28="TimeSpan")," : any ;",IF(E28="int"," : number = 0 ;","")))</f>
        <v/>
      </c>
      <c r="H28" s="35" t="str">
        <f t="shared" ref="H28" si="46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this.l('Period Id'),headerTooltip: this.l('Period Id'),field: 'periodId',flex: 1},</v>
      </c>
      <c r="I28" s="35" t="str">
        <f t="shared" ref="I28" si="47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28"/>
      <c r="K28" s="35" t="str">
        <f t="shared" ref="K28" si="48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/>
      </c>
      <c r="L28" s="56" t="str">
        <f t="shared" si="7"/>
        <v/>
      </c>
      <c r="M28" s="28"/>
      <c r="N28" s="28"/>
      <c r="O28" s="28"/>
      <c r="P28" s="28"/>
      <c r="Q28" s="28"/>
      <c r="R28" s="28"/>
      <c r="S28" s="28" t="str">
        <f t="shared" ref="S28" si="49">REPT(CHAR(9),1)&amp;D28&amp;G28</f>
        <v xml:space="preserve">	periodId</v>
      </c>
      <c r="T28" s="28" t="str">
        <f t="shared" ref="T28" si="50">REPT(CHAR(9),3)&amp;"this."&amp;D28&amp;","</f>
        <v xml:space="preserve">			this.periodId,</v>
      </c>
      <c r="U28" s="28" t="str">
        <f t="shared" ref="U28" si="51">IF(E28="int",REPT(CHAR(9),2)&amp;"this."&amp;D28&amp;" = 0,",REPT(CHAR(9),2)&amp;"this."&amp;D28&amp;" = '',")</f>
        <v xml:space="preserve">		this.periodId = '',</v>
      </c>
      <c r="V28" s="28" t="str">
        <f t="shared" si="8"/>
        <v/>
      </c>
    </row>
    <row r="29" spans="1:22" ht="18" customHeight="1" x14ac:dyDescent="0.25">
      <c r="A29" s="28" t="s">
        <v>319</v>
      </c>
      <c r="B29" s="28" t="str">
        <f t="shared" ref="B29" si="52">SUBSTITUTE(PROPER(A29),"_","")</f>
        <v>IsActive</v>
      </c>
      <c r="C29" s="28" t="str">
        <f t="shared" ref="C29" si="53">SUBSTITUTE(PROPER(A29),"_"," ")</f>
        <v>Is Active</v>
      </c>
      <c r="D29" s="28" t="str">
        <f t="shared" si="2"/>
        <v>isActive</v>
      </c>
      <c r="E29" s="28" t="str">
        <f>A.Backend!H24</f>
        <v>string</v>
      </c>
      <c r="F29" s="28" t="str">
        <f>A.Backend!G24</f>
        <v>1</v>
      </c>
      <c r="G29" s="28" t="str">
        <f t="shared" si="3"/>
        <v xml:space="preserve"> : string = '' ; </v>
      </c>
      <c r="H29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56" t="str">
        <f t="shared" ref="L29" si="54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12"/>
        <v xml:space="preserve">	isActive : string = '' ; </v>
      </c>
      <c r="T29" s="28" t="str">
        <f t="shared" si="13"/>
        <v xml:space="preserve">			this.isActive,</v>
      </c>
      <c r="U29" s="28" t="str">
        <f t="shared" si="14"/>
        <v xml:space="preserve">		this.isActive = '',</v>
      </c>
      <c r="V29" s="28" t="str">
        <f t="shared" ref="V29" si="55">IF(AND(E29="string",F29="1"),D29,"")</f>
        <v>isActive</v>
      </c>
    </row>
    <row r="3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2023-06-22T05:00:55Z</dcterms:modified>
</cp:coreProperties>
</file>
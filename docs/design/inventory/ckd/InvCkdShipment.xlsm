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inventory\ckd\"/>
    </mc:Choice>
  </mc:AlternateContent>
  <bookViews>
    <workbookView xWindow="0" yWindow="271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G19" i="5" s="1"/>
  <c r="F19" i="5"/>
  <c r="V19" i="5" s="1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I31" i="5" s="1"/>
  <c r="F31" i="5"/>
  <c r="E32" i="5"/>
  <c r="F32" i="5"/>
  <c r="E34" i="5"/>
  <c r="F34" i="5"/>
  <c r="L32" i="5"/>
  <c r="F15" i="5"/>
  <c r="E15" i="5"/>
  <c r="G15" i="5" s="1"/>
  <c r="C33" i="5"/>
  <c r="B33" i="5"/>
  <c r="D33" i="5" s="1"/>
  <c r="G32" i="5"/>
  <c r="V32" i="5"/>
  <c r="C32" i="5"/>
  <c r="I32" i="5" s="1"/>
  <c r="B32" i="5"/>
  <c r="D32" i="5" s="1"/>
  <c r="U32" i="5" s="1"/>
  <c r="C31" i="5"/>
  <c r="B31" i="5"/>
  <c r="D31" i="5" s="1"/>
  <c r="L30" i="5"/>
  <c r="G30" i="5"/>
  <c r="V30" i="5"/>
  <c r="D30" i="5"/>
  <c r="U30" i="5" s="1"/>
  <c r="C30" i="5"/>
  <c r="B30" i="5"/>
  <c r="I29" i="5"/>
  <c r="C29" i="5"/>
  <c r="B29" i="5"/>
  <c r="D29" i="5" s="1"/>
  <c r="L28" i="5"/>
  <c r="G28" i="5"/>
  <c r="V28" i="5"/>
  <c r="I28" i="5"/>
  <c r="C28" i="5"/>
  <c r="B28" i="5"/>
  <c r="D28" i="5" s="1"/>
  <c r="U28" i="5" s="1"/>
  <c r="I27" i="5"/>
  <c r="C27" i="5"/>
  <c r="B27" i="5"/>
  <c r="D27" i="5" s="1"/>
  <c r="L26" i="5"/>
  <c r="G26" i="5"/>
  <c r="V26" i="5"/>
  <c r="C26" i="5"/>
  <c r="B26" i="5"/>
  <c r="D26" i="5" s="1"/>
  <c r="U26" i="5" s="1"/>
  <c r="C25" i="5"/>
  <c r="B25" i="5"/>
  <c r="D25" i="5" s="1"/>
  <c r="C19" i="5"/>
  <c r="B19" i="5"/>
  <c r="D19" i="5" s="1"/>
  <c r="C18" i="5"/>
  <c r="B18" i="5"/>
  <c r="D18" i="5" s="1"/>
  <c r="T18" i="5" s="1"/>
  <c r="G17" i="5"/>
  <c r="L17" i="5"/>
  <c r="C17" i="5"/>
  <c r="B17" i="5"/>
  <c r="D17" i="5" s="1"/>
  <c r="C16" i="5"/>
  <c r="B16" i="5"/>
  <c r="D16" i="5" s="1"/>
  <c r="T16" i="5" s="1"/>
  <c r="C15" i="5"/>
  <c r="B15" i="5"/>
  <c r="D15" i="5" s="1"/>
  <c r="L27" i="1"/>
  <c r="G27" i="1"/>
  <c r="F33" i="5" s="1"/>
  <c r="E27" i="1"/>
  <c r="H27" i="1" s="1"/>
  <c r="E33" i="5" s="1"/>
  <c r="D27" i="1"/>
  <c r="V27" i="1" s="1"/>
  <c r="L26" i="1"/>
  <c r="G26" i="1"/>
  <c r="E26" i="1"/>
  <c r="H26" i="1" s="1"/>
  <c r="D26" i="1"/>
  <c r="V26" i="1" s="1"/>
  <c r="G25" i="1"/>
  <c r="E25" i="1"/>
  <c r="H25" i="1" s="1"/>
  <c r="M25" i="1" s="1"/>
  <c r="D25" i="1"/>
  <c r="T25" i="1" s="1"/>
  <c r="L24" i="1"/>
  <c r="G24" i="1"/>
  <c r="E24" i="1"/>
  <c r="H24" i="1" s="1"/>
  <c r="D24" i="1"/>
  <c r="V24" i="1" s="1"/>
  <c r="G23" i="1"/>
  <c r="E23" i="1"/>
  <c r="H23" i="1" s="1"/>
  <c r="M23" i="1" s="1"/>
  <c r="D23" i="1"/>
  <c r="T23" i="1" s="1"/>
  <c r="L21" i="1"/>
  <c r="G21" i="1"/>
  <c r="E21" i="1"/>
  <c r="H21" i="1" s="1"/>
  <c r="D21" i="1"/>
  <c r="V21" i="1" s="1"/>
  <c r="H20" i="1"/>
  <c r="G20" i="1"/>
  <c r="E20" i="1"/>
  <c r="D20" i="1"/>
  <c r="T20" i="1" s="1"/>
  <c r="G19" i="1"/>
  <c r="E19" i="1"/>
  <c r="H19" i="1" s="1"/>
  <c r="D19" i="1"/>
  <c r="V19" i="1" s="1"/>
  <c r="G16" i="1"/>
  <c r="E16" i="1"/>
  <c r="H16" i="1" s="1"/>
  <c r="D16" i="1"/>
  <c r="V16" i="1" s="1"/>
  <c r="H15" i="1"/>
  <c r="M15" i="1" s="1"/>
  <c r="G15" i="1"/>
  <c r="E15" i="1"/>
  <c r="D15" i="1"/>
  <c r="T15" i="1" s="1"/>
  <c r="G14" i="1"/>
  <c r="E14" i="1"/>
  <c r="H14" i="1" s="1"/>
  <c r="D14" i="1"/>
  <c r="V14" i="1" s="1"/>
  <c r="G13" i="1"/>
  <c r="E13" i="1"/>
  <c r="H13" i="1" s="1"/>
  <c r="M13" i="1" s="1"/>
  <c r="D13" i="1"/>
  <c r="T13" i="1" s="1"/>
  <c r="G12" i="1"/>
  <c r="E12" i="1"/>
  <c r="H12" i="1" s="1"/>
  <c r="W12" i="1" s="1"/>
  <c r="D12" i="1"/>
  <c r="V12" i="1" s="1"/>
  <c r="G11" i="1"/>
  <c r="E11" i="1"/>
  <c r="H11" i="1" s="1"/>
  <c r="D11" i="1"/>
  <c r="T11" i="1" s="1"/>
  <c r="H33" i="5" l="1"/>
  <c r="H31" i="5"/>
  <c r="I15" i="5"/>
  <c r="H26" i="5"/>
  <c r="H16" i="5"/>
  <c r="I18" i="5"/>
  <c r="I30" i="5"/>
  <c r="I26" i="5"/>
  <c r="I33" i="5"/>
  <c r="T33" i="5"/>
  <c r="U33" i="5"/>
  <c r="I25" i="5"/>
  <c r="H29" i="5"/>
  <c r="T31" i="5"/>
  <c r="U31" i="5"/>
  <c r="T25" i="5"/>
  <c r="S25" i="5"/>
  <c r="U25" i="5"/>
  <c r="K25" i="5"/>
  <c r="T27" i="5"/>
  <c r="U27" i="5"/>
  <c r="H25" i="5"/>
  <c r="H27" i="5"/>
  <c r="T29" i="5"/>
  <c r="U29" i="5"/>
  <c r="S26" i="5"/>
  <c r="K27" i="5"/>
  <c r="H28" i="5"/>
  <c r="S28" i="5"/>
  <c r="H30" i="5"/>
  <c r="S30" i="5"/>
  <c r="K31" i="5"/>
  <c r="H32" i="5"/>
  <c r="S32" i="5"/>
  <c r="K33" i="5"/>
  <c r="L15" i="5"/>
  <c r="V16" i="5"/>
  <c r="G25" i="5"/>
  <c r="L25" i="5"/>
  <c r="V25" i="5"/>
  <c r="T26" i="5"/>
  <c r="G27" i="5"/>
  <c r="S27" i="5" s="1"/>
  <c r="L27" i="5"/>
  <c r="V27" i="5"/>
  <c r="T28" i="5"/>
  <c r="G29" i="5"/>
  <c r="S29" i="5" s="1"/>
  <c r="L29" i="5"/>
  <c r="V29" i="5"/>
  <c r="T30" i="5"/>
  <c r="G31" i="5"/>
  <c r="S31" i="5" s="1"/>
  <c r="L31" i="5"/>
  <c r="V31" i="5"/>
  <c r="T32" i="5"/>
  <c r="G33" i="5"/>
  <c r="S33" i="5" s="1"/>
  <c r="L33" i="5"/>
  <c r="V33" i="5"/>
  <c r="K29" i="5"/>
  <c r="K30" i="5"/>
  <c r="K32" i="5"/>
  <c r="K26" i="5"/>
  <c r="K28" i="5"/>
  <c r="V15" i="5"/>
  <c r="V17" i="5"/>
  <c r="U15" i="5"/>
  <c r="T15" i="5"/>
  <c r="S15" i="5"/>
  <c r="U17" i="5"/>
  <c r="T17" i="5"/>
  <c r="S17" i="5"/>
  <c r="H19" i="5"/>
  <c r="I19" i="5"/>
  <c r="I17" i="5"/>
  <c r="L19" i="5"/>
  <c r="U19" i="5"/>
  <c r="K19" i="5"/>
  <c r="T19" i="5"/>
  <c r="S19" i="5"/>
  <c r="K15" i="5"/>
  <c r="I16" i="5"/>
  <c r="H15" i="5"/>
  <c r="K16" i="5"/>
  <c r="U16" i="5"/>
  <c r="H17" i="5"/>
  <c r="K18" i="5"/>
  <c r="U18" i="5"/>
  <c r="G16" i="5"/>
  <c r="S16" i="5" s="1"/>
  <c r="L16" i="5"/>
  <c r="G18" i="5"/>
  <c r="L18" i="5"/>
  <c r="V18" i="5"/>
  <c r="H18" i="5"/>
  <c r="S18" i="5"/>
  <c r="K17" i="5"/>
  <c r="I20" i="1"/>
  <c r="P27" i="1"/>
  <c r="W27" i="1"/>
  <c r="O27" i="1"/>
  <c r="J27" i="1"/>
  <c r="N27" i="1"/>
  <c r="I27" i="1"/>
  <c r="M27" i="1"/>
  <c r="T27" i="1"/>
  <c r="P26" i="1"/>
  <c r="P24" i="1"/>
  <c r="W24" i="1"/>
  <c r="O24" i="1"/>
  <c r="J24" i="1"/>
  <c r="N24" i="1"/>
  <c r="I24" i="1"/>
  <c r="M24" i="1"/>
  <c r="W26" i="1"/>
  <c r="O26" i="1"/>
  <c r="J26" i="1"/>
  <c r="N26" i="1"/>
  <c r="I26" i="1"/>
  <c r="M26" i="1"/>
  <c r="I25" i="1"/>
  <c r="J23" i="1"/>
  <c r="O23" i="1"/>
  <c r="W23" i="1"/>
  <c r="T24" i="1"/>
  <c r="J25" i="1"/>
  <c r="O25" i="1"/>
  <c r="W25" i="1"/>
  <c r="T26" i="1"/>
  <c r="I23" i="1"/>
  <c r="V23" i="1"/>
  <c r="L23" i="1"/>
  <c r="P23" i="1"/>
  <c r="N23" i="1"/>
  <c r="N25" i="1"/>
  <c r="V25" i="1"/>
  <c r="L25" i="1"/>
  <c r="P25" i="1"/>
  <c r="P21" i="1"/>
  <c r="M20" i="1"/>
  <c r="L19" i="1"/>
  <c r="P19" i="1"/>
  <c r="W21" i="1"/>
  <c r="O21" i="1"/>
  <c r="J21" i="1"/>
  <c r="N21" i="1"/>
  <c r="I21" i="1"/>
  <c r="M21" i="1"/>
  <c r="W19" i="1"/>
  <c r="O19" i="1"/>
  <c r="J19" i="1"/>
  <c r="N19" i="1"/>
  <c r="I19" i="1"/>
  <c r="M19" i="1"/>
  <c r="N20" i="1"/>
  <c r="V20" i="1"/>
  <c r="T19" i="1"/>
  <c r="J20" i="1"/>
  <c r="O20" i="1"/>
  <c r="W20" i="1"/>
  <c r="T21" i="1"/>
  <c r="L20" i="1"/>
  <c r="P20" i="1"/>
  <c r="L15" i="1"/>
  <c r="P15" i="1"/>
  <c r="L13" i="1"/>
  <c r="P13" i="1"/>
  <c r="L12" i="1"/>
  <c r="P12" i="1"/>
  <c r="W14" i="1"/>
  <c r="O14" i="1"/>
  <c r="J14" i="1"/>
  <c r="N14" i="1"/>
  <c r="I14" i="1"/>
  <c r="M14" i="1"/>
  <c r="W16" i="1"/>
  <c r="O16" i="1"/>
  <c r="J16" i="1"/>
  <c r="N16" i="1"/>
  <c r="I16" i="1"/>
  <c r="M16" i="1"/>
  <c r="I13" i="1"/>
  <c r="N13" i="1"/>
  <c r="V13" i="1"/>
  <c r="L14" i="1"/>
  <c r="P14" i="1"/>
  <c r="I15" i="1"/>
  <c r="N15" i="1"/>
  <c r="V15" i="1"/>
  <c r="L16" i="1"/>
  <c r="P16" i="1"/>
  <c r="J13" i="1"/>
  <c r="O13" i="1"/>
  <c r="W13" i="1"/>
  <c r="T14" i="1"/>
  <c r="J15" i="1"/>
  <c r="O15" i="1"/>
  <c r="W15" i="1"/>
  <c r="T16" i="1"/>
  <c r="M11" i="1"/>
  <c r="I11" i="1"/>
  <c r="W11" i="1"/>
  <c r="O11" i="1"/>
  <c r="J11" i="1"/>
  <c r="N11" i="1"/>
  <c r="M12" i="1"/>
  <c r="T12" i="1"/>
  <c r="V11" i="1"/>
  <c r="L11" i="1"/>
  <c r="P11" i="1"/>
  <c r="I12" i="1"/>
  <c r="N12" i="1"/>
  <c r="J12" i="1"/>
  <c r="O12" i="1"/>
  <c r="C23" i="5"/>
  <c r="B23" i="5"/>
  <c r="D23" i="5" s="1"/>
  <c r="T23" i="5" s="1"/>
  <c r="C22" i="5"/>
  <c r="B22" i="5"/>
  <c r="D22" i="5" s="1"/>
  <c r="C21" i="5"/>
  <c r="B21" i="5"/>
  <c r="D21" i="5" s="1"/>
  <c r="T21" i="5" l="1"/>
  <c r="T22" i="5"/>
  <c r="B6" i="1"/>
  <c r="G22" i="1"/>
  <c r="E22" i="1"/>
  <c r="H22" i="1" s="1"/>
  <c r="D22" i="1"/>
  <c r="V22" i="1" s="1"/>
  <c r="W22" i="1" l="1"/>
  <c r="N22" i="1"/>
  <c r="I22" i="1"/>
  <c r="M22" i="1"/>
  <c r="O22" i="1"/>
  <c r="J22" i="1"/>
  <c r="L22" i="1"/>
  <c r="P22" i="1"/>
  <c r="T22" i="1"/>
  <c r="C24" i="5"/>
  <c r="B24" i="5"/>
  <c r="D24" i="5" s="1"/>
  <c r="C20" i="5"/>
  <c r="B20" i="5"/>
  <c r="D20" i="5" s="1"/>
  <c r="T20" i="5" s="1"/>
  <c r="L18" i="1"/>
  <c r="G18" i="1"/>
  <c r="E18" i="1"/>
  <c r="H18" i="1" s="1"/>
  <c r="D18" i="1"/>
  <c r="V18" i="1" s="1"/>
  <c r="G17" i="1"/>
  <c r="E17" i="1"/>
  <c r="H17" i="1" s="1"/>
  <c r="D17" i="1"/>
  <c r="T17" i="1" s="1"/>
  <c r="V23" i="5" l="1"/>
  <c r="H23" i="5"/>
  <c r="K23" i="5"/>
  <c r="L23" i="5"/>
  <c r="G23" i="5"/>
  <c r="S23" i="5" s="1"/>
  <c r="I23" i="5"/>
  <c r="U23" i="5"/>
  <c r="I22" i="5"/>
  <c r="V22" i="5"/>
  <c r="K22" i="5"/>
  <c r="U22" i="5"/>
  <c r="G22" i="5"/>
  <c r="S22" i="5" s="1"/>
  <c r="L22" i="5"/>
  <c r="H22" i="5"/>
  <c r="M17" i="1"/>
  <c r="T24" i="5"/>
  <c r="L17" i="1"/>
  <c r="P17" i="1"/>
  <c r="W18" i="1"/>
  <c r="O18" i="1"/>
  <c r="J18" i="1"/>
  <c r="I18" i="1"/>
  <c r="N18" i="1"/>
  <c r="M18" i="1"/>
  <c r="I17" i="1"/>
  <c r="N17" i="1"/>
  <c r="V17" i="1"/>
  <c r="P18" i="1"/>
  <c r="J17" i="1"/>
  <c r="O17" i="1"/>
  <c r="W17" i="1"/>
  <c r="T18" i="1"/>
  <c r="C34" i="5" l="1"/>
  <c r="B34" i="5"/>
  <c r="D34" i="5" s="1"/>
  <c r="G28" i="1"/>
  <c r="E28" i="1"/>
  <c r="H28" i="1" s="1"/>
  <c r="D28" i="1"/>
  <c r="V28" i="1" s="1"/>
  <c r="I34" i="5" l="1"/>
  <c r="T34" i="5"/>
  <c r="W28" i="1"/>
  <c r="J28" i="1"/>
  <c r="I28" i="1"/>
  <c r="O28" i="1"/>
  <c r="N28" i="1"/>
  <c r="M28" i="1"/>
  <c r="P28" i="1"/>
  <c r="T28" i="1"/>
  <c r="G9" i="1"/>
  <c r="E9" i="1"/>
  <c r="H9" i="1" s="1"/>
  <c r="D9" i="1"/>
  <c r="V9" i="1" s="1"/>
  <c r="K34" i="5" l="1"/>
  <c r="H34" i="5"/>
  <c r="G34" i="5"/>
  <c r="S34" i="5" s="1"/>
  <c r="U34" i="5"/>
  <c r="L34" i="5"/>
  <c r="V34" i="5"/>
  <c r="U20" i="5"/>
  <c r="H20" i="5"/>
  <c r="G20" i="5"/>
  <c r="S20" i="5" s="1"/>
  <c r="V20" i="5"/>
  <c r="I20" i="5"/>
  <c r="L20" i="5"/>
  <c r="K20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K21" i="5" l="1"/>
  <c r="V21" i="5"/>
  <c r="H21" i="5"/>
  <c r="U21" i="5"/>
  <c r="L21" i="5"/>
  <c r="G21" i="5"/>
  <c r="S21" i="5" s="1"/>
  <c r="I21" i="5"/>
  <c r="H24" i="5"/>
  <c r="L24" i="5"/>
  <c r="I24" i="5"/>
  <c r="G24" i="5"/>
  <c r="S24" i="5" s="1"/>
  <c r="K24" i="5"/>
  <c r="U24" i="5"/>
  <c r="V24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0" i="1"/>
  <c r="K12" i="5" l="1"/>
  <c r="H12" i="5"/>
  <c r="V12" i="5"/>
  <c r="T12" i="5"/>
  <c r="U12" i="5"/>
  <c r="I12" i="5"/>
  <c r="L12" i="5"/>
  <c r="S12" i="5"/>
  <c r="R3" i="1" l="1"/>
  <c r="D1" i="1"/>
  <c r="F6" i="1"/>
  <c r="T30" i="1"/>
  <c r="T13" i="5"/>
  <c r="T7" i="1" l="1"/>
  <c r="W30" i="1"/>
  <c r="G6" i="1" l="1"/>
  <c r="V13" i="5"/>
  <c r="U13" i="5"/>
  <c r="L13" i="5"/>
  <c r="H13" i="5"/>
  <c r="K13" i="5"/>
  <c r="I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8" i="1" s="1"/>
  <c r="L9" i="1" l="1"/>
  <c r="L10" i="1"/>
  <c r="C7" i="1"/>
  <c r="N30" i="1"/>
  <c r="P30" i="1"/>
  <c r="J30" i="1"/>
  <c r="I30" i="1"/>
  <c r="O30" i="1"/>
  <c r="Q7" i="1" l="1"/>
  <c r="M68" i="3" s="1"/>
  <c r="L7" i="1"/>
  <c r="G68" i="3" s="1"/>
  <c r="K68" i="3"/>
  <c r="J68" i="3"/>
  <c r="K30" i="1"/>
  <c r="M3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<sst xmlns="http://schemas.openxmlformats.org/spreadsheetml/2006/main" count="520" uniqueCount="383">
  <si>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</si>
  <si>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</si>
  <si>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</si>
  <si>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</si>
  <si>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</si>
  <si>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</si>
  <si>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</si>
  <si>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</si>
  <si>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</si>
  <si>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</si>
  <si>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</si>
  <si>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</si>
  <si>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</si>
  <si>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</si>
  <si>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</si>
  <si>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</si>
  <si>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</si>
  <si>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</si>
  <si>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</si>
  <si>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</si>
  <si>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</si>
  <si>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</si>
  <si>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</si>
  <si>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</si>
  <si>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</si>
  <si>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</si>
  <si>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</si>
  <si>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</si>
  <si>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</si>
  <si>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</si>
  <si>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</si>
  <si>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</si>
  <si>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</si>
  <si>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</si>
  <si>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</si>
  <si>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</si>
  <si>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</si>
  <si>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</si>
  <si>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</si>
  <si>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</si>
  <si>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</si>
  <si>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</si>
  <si>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</si>
  <si>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</si>
  <si>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</si>
  <si>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</si>
  <si>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</si>
  <si>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</si>
  <si>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</si>
  <si>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</si>
  <si>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</si>
  <si>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</si>
  <si>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</si>
  <si>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</si>
  <si>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</si>
  <si>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</si>
  <si>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</si>
  <si>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</si>
  <si>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</si>
  <si>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</si>
  <si>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</si>
  <si>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</si>
  <si>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</si>
  <si>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</si>
  <si>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</si>
  <si>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</si>
  <si>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</si>
  <si>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</si>
  <si>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</si>
  <si>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</si>
  <si>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</si>
  <si>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</si>
  <si>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</si>
  <si>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</si>
  <si>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</si>
  <si>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</si>
  <si>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</si>
  <si>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</si>
  <si>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</si>
  <si>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</si>
  <si>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</si>
  <si>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</si>
  <si>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</si>
  <si>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</si>
  <si>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</si>
  <si>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</si>
  <si>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</si>
  <si>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</si>
  <si>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</si>
  <si>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</si>
  <si>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</si>
  <si>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</si>
  <si>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</si>
  <si>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</si>
  <si>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</si>
  <si>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</si>
  <si>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</si>
  <si>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</si>
  <si>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</si>
  <si>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</si>
  <si>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</si>
  <si>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</si>
  <si>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</si>
  <si>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</si>
  <si>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</si>
  <si>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</si>
  <si>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</si>
  <si>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</si>
  <si>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</si>
  <si>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</si>
  <si>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</si>
  <si>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</si>
  <si>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</si>
  <si>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</si>
  <si>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</si>
  <si>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</si>
  <si>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</si>
  <si>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</si>
  <si>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</si>
  <si>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</si>
  <si>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</si>
  <si>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</si>
  <si>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</si>
  <si>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</si>
  <si>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</si>
  <si>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</si>
  <si>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</si>
  <si>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</si>
  <si>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</si>
  <si>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</si>
  <si>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</si>
  <si>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</si>
  <si>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</si>
  <si>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</si>
  <si>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</si>
  <si>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</si>
  <si>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</si>
  <si>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</si>
  <si>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</si>
  <si>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</si>
  <si>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</si>
  <si>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</si>
  <si>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</si>
  <si>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</si>
  <si>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</si>
  <si>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</si>
  <si>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</si>
  <si>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</si>
  <si>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</si>
  <si>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</si>
  <si>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</si>
  <si>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</si>
  <si>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</si>
  <si>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</si>
  <si>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</si>
  <si>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</si>
  <si>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</si>
  <si>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</si>
  <si>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</si>
  <si>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</si>
  <si>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</si>
  <si>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</si>
  <si>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</si>
  <si>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</si>
  <si>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</si>
  <si>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</si>
  <si>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</si>
  <si>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</si>
  <si>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</si>
  <si>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</si>
  <si>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</si>
  <si>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</si>
  <si>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</si>
  <si>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</si>
  <si>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</si>
  <si>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</si>
  <si>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</si>
  <si>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</si>
  <si>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</si>
  <si>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</si>
  <si>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</si>
  <si>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</si>
  <si>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</si>
  <si>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</si>
  <si>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</si>
  <si>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</si>
  <si>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</si>
  <si>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</si>
  <si>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</si>
  <si>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</si>
  <si>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</si>
  <si>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</si>
  <si>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</si>
  <si>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</si>
  <si>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</si>
  <si>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</si>
  <si>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</si>
  <si>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</si>
  <si>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</si>
  <si>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</si>
  <si>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</si>
  <si>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</si>
  <si>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</si>
  <si>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</si>
  <si>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</si>
  <si>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</si>
  <si>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</si>
  <si>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</si>
  <si>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</si>
  <si>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</si>
  <si>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</si>
  <si>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</si>
  <si>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</si>
  <si>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</si>
  <si>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</si>
  <si>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</si>
  <si>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</si>
  <si>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</si>
  <si>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</si>
  <si>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</si>
  <si>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</si>
  <si>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</si>
  <si>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</si>
  <si>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</si>
  <si>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</si>
  <si>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</si>
  <si>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</si>
  <si>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</si>
  <si>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</si>
  <si>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</si>
  <si>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</si>
  <si>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</si>
  <si>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</si>
  <si>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</si>
  <si>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</si>
  <si>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</si>
  <si>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</si>
  <si>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</si>
  <si>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</si>
  <si>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</si>
  <si>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</si>
  <si>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</si>
  <si>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</si>
  <si>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</si>
  <si>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</si>
  <si>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</si>
  <si>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</si>
  <si>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</si>
  <si>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</si>
  <si>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</si>
  <si>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</si>
  <si>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</si>
  <si>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</si>
  <si>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</si>
  <si>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</si>
  <si>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</si>
  <si>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</si>
  <si>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</si>
  <si>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</si>
  <si>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</si>
  <si>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</si>
  <si>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</si>
  <si>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</si>
  <si>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</si>
  <si>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</si>
  <si>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</si>
  <si>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</si>
  <si>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</si>
  <si>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</si>
  <si>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</si>
  <si>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</si>
  <si>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</si>
  <si>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</si>
  <si>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</si>
  <si>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</si>
  <si>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</si>
  <si>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</si>
  <si>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</si>
  <si>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</si>
  <si>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</si>
  <si>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</si>
  <si>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</si>
  <si>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</si>
  <si>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</si>
  <si>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</si>
  <si>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</si>
  <si>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</si>
  <si>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</si>
  <si>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</si>
  <si>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</si>
  <si>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</si>
  <si>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</si>
  <si>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</si>
  <si>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</si>
  <si>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</si>
  <si>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</si>
  <si>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</si>
  <si>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</si>
  <si>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</si>
  <si>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</si>
  <si>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</si>
  <si>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</si>
  <si>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</si>
  <si>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</si>
  <si>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</si>
  <si>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</si>
  <si>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</si>
  <si>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</si>
  <si>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</si>
  <si>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</si>
  <si>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</si>
  <si>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</si>
  <si>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</si>
  <si>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</si>
  <si>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</si>
  <si>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</si>
  <si>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</si>
  <si>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</si>
  <si>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</si>
  <si>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</si>
  <si>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</si>
  <si>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</si>
  <si>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</si>
  <si>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</si>
  <si>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</si>
  <si>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</si>
  <si>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</si>
  <si>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</si>
  <si>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</si>
  <si>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</si>
  <si>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</si>
  <si>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</si>
  <si>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</si>
  <si>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</si>
  <si>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</si>
  <si>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</si>
  <si>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</si>
  <si>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</si>
  <si>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</si>
  <si>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</si>
  <si>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</si>
  <si>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</si>
  <si>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</si>
  <si>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</si>
  <si>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</si>
  <si>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</si>
  <si>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</si>
  <si>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</si>
  <si>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</si>
  <si>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</si>
  <si>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</si>
  <si>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</si>
  <si>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</si>
  <si>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</si>
  <si>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</si>
  <si>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</si>
  <si>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Date</t>
  </si>
  <si>
    <t>nvarchar(50)</t>
  </si>
  <si>
    <t>InvCkdShipment</t>
  </si>
  <si>
    <t>Shipment</t>
  </si>
  <si>
    <t>SHIPMENT_NO</t>
  </si>
  <si>
    <t>SHIPPINGCOMPANY_CODE</t>
  </si>
  <si>
    <t>nvarchar(10)</t>
  </si>
  <si>
    <t>SUPPLIER_NO</t>
  </si>
  <si>
    <t>BUYER</t>
  </si>
  <si>
    <t>FROM_PORT</t>
  </si>
  <si>
    <t>TO_PORT</t>
  </si>
  <si>
    <t>SHIPMENT_DATE</t>
  </si>
  <si>
    <t>ETD</t>
  </si>
  <si>
    <t>ETA</t>
  </si>
  <si>
    <t>ATA</t>
  </si>
  <si>
    <t>FEEDERVESSEL_NAME</t>
  </si>
  <si>
    <t>OCEANVESSEL_NAME</t>
  </si>
  <si>
    <t>OCEANVESSELVOYAGE_NO</t>
  </si>
  <si>
    <t>NOOFINVOICEWITHINSHIPMENT_NO</t>
  </si>
  <si>
    <t>NOOF20FTCONTAINERS</t>
  </si>
  <si>
    <t>NOOF40FTCONTAINERS</t>
  </si>
  <si>
    <t>LCLVOLUME</t>
  </si>
  <si>
    <t>ATD</t>
  </si>
  <si>
    <t>nvarchar(4)</t>
  </si>
  <si>
    <t>nvarchar(30)</t>
  </si>
  <si>
    <t>nvarchar(1)</t>
  </si>
  <si>
    <t>CKD Shipment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</si>
</sst>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6" zoomScaleNormal="100" workbookViewId="0">
      <selection activeCell="D54" sqref="D54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D18" t="s">
        <v>351</v>
      </c>
      <c r="F18" s="1" t="s">
        <v>353</v>
      </c>
      <c r="G18" s="17" t="s">
        <v>352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2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2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2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2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2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2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25">
      <c r="A42" s="1"/>
      <c r="B42" s="17"/>
      <c r="C42" t="s">
        <v>325</v>
      </c>
      <c r="F42" s="1" t="s">
        <v>338</v>
      </c>
      <c r="G42" s="17" t="s">
        <v>338</v>
      </c>
    </row>
    <row r="43" spans="1:8" x14ac:dyDescent="0.25">
      <c r="A43" s="1"/>
      <c r="B43" s="17"/>
      <c r="D43" t="s">
        <v>326</v>
      </c>
      <c r="F43" s="1" t="s">
        <v>332</v>
      </c>
      <c r="G43" s="17" t="s">
        <v>339</v>
      </c>
    </row>
    <row r="44" spans="1:8" x14ac:dyDescent="0.25">
      <c r="A44" s="1"/>
      <c r="B44" s="17"/>
      <c r="D44" t="s">
        <v>328</v>
      </c>
      <c r="F44" s="1" t="s">
        <v>333</v>
      </c>
      <c r="G44" s="17" t="s">
        <v>340</v>
      </c>
    </row>
    <row r="45" spans="1:8" x14ac:dyDescent="0.25">
      <c r="A45" s="1"/>
      <c r="B45" s="17"/>
      <c r="D45" t="s">
        <v>327</v>
      </c>
      <c r="F45" s="1" t="s">
        <v>334</v>
      </c>
      <c r="G45" s="17" t="s">
        <v>341</v>
      </c>
    </row>
    <row r="46" spans="1:8" x14ac:dyDescent="0.25">
      <c r="A46" s="1"/>
      <c r="B46" s="17"/>
      <c r="D46" t="s">
        <v>330</v>
      </c>
      <c r="F46" s="1" t="s">
        <v>335</v>
      </c>
      <c r="G46" s="17" t="s">
        <v>342</v>
      </c>
    </row>
    <row r="47" spans="1:8" x14ac:dyDescent="0.25">
      <c r="A47" s="1"/>
      <c r="B47" s="17"/>
      <c r="D47" t="s">
        <v>348</v>
      </c>
      <c r="F47" s="1" t="s">
        <v>349</v>
      </c>
      <c r="G47" s="17" t="s">
        <v>350</v>
      </c>
    </row>
    <row r="48" spans="1:8" x14ac:dyDescent="0.25">
      <c r="A48" s="1"/>
      <c r="B48" s="17"/>
      <c r="D48" t="s">
        <v>331</v>
      </c>
      <c r="F48" s="1" t="s">
        <v>336</v>
      </c>
      <c r="G48" s="17" t="s">
        <v>343</v>
      </c>
    </row>
    <row r="49" spans="1:7" x14ac:dyDescent="0.25">
      <c r="A49" s="1"/>
      <c r="B49" s="17"/>
      <c r="D49" t="s">
        <v>329</v>
      </c>
      <c r="F49" s="1" t="s">
        <v>337</v>
      </c>
      <c r="G49" s="17" t="s">
        <v>344</v>
      </c>
    </row>
    <row r="50" spans="1:7" x14ac:dyDescent="0.25">
      <c r="A50" s="1"/>
      <c r="B50" s="17"/>
      <c r="D50" t="s">
        <v>345</v>
      </c>
      <c r="F50" s="1" t="s">
        <v>346</v>
      </c>
      <c r="G50" s="17" t="s">
        <v>347</v>
      </c>
    </row>
    <row r="51" spans="1:7" x14ac:dyDescent="0.25">
      <c r="A51" s="1"/>
      <c r="B51" s="17"/>
    </row>
    <row r="52" spans="1:7" x14ac:dyDescent="0.25">
      <c r="A52" s="1"/>
      <c r="B52" s="17" t="s">
        <v>86</v>
      </c>
    </row>
    <row r="53" spans="1:7" x14ac:dyDescent="0.25">
      <c r="A53" s="1"/>
      <c r="B53" s="17" t="s">
        <v>83</v>
      </c>
    </row>
    <row r="54" spans="1:7" x14ac:dyDescent="0.25">
      <c r="A54" s="1"/>
      <c r="B54" s="17"/>
      <c r="C54" s="19" t="s">
        <v>80</v>
      </c>
    </row>
    <row r="55" spans="1:7" x14ac:dyDescent="0.25">
      <c r="A55" s="1"/>
      <c r="B55" s="17"/>
      <c r="C55" s="18" t="s">
        <v>81</v>
      </c>
    </row>
    <row r="56" spans="1:7" x14ac:dyDescent="0.25">
      <c r="A56" s="1"/>
      <c r="B56" s="17"/>
      <c r="C56" s="18" t="s">
        <v>82</v>
      </c>
    </row>
    <row r="57" spans="1:7" x14ac:dyDescent="0.25">
      <c r="A57" s="1"/>
      <c r="B57" s="17" t="s">
        <v>106</v>
      </c>
      <c r="C57" s="18"/>
    </row>
    <row r="58" spans="1:7" x14ac:dyDescent="0.25">
      <c r="A58" s="1"/>
      <c r="B58" s="17"/>
      <c r="C58" s="18" t="s">
        <v>107</v>
      </c>
    </row>
    <row r="59" spans="1:7" x14ac:dyDescent="0.25">
      <c r="A59" s="1"/>
      <c r="B59" s="17"/>
      <c r="C59" s="18" t="s">
        <v>108</v>
      </c>
    </row>
    <row r="60" spans="1:7" x14ac:dyDescent="0.25">
      <c r="A60" s="1"/>
      <c r="B60" s="17"/>
      <c r="C60" s="18" t="s">
        <v>109</v>
      </c>
    </row>
    <row r="61" spans="1:7" x14ac:dyDescent="0.25">
      <c r="A61" s="1"/>
      <c r="B61" s="17"/>
      <c r="C61" s="18" t="s">
        <v>111</v>
      </c>
    </row>
    <row r="62" spans="1:7" x14ac:dyDescent="0.25">
      <c r="A62" s="1"/>
      <c r="B62" s="17"/>
      <c r="C62" s="18" t="s">
        <v>113</v>
      </c>
    </row>
    <row r="63" spans="1:7" x14ac:dyDescent="0.25">
      <c r="A63" s="1"/>
      <c r="B63" s="17"/>
      <c r="C63" s="18" t="s">
        <v>112</v>
      </c>
    </row>
    <row r="64" spans="1:7" x14ac:dyDescent="0.25">
      <c r="A64" s="1"/>
      <c r="B64" s="17"/>
      <c r="C64" s="18" t="s">
        <v>110</v>
      </c>
    </row>
    <row r="65" spans="2:14" ht="21" customHeight="1" x14ac:dyDescent="0.25">
      <c r="B65" s="21" t="s">
        <v>78</v>
      </c>
    </row>
    <row r="66" spans="2:14" ht="21" customHeight="1" x14ac:dyDescent="0.25">
      <c r="B66" s="63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3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[Table("InvCkdShipment")]
	[Index(nameof(ShipmentNo), Name="IX_InvCkdShipment_ShipmentNo")]
	[Index(nameof(SupplierNo), Name="IX_InvCkdShipment_SupplierNo")]
	[Index(nameof(Buyer), Name="IX_InvCkdShipment_Buyer")]
	[Index(nameof(ShipmentDate), Name="IX_InvCkdShipment_ShipmentDate")]
	[Index(nameof(IsActive), Name="IX_InvCkdShipment_IsActive")]	public class InvCkdShipment: FullAuditedEntity&lt;long&gt;, IEntity&lt;long&gt;	
	{
		public const int MaxShipmentNoLength = 10;
		public const int MaxShippingcompanyCodeLength = 10;
		public const int MaxSupplierNoLength = 10;
		public const int MaxBuyerLength = 4;
		public const int MaxFromPortLength = 50;
		public const int MaxToPortLength = 50;
		public const int MaxShipmentDateLength = 10;
		public const int MaxFeedervesselNameLength = 30;
		public const int MaxOceanvesselNameLength = 30;
		public const int MaxOceanvesselvoyageNoLength = 10;
		public const int MaxStatusLength = 50;
		public const int MaxIsActiveLength = 1;
		[StringLength(MaxShipmentNoLength)]
		public virtual string ShipmentNo { get; set; }
		[StringLength(MaxShippingcompanyCodeLength)]
		public virtual string ShippingcompanyCode { get; set; }
		[StringLength(MaxSupplierNoLength)]
		public virtual string SupplierNo { get; set; }
		[StringLength(MaxBuyerLength)]
		public virtual string Buyer { get; set; }
		[StringLength(MaxFromPortLength)]
		public virtual string FromPort { get; set; }
		[StringLength(MaxToPortLength)]
		public virtual string ToPort { get; set; }
		[StringLength(MaxShipmentDateLength)]
		public virtual string ShipmentDate { get; set; }
		[Column(TypeName="date")]
		public virtual DateTime Etd { get; set; }
		[Column(TypeName="date")]
		public virtual DateTime Eta { get; set; }
		[Column(TypeName="date")]
		public virtual DateTime Ata { get; set; }
		[StringLength(MaxFeedervesselNameLength)]
		public virtual string FeedervesselName { get; set; }
		[StringLength(MaxOceanvesselNameLength)]
		public virtual string OceanvesselName { get; set; }
		[StringLength(MaxOceanvesselvoyageNoLength)]
		public virtual string OceanvesselvoyageNo { get; set; }
		public virtual int NoofinvoicewithinshipmentNo { get; set; }
		public virtual int Noof20Ftcontainers { get; set; }
		public virtual int Noof40Ftcontainers { get; set; }
		public virtual int Lclvolume { get; set; }
		[Column(TypeName="date")]
		public virtual DateTime Atd { get; set; }
		[StringLength(MaxStatusLength)]
		public virtual string Status { get; set; }
		[StringLength(MaxIsActiveLength)]
		public virtual string IsActive { get; set; }
	}
}
</v>
      </c>
      <c r="D68" s="51" t="str">
        <f>A.Backend!O7</f>
        <v xml:space="preserve">		public const string Pages_Inventory_CKD_Shipment = "Pages.Inventory.CKD.Shipment";
		public const string Pages_Inventory_CKD_Shipment_CreateEdit = "Pages.Inventory.CKD.Shipment.CreateEdit";
		public const string Pages_Inventory_CKD_Shipment_Delete = "Pages.Inventory.CKD.Shipment.Delete";
</v>
      </c>
      <c r="E68" s="51" t="str">
        <f>A.Backend!N7</f>
        <v xml:space="preserve">		var perInvCkdShipment = PARENTS.CreateChildPermission(AppPermissions.Pages_Inventory_CKD_Shipment, L( "InventoryCKDShipment"), multiTenancySides: MultiTenancySides.Tenant);
		perInvCkdShipment.CreateChildPermission(AppPermissions.Pages_Inventory_CKD_Shipment_CreateEdit, L( "InventoryCKDShipmentCreateEdit"), multiTenancySides: MultiTenancySides.Tenant);
		perInvCkdShipment.CreateChildPermission(AppPermissions.Pages_Inventory_CKD_Shipment_Delete, L( "InventoryCKDShipmentDelete"), multiTenancySides: MultiTenancySides.Tenant);</v>
      </c>
      <c r="F68" s="51" t="str">
        <f>A.Backend!K7</f>
        <v>public virtual DbSet&lt;InvCkdShipment&gt; InvCkdShipments { get; set; }</v>
      </c>
      <c r="G68" s="51" t="str">
        <f ca="1">A.Backend!L7</f>
        <v xml:space="preserve">namespace prod.Inventory.CKD
{
	public class InvCkdShipmentConsts	
	{
		public const int MaxShipmentNoLength = 10;
		public const int MaxShippingcompanyCodeLength = 10;
		public const int MaxSupplierNoLength = 10;
		public const int MaxBuyerLength = 4;
		public const int MaxFromPortLength = 50;
		public const int MaxToPortLength = 50;
		public const int MaxShipmentDateLength = 10;
		public const int MaxFeedervesselNameLength = 30;
		public const int MaxOceanvesselNameLength = 30;
		public const int MaxOceanvesselvoyageNoLength = 10;
		public const int MaxStatusLength = 50;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prod.Inventory.CKD.Dto
{
	public class InvCkdShipmentDto : EntityDto&lt;long?&gt;	
	{
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	}
	public class CreateOrEditInvCkdShipmentDto : EntityDto&lt;long?&gt;	
	{
		[StringLength(InvCkdShipmentConsts.MaxShipmentNoLength)]
		public virtual string ShipmentNo { get; set; }
		[StringLength(InvCkdShipmentConsts.MaxShippingcompanyCodeLength)]
		public virtual string ShippingcompanyCode { get; set; }
		[StringLength(InvCkdShipmentConsts.MaxSupplierNoLength)]
		public virtual string SupplierNo { get; set; }
		[StringLength(InvCkdShipmentConsts.MaxBuyerLength)]
		public virtual string Buyer { get; set; }
		[StringLength(InvCkdShipmentConsts.MaxFromPortLength)]
		public virtual string FromPort { get; set; }
		[StringLength(InvCkdShipmentConsts.MaxToPortLength)]
		public virtual string ToPort { get; set; }
		[StringLength(InvCkdShipmentConsts.MaxShipmentDateLength)]
		public virtual string ShipmentDate { get; set; }
		public virtual DateTime? Etd { get; set; }
		public virtual DateTime? Eta { get; set; }
		public virtual DateTime? Ata { get; set; }
		[StringLength(InvCkdShipmentConsts.MaxFeedervesselNameLength)]
		public virtual string FeedervesselName { get; set; }
		[StringLength(InvCkdShipmentConsts.MaxOceanvesselNameLength)]
		public virtual string OceanvesselName { get; set; }
		[StringLength(InvCkdShipmentConsts.MaxOceanvesselvoyageNoLength)]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[StringLength(InvCkdShipmentConsts.MaxStatusLength)]
		public virtual string Status { get; set; }
		[StringLength(InvCkdShipmentConsts.MaxIsActiveLength)]
		public virtual string IsActive { get; set; }
	}
	public class GetInvCkdShipmentInput : PagedAndSortedResultRequestDto	
	{
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prod.Inventory.CKD.Dto
{
	public class InvCkdShipmentExportInput{
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IInvCkdShipmentAppService : IApplicationService
	{
		Task&lt;PagedResultDto&lt;InvCkdShipmentDto&gt;&gt; GetAll(GetInvCkdShipmentInput input);
		Task CreateOrEdit(CreateOrEditInvCkdShipmentDto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IInvCkdShipmentExcelExporter : IApplicationService
	{
		FileDto ExportToFile(List&lt;InvCkdShipmentDto&gt; invckdshipment);
	}
}
</v>
      </c>
      <c r="L68" s="51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InvCkdShipmentExcelExporter : NpoiExcelExporterBase, IInvCkdShipmentExcelExporter
    {
        public InvCkdShipmentExcelExporter(ITempFileCacheManager tempFileCacheManager) : base(tempFileCacheManager) { }
        public FileDto ExportToFile(List&lt;InvCkdShipmentDto&gt; shipment)
        {
            return CreateExcelPackage(
				"InventoryCKDShipment.xlsx",
				excelPackage =&gt;
				 {
					var sheet = excelPackage.CreateSheet("Shipment");
					AddHeader(
								sheet,
								("ShipmentNo"),
								("ShippingcompanyCode"),
								("SupplierNo"),
								("Buyer"),
								("FromPort"),
								("ToPort"),
								("ShipmentDate"),
								("Etd"),
								("Eta"),
								("Ata"),
								("FeedervesselName"),
								("OceanvesselName"),
								("OceanvesselvoyageNo"),
								("NoofinvoicewithinshipmentNo"),
								("Noof20Ftcontainers"),
								("Noof40Ftcontainers"),
								("Lclvolume"),
								("Atd"),
								("Status"),
								("IsActive"),
							   );
					AddObjects(
						 sheet, 1, shipment,                                       
								_ =&gt; _.ShipmentNo,
								_ =&gt; _.ShippingcompanyCode,
								_ =&gt; _.SupplierNo,
								_ =&gt; _.Buyer,
								_ =&gt; _.FromPort,
								_ =&gt; _.ToPort,
								_ =&gt; _.ShipmentDate,
								_ =&gt; _.Etd,
								_ =&gt; _.Eta,
								_ =&gt; _.Ata,
								_ =&gt; _.FeedervesselName,
								_ =&gt; _.OceanvesselName,
								_ =&gt; _.OceanvesselvoyageNo,
								_ =&gt; _.NoofinvoicewithinshipmentNo,
								_ =&gt; _.Noof20Ftcontainers,
								_ =&gt; _.Noof40Ftcontainers,
								_ =&gt; _.Lclvolume,
								_ =&gt; _.Atd,
								_ =&gt; _.Status,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[AbpAuthorize(AppPermissions.Pages_Inventory_CKD_Shipment)]
    public class InvCkdShipmentAppService : vovinaAppServiceBase, IInvCkdShipmentAppService
    {
        private readonly IDapperRepository&lt;InvCkdShipment, long&gt; _dapperRepo;
        private readonly IRepository&lt;InvCkdShipment, long&gt; _repo;
        private readonly IInvCkdShipmentExcelExporter _calendarListExcelExporter;
        public InvCkdShipmentAppService(IRepository&lt;InvCkdShipment,long&gt; repo, 
                                         IDapperRepository&lt;InvCkdShipment,long&gt; dapperRepo,
                                        IInvCkdShipmentExcelExporter calendarListExcelExporter
            )
        {
            _repo = repo;
            _dapperRepo = dapperRepo;
            _calendarListExcelExporter = calendarListExcelExporter;
        }
        [AbpAuthorize(AppPermissions.Pages_Inventory_CKD_Shipment_CreateEdit)]
        public async Task CreateOrEdit(CreateOrEditInvCkdShipmentDto input)
        {
            if (input.Id == null) await Create(input);
            else await Update(input);
        }
        //CREATE
        private async Task Create(CreateOrEditInvCkdShipmentDto input)
        {          
            var mainObj = ObjectMapper.Map&lt;InvCkdShipment&gt;(input);
            await CurrentUnitOfWork.GetDbContext&lt;vovinaDbContext&gt;().AddAsync(mainObj);
        }
        // EDIT
        private async Task Update(CreateOrEditInvCkdShipmentDto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[AbpAuthorize(AppPermissions.Pages_Inventory_CKD_Shipment_Delete)]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Task&lt;PagedResultDto&lt;InvCkdShipmentDto&gt;&gt; GetAll(GetInvCkdShipmentInput input)
        {
            var filtered = _repo.GetAll()
				.WhereIf(!string.IsNullOrWhiteSpace(input.ShipmentNo), e =&gt; e.ShipmentNo.Contains(input.ShipmentNo))
				.WhereIf(!string.IsNullOrWhiteSpace(input.ShippingcompanyCode), e =&gt; e.ShippingcompanyCode.Contains(input.ShippingcompanyCode))
				.WhereIf(!string.IsNullOrWhiteSpace(input.SupplierNo), e =&gt; e.SupplierNo.Contains(input.SupplierNo))
				.WhereIf(!string.IsNullOrWhiteSpace(input.Buyer), e =&gt; e.Buyer.Contains(input.Buyer))
				.WhereIf(!string.IsNullOrWhiteSpace(input.FromPort), e =&gt; e.FromPort.Contains(input.FromPort))
				.WhereIf(!string.IsNullOrWhiteSpace(input.ToPort), e =&gt; e.ToPort.Contains(input.ToPort))
				.WhereIf(!string.IsNullOrWhiteSpace(input.ShipmentDate), e =&gt; e.ShipmentDate.Contains(input.ShipmentDate))
				.WhereIf(input.Etd.HasValue, t =&gt; t.Etd == input.Etd.Value)
				.WhereIf(input.Eta.HasValue, t =&gt; t.Eta == input.Eta.Value)
				.WhereIf(input.Ata.HasValue, t =&gt; t.Ata == input.Ata.Value)
				.WhereIf(!string.IsNullOrWhiteSpace(input.FeedervesselName), e =&gt; e.FeedervesselName.Contains(input.FeedervesselName))
				.WhereIf(!string.IsNullOrWhiteSpace(input.OceanvesselName), e =&gt; e.OceanvesselName.Contains(input.OceanvesselName))
				.WhereIf(!string.IsNullOrWhiteSpace(input.OceanvesselvoyageNo), e =&gt; e.OceanvesselvoyageNo.Contains(input.OceanvesselvoyageNo))
				.WhereIf(input.Atd.HasValue, t =&gt; t.Atd == input.Atd.Value)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InvCkdShipmentDto
                        {
							Id = o.Id,
							ShipmentNo = o.ShipmentNo,
							ShippingcompanyCode = o.ShippingcompanyCode,
							SupplierNo = o.SupplierNo,
							Buyer = o.Buyer,
							FromPort = o.FromPort,
							ToPort = o.ToPort,
							ShipmentDate = o.ShipmentDate,
							Etd = o.Etd,
							Eta = o.Eta,
							Ata = o.Ata,
							FeedervesselName = o.FeedervesselName,
							OceanvesselName = o.OceanvesselName,
							OceanvesselvoyageNo = o.OceanvesselvoyageNo,
							NoofinvoicewithinshipmentNo = o.NoofinvoicewithinshipmentNo,
							Noof20Ftcontainers = o.Noof20Ftcontainers,
							Noof40Ftcontainers = o.Noof40Ftcontainers,
							Lclvolume = o.Lclvolume,
							Atd = o.Atd,
							Status = o.Status,
							IsActive = o.IsActive,
                        };
            var totalCount = await filtered.CountAsync();
			var paged = system.PageBy(input);
            return new PagedResultDto&lt;InvCkdShipmentDto&gt;(
                totalCount,
                 await paged.ToListAsync()
            );
        }
        public async Task&lt;FileDto&gt; GetShipmentToExcel(InvCkdShipmentExportInput input)
        {
            var query = from o in _repo.GetAll()
                        select new InvCkdShipmentDto
                        {
							Id = o.Id,
							ShipmentNo = o.ShipmentNo,
							ShippingcompanyCode = o.ShippingcompanyCode,
							SupplierNo = o.SupplierNo,
							Buyer = o.Buyer,
							FromPort = o.FromPort,
							ToPort = o.ToPort,
							ShipmentDate = o.ShipmentDate,
							Etd = o.Etd,
							Eta = o.Eta,
							Ata = o.Ata,
							FeedervesselName = o.FeedervesselName,
							OceanvesselName = o.OceanvesselName,
							OceanvesselvoyageNo = o.OceanvesselvoyageNo,
							NoofinvoicewithinshipmentNo = o.NoofinvoicewithinshipmentNo,
							Noof20Ftcontainers = o.Noof20Ftcontainers,
							Noof40Ftcontainers = o.Noof40Ftcontainers,
							Lclvolume = o.Lclvolume,
							Atd = o.Atd,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_dapperRepo.ExecuteAsync(InvCkdShipmentConsts.SP_MST_WPT_CALENDAR_GENERATE);
       // }
    }
}</v>
      </c>
      <c r="N68" s="62" t="str">
        <f>A.Backend!U7</f>
        <v xml:space="preserve">  configuration.CreateMap&lt;InvCkdShipmentDto, InvCkdShipment&gt;();
  configuration.CreateMap&lt;InvCkdShipment, InvCkdShipmentDto&gt;();
  configuration.CreateMap&lt;CreateOrEditInvCkdShipmentDto, InvCkdShipment&gt;();</v>
      </c>
    </row>
    <row r="69" spans="2:14" s="16" customFormat="1" ht="21.75" customHeight="1" x14ac:dyDescent="0.2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2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25">
      <c r="C71" s="29"/>
      <c r="D71" s="29"/>
      <c r="E71" s="29"/>
      <c r="G71" s="29"/>
      <c r="H71" s="29"/>
    </row>
    <row r="72" spans="2:14" x14ac:dyDescent="0.25">
      <c r="B72" s="1" t="s">
        <v>73</v>
      </c>
    </row>
    <row r="73" spans="2:14" ht="21" x14ac:dyDescent="0.35">
      <c r="B73" t="str">
        <f>B.Frontend!B8</f>
        <v>shipment</v>
      </c>
      <c r="C73" s="72" t="str">
        <f>"create folder " &amp;B73</f>
        <v>create folder shipment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25">
      <c r="B74" s="60" t="s">
        <v>229</v>
      </c>
      <c r="C74" s="31" t="str">
        <f>B.Frontend!H14</f>
        <v>shipment.component.ts</v>
      </c>
      <c r="D74" s="31" t="str">
        <f>B.Frontend!I14</f>
        <v>shipment.component.html</v>
      </c>
      <c r="E74" s="31" t="str">
        <f>B.Frontend!J14</f>
        <v>shipment.component.less</v>
      </c>
      <c r="F74" s="31" t="str">
        <f>B.Frontend!K14</f>
        <v>create-or-edit-shipment-modal.component.html</v>
      </c>
      <c r="G74" s="31" t="str">
        <f>B.Frontend!L14</f>
        <v>create-or-edit-shipment-modal.component.ts</v>
      </c>
      <c r="H74" s="31" t="str">
        <f>B.Frontend!M14</f>
        <v>create-or-edit-shipment-modal.component.less</v>
      </c>
      <c r="I74" s="31" t="str">
        <f>B.Frontend!N14</f>
        <v>shipment.module.ts</v>
      </c>
      <c r="J74" s="31" t="str">
        <f>B.Frontend!O14</f>
        <v>shipment-routing.module.ts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2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InvCkdShipmentDto, InvCkdShipmentServiceProxy } from '@shared/service-proxies/service-proxies';
import { finalize } from 'rxjs/internal/operators/finalize';
import { CreateOrEditShipmentModalComponent } from './create-or-edit-shipment-modal.component';
import { DatePipe } from '@angular/common';
import { FileDownloadService } from '@shared/utils/file-download.service';
import ceil from 'lodash-es/ceil';
import { Paginator } from 'primeng/paginator';
@Component({
    templateUrl: './shipment.component.html',
    styleUrls: ['./shipment.component.less'],
})
export class ShipmentComponent extends AppComponentBase implements OnInit {
    @ViewChild('createOrEditModalShipment', { static: true }) createOrEditModalShipment:| CreateOrEditShipmentModalComponent|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InvCkdShipmentDto = new InvCkdShipmentDto();
    saveSelectedRow: InvCkdShipmentDto = new InvCkdShipmentDto();
    datas: InvCkdShipmentDto = new InvCkdShipmentDto();
    isLoading: boolean = false;
    dataParams: GridParams | undefined;
    rowData: any[] = [];
    gridApi!: GridApi;
    rowSelection = 'multiple';
    filter: string = '';
	pipe = new DatePipe('en-US');
	frameworkComponents: FrameworkComponent;
    	shipmentNo : string = '' ; 
	shippingcompanyCode : string = '' ; 
supplierNo : string = '' ; 
	buyer : string = '' ; 
	fromPort : string = '' ; 
	toPort : string = '' ; 
	shipmentDate : string = '' ; 
etd : any ;
	eta : any ;
	ata : any ;
	feedervesselName : string = '' ; 
	oceanvesselName : string = '' ; 
oceanvesselvoyageNo : string = '' ; 
	noofinvoicewithinshipmentNo : number = 0 ;
	noof20Ftcontainers : number = 0 ;
	noof40Ftcontainers : number = 0 ;
	lclvolume : number = 0 ;
atd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InvCkdShipmentServiceProxy,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this.l('Shipment No'),headerTooltip: this.l('Shipment No'),field: 'shipmentNo',flex: 1},
			{headerName: this.l('Shippingcompany Code'),headerTooltip: this.l('Shippingcompany Code'),field: 'shippingcompanyCode',flex: 1},
			{headerName: this.l('Supplier No'),headerTooltip: this.l('Supplier No'),field: 'supplierNo',flex: 1},
			{headerName: this.l('Buyer'),headerTooltip: this.l('Buyer'),field: 'buyer',flex: 1},
			{headerName: this.l('From Port'),headerTooltip: this.l('From Port'),field: 'fromPort',flex: 1},
			{headerName: this.l('To Port'),headerTooltip: this.l('To Port'),field: 'toPort',flex: 1},
			{headerName: this.l('Shipment Date'),headerTooltip: this.l('Shipment Date'),field: 'shipmentDate',flex: 1},
			{headerName: this.l('Etd'),headerTooltip: this.l('Etd'),field: 'etd',valueGetter: (params) =&gt; this.pipe.transform(params.data?.etd, 'dd/MM/yyyy'),flex: 1},
			{headerName: this.l('Eta'),headerTooltip: this.l('Eta'),field: 'eta',valueGetter: (params) =&gt; this.pipe.transform(params.data?.eta, 'dd/MM/yyyy'),flex: 1},
			{headerName: this.l('Ata'),headerTooltip: this.l('Ata'),field: 'ata',valueGetter: (params) =&gt; this.pipe.transform(params.data?.ata, 'dd/MM/yyyy'),flex: 1},
			{headerName: this.l('Feedervessel Name'),headerTooltip: this.l('Feedervessel Name'),field: 'feedervesselName',flex: 1},
			{headerName: this.l('Oceanvessel Name'),headerTooltip: this.l('Oceanvessel Name'),field: 'oceanvesselName',flex: 1},
			{headerName: this.l('Oceanvesselvoyage No'),headerTooltip: this.l('Oceanvesselvoyage No'),field: 'oceanvesselvoyageNo',flex: 1},
			{headerName: this.l('Noofinvoicewithinshipment No'),headerTooltip: this.l('Noofinvoicewithinshipment No'),field: 'noofinvoicewithinshipmentNo',flex: 1},
			{headerName: this.l('Noof20Ftcontainers'),headerTooltip: this.l('Noof20Ftcontainers'),field: 'noof20Ftcontainers',flex: 1},
			{headerName: this.l('Noof40Ftcontainers'),headerTooltip: this.l('Noof40Ftcontainers'),field: 'noof40Ftcontainers',flex: 1},
			{headerName: this.l('Lclvolume'),headerTooltip: this.l('Lclvolume'),field: 'lclvolume',flex: 1},
			{headerName: this.l('Atd'),headerTooltip: this.l('Atd'),field: 'atd',valueGetter: (params) =&gt; this.pipe.transform(params.data?.atd,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this.shipmentNo,
			this.shippingcompanyCode,
			this.supplierNo,
			this.buyer,
			this.fromPort,
			this.toPort,
			this.shipmentDate,
			this.etd,
			this.eta,
			this.ata,
			this.feedervesselName,
			this.oceanvesselName,
			this.oceanvesselvoyageNo,
			this.noofinvoicewithinshipmentNo,
			this.noof20Ftcontainers,
			this.noof40Ftcontainers,
			this.lclvolume,
			this.atd,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this.shipmentNo = '',
		this.shippingcompanyCode = '',
this.supplierNo = '',
		this.buyer = '',
		this.fromPort = '',
		this.toPort = '',
		this.shipmentDate = '',
this.etd = '',
		this.eta = '',
		this.ata = '',
		this.feedervesselName = '',
		this.oceanvesselName = '',
this.oceanvesselvoyageNo = '',
		this.noofinvoicewithinshipmentNo = 0,
		this.noof20Ftcontainers = 0,
		this.noof40Ftcontainers = 0,
		this.lclvolume = 0,
this.atd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this.shipmentNo,
			this.shippingcompanyCode,
			this.supplierNo,
			this.buyer,
			this.fromPort,
			this.toPort,
			this.shipmentDate,
			this.etd,
			this.eta,
			this.ata,
			this.feedervesselName,
			this.oceanvesselName,
			this.oceanvesselvoyageNo,
			this.noofinvoicewithinshipmentNo,
			this.noof20Ftcontainers,
			this.noof40Ftcontainers,
			this.lclvolume,
			this.atd,
			this.status,
			this.isActive,
			'',
            this.paginationParams.skipCount,
            this.paginationParams.pageSize
        );
    }
    onChangeRowSelection(params: { api: { getSelectedRows: () =&gt; InvCkdShipmentDto[] } }) {
        this.saveSelectedRow = params.api.getSelectedRows()[0] ?? new InvCkdShipmentDto();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InvCkdShipmentDto):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this._service.getShipmentToExcel(
			this.shipmentNo,
			this.shippingcompanyCode,
			this.supplierNo,
			this.buyer,
			this.fromPort,
			this.toPort,
			this.shipmentDate,
			this.etd,
			this.eta,
			this.ata,
			this.feedervesselName,
			this.oceanvesselName,
			this.oceanvesselvoyageNo,
			this.noofinvoicewithinshipmentNo,
			this.noof20Ftcontainers,
			this.noof40Ftcontainers,
			this.lclvolume,
			this.atd,
			this.status,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Shipment Data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[(ngModel)]='shippingcompanyCode' name='shippingcompanyCode'
									class='form-control' [placeholder]="l('Shippingcompany Code')"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[(ngModel)]='buyer' name='buyer'
									class='form-control' [placeholder]="l('Buyer')"
									type='text' (keyup.enter)='searchDatas()'&gt;
								&lt;/div&gt;
								&lt;div class='input-search'&gt;
									&lt;input [(ngModel)]='fromPort' name='fromPort'
									class='form-control' [placeholder]="l('From Port')"
									type='text' (keyup.enter)='searchDatas()'&gt;
								&lt;/div&gt;
								&lt;div class='input-search'&gt;
									&lt;input [(ngModel)]='toPort' name='toPort'
									class='form-control' [placeholder]="l('To Port')"
									type='text' (keyup.enter)='searchDatas()'&gt;
								&lt;/div&gt;
								&lt;div class='input-search'&gt;
									&lt;input [(ngModel)]='shipmentDate' name='shipmentDate'
									class='form-control' [placeholder]="l('Shipment Date')"
									type='text' (keyup.enter)='searchDatas()'&gt;
								&lt;/div&gt;
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[placeholder]="l('Ata')" [(ngModel)]='ata' 
									name='ata'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[(ngModel)]='feedervesselName' name='feedervesselName'
									class='form-control' [placeholder]="l('Feedervessel Name')"
									type='text' (keyup.enter)='searchDatas()'&gt;
								&lt;/div&gt;
								&lt;div class='input-search'&gt;
									&lt;input [(ngModel)]='oceanvesselName' name='oceanvesselName'
									class='form-control' [placeholder]="l('Oceanvessel Name')"
									type='text' (keyup.enter)='searchDatas()'&gt;
								&lt;/div&gt;
								&lt;div class='input-search'&gt;
									&lt;input [(ngModel)]='oceanvesselvoyageNo' name='oceanvesselvoyageNo'
									class='form-control' [placeholder]="l('Oceanvesselvoyage No')"
									type='text' (keyup.enter)='searchDatas()'&gt;
								&lt;/div&gt;
								&lt;div class='input-search'&gt;
									&lt;input type='text' [placeholder]="l('Atd')" [(ngModel)]='atd' 
									name='atd'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(click)="createOrEditModalShipment.show()"&gt;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(click)="createOrEditModalShipment.show(selectedRow)"&gt;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&lt;create-or-edit-shipment-modal
    #createOrEditModalShipment
    (modalSave)="callBackDataGrid(dataParams)"
    (modalClose)="onChangeRowSelection(dataParams)"
&gt;
&lt;/create-or-edit-shipment-modal&gt;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#createOrEditModalShipment="bs-modal"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Shipment')}}&lt;/h3&gt;
                    &lt;h3 *ngIf="!rowdata.id"&gt;{{('Create New Shipment')}}&lt;/h3&gt;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title'&gt;Shippingcompany Code&lt;/label&gt;
						&lt;input type='text' class='col-md-10 form-control input-text' name='ShippingcompanyCode' [(ngModel)]='rowdata.shippingcompanyCode'&gt;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title'&gt;Buyer&lt;/label&gt;
						&lt;input type='text' class='col-md-10 form-control input-text' name='Buyer' [(ngModel)]='rowdata.buyer'&gt;
					&lt;/div&gt;
					&lt;div class='col-md-12 form-group row'&gt;
						&lt;label class='col-md-2 form-control title'&gt;From Port&lt;/label&gt;
						&lt;input type='text' class='col-md-10 form-control input-text' name='FromPort' [(ngModel)]='rowdata.fromPort'&gt;
					&lt;/div&gt;
					&lt;div class='col-md-12 form-group row'&gt;
						&lt;label class='col-md-2 form-control title'&gt;To Port&lt;/label&gt;
						&lt;input type='text' class='col-md-10 form-control input-text' name='ToPort' [(ngModel)]='rowdata.toPort'&gt;
					&lt;/div&gt;
					&lt;div class='col-md-12 form-group row'&gt;
						&lt;label class='col-md-2 form-control title'&gt;Shipment Date&lt;/label&gt;
						&lt;input type='text' class='col-md-10 form-control input-text' name='ShipmentDate' [(ngModel)]='rowdata.shipmentDate'&gt;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
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
					&lt;div class='col-md-12 form-group row'&gt;
						&lt;label class='col-md-2 form-control title'&gt;Ata&lt;/label&gt;
						&lt;input type='text' class='col-md-10 form-control input-text' name='ata' 
						#datepicker='bsDatepicker' [(ngModel)]='rowdata.ata'  bsDatepicker &gt;
					&lt;/div&gt;
					&lt;div class='col-md-12 form-group row'&gt;
						&lt;label class='col-md-2 form-control title'&gt;Feedervessel Name&lt;/label&gt;
						&lt;input type='text' class='col-md-10 form-control input-text' name='FeedervesselName' [(ngModel)]='rowdata.feedervesselName'&gt;
					&lt;/div&gt;
					&lt;div class='col-md-12 form-group row'&gt;
						&lt;label class='col-md-2 form-control title'&gt;Oceanvessel Name&lt;/label&gt;
						&lt;input type='text' class='col-md-10 form-control input-text' name='OceanvesselName' [(ngModel)]='rowdata.oceanvesselName'&gt;
					&lt;/div&gt;
					&lt;div class='col-md-12 form-group row'&gt;
						&lt;label class='col-md-2 form-control title'&gt;Oceanvesselvoyage No&lt;/label&gt;
						&lt;input type='text' class='col-md-10 form-control input-text' name='OceanvesselvoyageNo' [(ngModel)]='rowdata.oceanvesselvoyageNo'&gt;
					&lt;/div&gt;
					&lt;div class='col-md-12 form-group row'&gt;
						&lt;label class='col-md-2 form-control title'&gt;Noofinvoicewithinshipment No&lt;/label&gt;
						&lt;input type='number' class='col-md-10 form-control input-text' name='NoofinvoicewithinshipmentNo' [(ngModel)]='rowdata.noofinvoicewithinshipmentNo'&gt;
					&lt;/div&gt;
					&lt;div class='col-md-12 form-group row'&gt;
						&lt;label class='col-md-2 form-control title'&gt;Noof20Ftcontainers&lt;/label&gt;
						&lt;input type='number' class='col-md-10 form-control input-text' name='Noof20Ftcontainers' [(ngModel)]='rowdata.noof20Ftcontainers'&gt;
					&lt;/div&gt;
					&lt;div class='col-md-12 form-group row'&gt;
						&lt;label class='col-md-2 form-control title'&gt;Noof40Ftcontainers&lt;/label&gt;
						&lt;input type='number' class='col-md-10 form-control input-text' name='Noof40Ftcontainers' [(ngModel)]='rowdata.noof40Ftcontainers'&gt;
					&lt;/div&gt;
					&lt;div class='col-md-12 form-group row'&gt;
						&lt;label class='col-md-2 form-control title'&gt;Lclvolume&lt;/label&gt;
						&lt;input type='number' class='col-md-10 form-control input-text' name='Lclvolume' [(ngModel)]='rowdata.lclvolume'&gt;
					&lt;/div&gt;
					&lt;div class='col-md-12 form-group row'&gt;
						&lt;label class='col-md-2 form-control title'&gt;Atd&lt;/label&gt;
						&lt;input type='text' class='col-md-10 form-control input-text' name='atd' 
						#datepicker='bsDatepicker' [(ngModel)]='rowdata.atd'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CreateOrEditInvCkdShipmentDto, InvCkdShipmentServiceProxy } from '@shared/service-proxies/service-proxies';
import { BsDatepickerDirective } from 'ngx-bootstrap/datepicker';
@Component({
    selector: 'create-or-edit-shipment-modal',
    templateUrl: './create-or-edit-shipment-modal.component.html',
    styleUrls: ['./create-or-edit-shipment-modal.component.less']
    })
export class CreateOrEditShipmentModalComponent extends AppComponentBase {
    @ViewChild('createOrEditModalShipment',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CreateOrEditInvCkdShipmentDto = new CreateOrEditInvCkdShipmentDto();
    active: boolean = false;
    saving: boolean = false;
    _isActive: boolean;
    constructor(
        injector: Injector,
        private _mstwptShipmentService: InvCkdShipmentServiceProxy,
    ) 
    {
        super(injector);
    }
    show(rowdata?: CreateOrEditInvCkdShipmentDto): void {
        if (!rowdata) this.rowdata = new CreateOrEditInvCkdShipmentDto();
        else this.rowdata = rowdata;
		const dateValue =  this.rowdata.etd ? new Date(this.rowdata.etd?.toString()) : new Date();
		this.datepicker?.bsValueChange.emit(dateValue);
		const dateValue =  this.rowdata.eta ? new Date(this.rowdata.eta?.toString()) : new Date();
		this.datepicker?.bsValueChange.emit(dateValue);
		const dateValue =  this.rowdata.ata ? new Date(this.rowdata.ata?.toString()) : new Date();
		this.datepicker?.bsValueChange.emit(dateValue);
		const dateValue =  this.rowdata.atd ? new Date(this.rowdata.atd?.toString())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this._mstwptShipmentService.createOrEdit(this.rowdata)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ShipmentRoutingModule } from './shipment-routing.module';
import { ShipmentComponent } from './shipment.component';
import { CreateOrEditShipmentModalComponent } from './create-or-edit-shipment-modal.component';
@NgModule({
    declarations: [
       ShipmentComponent, 
        CreateOrEditShipmentModalComponent
    ],
    imports: [
        AppSharedModule, ShipmentRoutingModule]
})
export class ShipmentModule {}</v>
      </c>
      <c r="J75" s="49" t="str">
        <f>B.Frontend!O10</f>
        <v>import {NgModule} from '@angular/core';
import {RouterModule, Routes} from '@angular/router';
import { ShipmentComponent } from './shipment.component';
const routes: Routes = [{
    path: '',
    component: ShipmentComponent,
    pathMatch: 'full'
}];
@NgModule({
    imports: [RouterModule.forChild(routes)],
    exports: [RouterModule],
})
export class ShipmentRoutingModule {}</v>
      </c>
      <c r="K75" s="49" t="str">
        <f>B.Frontend!P10</f>
        <v xml:space="preserve"> new AppMenuItem("Shipment", "Pages.Inventory.CKD.Shipment", "flaticon-book",   "/app/main/inventory/ckd/shipment"),</v>
      </c>
      <c r="L75" s="50" t="str">
        <f>B.Frontend!Q10</f>
        <v>{
    path: 'inventory/ckd/shipment',
    loadChildren: () =&gt; import('./inventory/ckd/shipment/shipment.module').then(m =&gt; m.ShipmentModule),
    data: { permission: 'Pages.Inventory.CKD.Shipment' }
},</v>
      </c>
      <c r="M75" s="48" t="str">
        <f>B.Frontend!R10</f>
        <v>ApiServiceProxies.InvCkdShipmentServiceProxy,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0"/>
  <sheetViews>
    <sheetView tabSelected="1" workbookViewId="0">
      <pane xSplit="1" topLeftCell="B1" activePane="topRight" state="frozen"/>
      <selection pane="topRight" activeCell="B15" sqref="B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354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358</v>
      </c>
      <c r="C3" s="10" t="s">
        <v>43</v>
      </c>
      <c r="D3" s="10" t="s">
        <v>44</v>
      </c>
      <c r="E3" s="10" t="s">
        <v>39</v>
      </c>
      <c r="F3" s="11" t="str">
        <f>"J"&amp;COUNTA($A:$A)</f>
        <v>J28</v>
      </c>
      <c r="G3" s="4" t="s">
        <v>57</v>
      </c>
      <c r="H3" s="10" t="str">
        <f>"I"&amp;COUNTA($A:$A)</f>
        <v>I28</v>
      </c>
      <c r="I3" s="10" t="str">
        <f>REPT(CHAR(9),2)&amp;"[Required]"&amp;"
"</f>
        <v xml:space="preserve">		[Required]
</v>
      </c>
      <c r="J3" s="11" t="str">
        <f>"L"&amp;COUNTA($A:$A)</f>
        <v>L28</v>
      </c>
      <c r="K3" s="5" t="s">
        <v>56</v>
      </c>
      <c r="L3" s="11" t="str">
        <f>"M"&amp;COUNTA($A:$A)</f>
        <v>M28</v>
      </c>
      <c r="M3" s="11" t="str">
        <f>"N"&amp;COUNTA($A:$A)</f>
        <v>N28</v>
      </c>
      <c r="N3" s="11" t="str">
        <f>"O"&amp;COUNTA($A:$A)</f>
        <v>O28</v>
      </c>
      <c r="O3" s="11" t="str">
        <f>"P"&amp;COUNTA($A:$A)</f>
        <v>P28</v>
      </c>
      <c r="Q3" s="11" t="str">
        <f>RIGHT(B2,(LEN(B2)-FIND(".",B2,1)))</f>
        <v>CKD</v>
      </c>
      <c r="R3" s="32" t="str">
        <f>REPT(CHAR(9),1)&amp;"public class "&amp;B3&amp;"ExportInput"&amp;C3</f>
        <v xml:space="preserve">	public class InvCkdShipmentExportInput{
</v>
      </c>
      <c r="S3" s="11" t="str">
        <f>"namespace "&amp;$B$6&amp;".Exporting
"&amp;$C$3</f>
        <v xml:space="preserve">namespace prod.Inventory.CKD.Exporting
{
</v>
      </c>
      <c r="T3" s="11" t="str">
        <f>"T"&amp;COUNTA($A:$A)</f>
        <v>T28</v>
      </c>
      <c r="V3" s="11" t="str">
        <f>"V"&amp;COUNTA($A:$A)</f>
        <v>V28</v>
      </c>
      <c r="W3" s="10" t="str">
        <f>"W"&amp;COUNTA($A:$A)</f>
        <v>W28</v>
      </c>
    </row>
    <row r="4" spans="1:23" s="11" customFormat="1" ht="33" customHeight="1" x14ac:dyDescent="0.25">
      <c r="A4" s="1" t="s">
        <v>237</v>
      </c>
      <c r="B4" s="64" t="s">
        <v>325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359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4.95" customHeight="1" x14ac:dyDescent="0.25">
      <c r="A6" s="1" t="s">
        <v>6</v>
      </c>
      <c r="B6" s="10" t="str">
        <f>"prod."&amp;B2</f>
        <v>prod.Inventory.CKD</v>
      </c>
      <c r="C6" s="11" t="str">
        <f>"namespace "&amp;$B$6&amp;"
"&amp;$C$3</f>
        <v xml:space="preserve">namespace prod.Inventory.CKD
{
</v>
      </c>
      <c r="D6" s="11" t="str">
        <f>REPT(CHAR(9),1)&amp;"public class "&amp;B3&amp;G3&amp;REPT(CHAR(9),1)&amp;"
"&amp;REPT(CHAR(9),1)&amp;C3</f>
        <v xml:space="preserve">	public class InvCkdShipment: FullAuditedEntity&lt;long&gt;, IEntity&lt;long&gt;	
	{
</v>
      </c>
      <c r="E6" s="11" t="str">
        <f>REPT(CHAR(9),1)&amp;"public class "&amp;B3&amp;"Consts"&amp;REPT(CHAR(9),1)&amp;"
"&amp;REPT(CHAR(9),1)&amp;C3</f>
        <v xml:space="preserve">	public class InvCkdShipmentConsts	
	{
</v>
      </c>
      <c r="F6" s="11" t="str">
        <f>REPT(CHAR(9),1)&amp;"public class "&amp;B3&amp;"Dto"&amp;K3&amp;REPT(CHAR(9),1)&amp;"
"&amp;REPT(CHAR(9),1)&amp;C3</f>
        <v xml:space="preserve">	public class InvCkdShipmentDto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CreateOrEditInvCkdShipmentDto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GetInvCkdShipmentInput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4.95" customHeight="1" x14ac:dyDescent="0.25">
      <c r="A7" s="1" t="s">
        <v>13</v>
      </c>
      <c r="B7" s="10" t="str">
        <f>B3</f>
        <v>InvCkdShipment</v>
      </c>
      <c r="C7" s="11" t="str">
        <f>REPT(CHAR(9),1)&amp;"[Table("""&amp;B7&amp;""")]"&amp;"
"</f>
        <v xml:space="preserve">	[Table("InvCkdShipment")]
</v>
      </c>
      <c r="D7" s="11"/>
      <c r="E7" s="11"/>
      <c r="F7" s="11"/>
      <c r="G7" s="11"/>
      <c r="H7" s="11"/>
      <c r="I7" s="11"/>
      <c r="J7" s="6" t="str">
        <f ca="1">SUBSTITUTE(SUBSTITUTE((B1&amp;C6&amp;C7&amp;K30&amp;D6&amp;I30&amp;E3&amp;J30&amp;""&amp;REPT(CHAR(9),1)&amp;D3&amp;D3),"WorkingPattern",$Q$3),"Master",$B$4)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[Table("InvCkdShipment")]
	[Index(nameof(ShipmentNo), Name="IX_InvCkdShipment_ShipmentNo")]
	[Index(nameof(SupplierNo), Name="IX_InvCkdShipment_SupplierNo")]
	[Index(nameof(Buyer), Name="IX_InvCkdShipment_Buyer")]
	[Index(nameof(ShipmentDate), Name="IX_InvCkdShipment_ShipmentDate")]
	[Index(nameof(IsActive), Name="IX_InvCkdShipment_IsActive")]	public class InvCkdShipment: FullAuditedEntity&lt;long&gt;, IEntity&lt;long&gt;	
	{
		public const int MaxShipmentNoLength = 10;
		public const int MaxShippingcompanyCodeLength = 10;
		public const int MaxSupplierNoLength = 10;
		public const int MaxBuyerLength = 4;
		public const int MaxFromPortLength = 50;
		public const int MaxToPortLength = 50;
		public const int MaxShipmentDateLength = 10;
		public const int MaxFeedervesselNameLength = 30;
		public const int MaxOceanvesselNameLength = 30;
		public const int MaxOceanvesselvoyageNoLength = 10;
		public const int MaxStatusLength = 50;
		public const int MaxIsActiveLength = 1;
		[StringLength(MaxShipmentNoLength)]
		public virtual string ShipmentNo { get; set; }
		[StringLength(MaxShippingcompanyCodeLength)]
		public virtual string ShippingcompanyCode { get; set; }
		[StringLength(MaxSupplierNoLength)]
		public virtual string SupplierNo { get; set; }
		[StringLength(MaxBuyerLength)]
		public virtual string Buyer { get; set; }
		[StringLength(MaxFromPortLength)]
		public virtual string FromPort { get; set; }
		[StringLength(MaxToPortLength)]
		public virtual string ToPort { get; set; }
		[StringLength(MaxShipmentDateLength)]
		public virtual string ShipmentDate { get; set; }
		[Column(TypeName="date")]
		public virtual DateTime Etd { get; set; }
		[Column(TypeName="date")]
		public virtual DateTime Eta { get; set; }
		[Column(TypeName="date")]
		public virtual DateTime Ata { get; set; }
		[StringLength(MaxFeedervesselNameLength)]
		public virtual string FeedervesselName { get; set; }
		[StringLength(MaxOceanvesselNameLength)]
		public virtual string OceanvesselName { get; set; }
		[StringLength(MaxOceanvesselvoyageNoLength)]
		public virtual string OceanvesselvoyageNo { get; set; }
		public virtual int NoofinvoicewithinshipmentNo { get; set; }
		public virtual int Noof20Ftcontainers { get; set; }
		public virtual int Noof40Ftcontainers { get; set; }
		public virtual int Lclvolume { get; set; }
		[Column(TypeName="date")]
		public virtual DateTime Atd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DbSet&lt;InvCkdShipment&gt; InvCkdShipments { get; set; }</v>
      </c>
      <c r="L7" t="str">
        <f ca="1">SUBSTITUTE(SUBSTITUTE((C6&amp;E6&amp;I30&amp;"
"&amp;REPT(CHAR(9),2)&amp;"// Define Store Name: Format SP_ + &lt;Store Name&gt; = &lt;Store Name&gt;
"&amp;E3&amp;REPT(CHAR(9),1)&amp;D3&amp;D3),"WorkingPattern",$Q$3),"Master",$B$4)</f>
        <v xml:space="preserve">namespace prod.Inventory.CKD
{
	public class InvCkdShipmentConsts	
	{
		public const int MaxShipmentNoLength = 10;
		public const int MaxShippingcompanyCodeLength = 10;
		public const int MaxSupplierNoLength = 10;
		public const int MaxBuyerLength = 4;
		public const int MaxFromPortLength = 50;
		public const int MaxToPortLength = 50;
		public const int MaxShipmentDateLength = 10;
		public const int MaxFeedervesselNameLength = 30;
		public const int MaxOceanvesselNameLength = 30;
		public const int MaxOceanvesselvoyageNoLength = 10;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"&amp;B6&amp;".Dto"&amp;E3&amp;C3&amp;F6&amp;M30&amp;E3&amp;REPT(CHAR(9),1)&amp;D3&amp;G6&amp;N30&amp;REPT(CHAR(9),1)&amp;D3&amp;H6&amp;O30&amp;"
"&amp;REPT(CHAR(9),1)&amp;D3&amp;D3),"WorkingPattern",$Q$3),"Master",$B$4)</f>
        <v xml:space="preserve">using Abp.Application.Services.Dto;
using System;
using System.ComponentModel.DataAnnotations;
namespace prod.Inventory.CKD.Dto
{
	public class InvCkdShipmentDto : EntityDto&lt;long?&gt;	
	{
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	}
	public class CreateOrEditInvCkdShipmentDto : EntityDto&lt;long?&gt;	
	{
		[StringLength(InvCkdShipmentConsts.MaxShipmentNoLength)]
		public virtual string ShipmentNo { get; set; }
		[StringLength(InvCkdShipmentConsts.MaxShippingcompanyCodeLength)]
		public virtual string ShippingcompanyCode { get; set; }
		[StringLength(InvCkdShipmentConsts.MaxSupplierNoLength)]
		public virtual string SupplierNo { get; set; }
		[StringLength(InvCkdShipmentConsts.MaxBuyerLength)]
		public virtual string Buyer { get; set; }
		[StringLength(InvCkdShipmentConsts.MaxFromPortLength)]
		public virtual string FromPort { get; set; }
		[StringLength(InvCkdShipmentConsts.MaxToPortLength)]
		public virtual string ToPort { get; set; }
		[StringLength(InvCkdShipmentConsts.MaxShipmentDateLength)]
		public virtual string ShipmentDate { get; set; }
		public virtual DateTime? Etd { get; set; }
		public virtual DateTime? Eta { get; set; }
		public virtual DateTime? Ata { get; set; }
		[StringLength(InvCkdShipmentConsts.MaxFeedervesselNameLength)]
		public virtual string FeedervesselName { get; set; }
		[StringLength(InvCkdShipmentConsts.MaxOceanvesselNameLength)]
		public virtual string OceanvesselName { get; set; }
		[StringLength(InvCkdShipmentConsts.MaxOceanvesselvoyageNoLength)]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[StringLength(InvCkdShipmentConsts.MaxStatusLength)]
		public virtual string Status { get; set; }
		[StringLength(InvCkdShipmentConsts.MaxIsActiveLength)]
		public virtual string IsActive { get; set; }
	}
	public class GetInvCkdShipmentInput : PagedAndSortedResultRequestDto	
	{
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perInvCkdShipment = PARENTS.CreateChildPermission(AppPermissions.Pages_Inventory_CKD_Shipment, L( "InventoryCKDShipment"), multiTenancySides: MultiTenancySides.Tenant);
		perInvCkdShipment.CreateChildPermission(AppPermissions.Pages_Inventory_CKD_Shipment_CreateEdit, L( "InventoryCKDShipmentCreateEdit"), multiTenancySides: MultiTenancySides.Tenant);
		perInvCkdShipment.CreateChildPermission(AppPermissions.Pages_Inventory_CKD_Shipment_Delete, L( "InventoryCKDShipmentDelete"),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Pages_Inventory_CKD_Shipment = "Pages.Inventory.CKD.Shipment";
		public const string Pages_Inventory_CKD_Shipment_CreateEdit = "Pages.Inventory.CKD.Shipment.CreateEdit";
		public const string Pages_Inventory_CKD_Shipment_Delete = "Pages.Inventory.CKD.Shipment.Delete";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IInvCkdShipmentAppService : IApplicationService
	{
		Task&lt;PagedResultDto&lt;InvCkdShipmentDto&gt;&gt; GetAll(GetInvCkdShipmentInput input);
		Task CreateOrEdit(CreateOrEditInvCkdShipmentDto input);
		Task Delete(EntityDto input);
	}
}
</v>
      </c>
      <c r="Q7" t="str">
        <f ca="1">SUBSTITUTE(SUBSTITUTE(SUBSTITUTE(SUBSTITUTE(SUBSTITUTE(SUBSTITUTE(E1,"MstWptCalendar",$B$3),"&lt;PROPERTIES&gt;",P30),"Calendar",$B$5),"WorkingPattern",$Q$3),"Master",$B$4),"&lt;PARAMS_SEARCH&gt;",$W$30)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[AbpAuthorize(AppPermissions.Pages_Inventory_CKD_Shipment)]
    public class InvCkdShipmentAppService : vovinaAppServiceBase, IInvCkdShipmentAppService
    {
        private readonly IDapperRepository&lt;InvCkdShipment, long&gt; _dapperRepo;
        private readonly IRepository&lt;InvCkdShipment, long&gt; _repo;
        private readonly IInvCkdShipmentExcelExporter _calendarListExcelExporter;
        public InvCkdShipmentAppService(IRepository&lt;InvCkdShipment,long&gt; repo, 
                                         IDapperRepository&lt;InvCkdShipment,long&gt; dapperRepo,
                                        IInvCkdShipmentExcelExporter calendarListExcelExporter
            )
        {
            _repo = repo;
            _dapperRepo = dapperRepo;
            _calendarListExcelExporter = calendarListExcelExporter;
        }
        [AbpAuthorize(AppPermissions.Pages_Inventory_CKD_Shipment_CreateEdit)]
        public async Task CreateOrEdit(CreateOrEditInvCkdShipmentDto input)
        {
            if (input.Id == null) await Create(input);
            else await Update(input);
        }
        //CREATE
        private async Task Create(CreateOrEditInvCkdShipmentDto input)
        {          
            var mainObj = ObjectMapper.Map&lt;InvCkdShipment&gt;(input);
            await CurrentUnitOfWork.GetDbContext&lt;vovinaDbContext&gt;().AddAsync(mainObj);
        }
        // EDIT
        private async Task Update(CreateOrEditInvCkdShipmentDto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[AbpAuthorize(AppPermissions.Pages_Inventory_CKD_Shipment_Delete)]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Task&lt;PagedResultDto&lt;InvCkdShipmentDto&gt;&gt; GetAll(GetInvCkdShipmentInput input)
        {
            var filtered = _repo.GetAll()
				.WhereIf(!string.IsNullOrWhiteSpace(input.ShipmentNo), e =&gt; e.ShipmentNo.Contains(input.ShipmentNo))
				.WhereIf(!string.IsNullOrWhiteSpace(input.ShippingcompanyCode), e =&gt; e.ShippingcompanyCode.Contains(input.ShippingcompanyCode))
				.WhereIf(!string.IsNullOrWhiteSpace(input.SupplierNo), e =&gt; e.SupplierNo.Contains(input.SupplierNo))
				.WhereIf(!string.IsNullOrWhiteSpace(input.Buyer), e =&gt; e.Buyer.Contains(input.Buyer))
				.WhereIf(!string.IsNullOrWhiteSpace(input.FromPort), e =&gt; e.FromPort.Contains(input.FromPort))
				.WhereIf(!string.IsNullOrWhiteSpace(input.ToPort), e =&gt; e.ToPort.Contains(input.ToPort))
				.WhereIf(!string.IsNullOrWhiteSpace(input.ShipmentDate), e =&gt; e.ShipmentDate.Contains(input.ShipmentDate))
				.WhereIf(input.Etd.HasValue, t =&gt; t.Etd == input.Etd.Value)
				.WhereIf(input.Eta.HasValue, t =&gt; t.Eta == input.Eta.Value)
				.WhereIf(input.Ata.HasValue, t =&gt; t.Ata == input.Ata.Value)
				.WhereIf(!string.IsNullOrWhiteSpace(input.FeedervesselName), e =&gt; e.FeedervesselName.Contains(input.FeedervesselName))
				.WhereIf(!string.IsNullOrWhiteSpace(input.OceanvesselName), e =&gt; e.OceanvesselName.Contains(input.OceanvesselName))
				.WhereIf(!string.IsNullOrWhiteSpace(input.OceanvesselvoyageNo), e =&gt; e.OceanvesselvoyageNo.Contains(input.OceanvesselvoyageNo))
				.WhereIf(input.Atd.HasValue, t =&gt; t.Atd == input.Atd.Value)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InvCkdShipmentDto
                        {
							Id = o.Id,
							ShipmentNo = o.ShipmentNo,
							ShippingcompanyCode = o.ShippingcompanyCode,
							SupplierNo = o.SupplierNo,
							Buyer = o.Buyer,
							FromPort = o.FromPort,
							ToPort = o.ToPort,
							ShipmentDate = o.ShipmentDate,
							Etd = o.Etd,
							Eta = o.Eta,
							Ata = o.Ata,
							FeedervesselName = o.FeedervesselName,
							OceanvesselName = o.OceanvesselName,
							OceanvesselvoyageNo = o.OceanvesselvoyageNo,
							NoofinvoicewithinshipmentNo = o.NoofinvoicewithinshipmentNo,
							Noof20Ftcontainers = o.Noof20Ftcontainers,
							Noof40Ftcontainers = o.Noof40Ftcontainers,
							Lclvolume = o.Lclvolume,
							Atd = o.Atd,
							Status = o.Status,
							IsActive = o.IsActive,
                        };
            var totalCount = await filtered.CountAsync();
			var paged = system.PageBy(input);
            return new PagedResultDto&lt;InvCkdShipmentDto&gt;(
                totalCount,
                 await paged.ToListAsync()
            );
        }
        public async Task&lt;FileDto&gt; GetShipmentToExcel(InvCkdShipmentExportInput input)
        {
            var query = from o in _repo.GetAll()
                        select new InvCkdShipmentDto
                        {
							Id = o.Id,
							ShipmentNo = o.ShipmentNo,
							ShippingcompanyCode = o.ShippingcompanyCode,
							SupplierNo = o.SupplierNo,
							Buyer = o.Buyer,
							FromPort = o.FromPort,
							ToPort = o.ToPort,
							ShipmentDate = o.ShipmentDate,
							Etd = o.Etd,
							Eta = o.Eta,
							Ata = o.Ata,
							FeedervesselName = o.FeedervesselName,
							OceanvesselName = o.OceanvesselName,
							OceanvesselvoyageNo = o.OceanvesselvoyageNo,
							NoofinvoicewithinshipmentNo = o.NoofinvoicewithinshipmentNo,
							Noof20Ftcontainers = o.Noof20Ftcontainers,
							Noof40Ftcontainers = o.Noof40Ftcontainers,
							Lclvolume = o.Lclvolume,
							Atd = o.Atd,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_dapperRepo.ExecuteAsync(InvCkdShipmentConsts.SP_MST_WPT_CALENDAR_GENERATE);
       // }
    }
}</v>
      </c>
      <c r="R7" t="str">
        <f ca="1">SUBSTITUTE(SUBSTITUTE((C1&amp;"namespace "&amp;B6&amp;".Dto"&amp;E3&amp;C3&amp;R3&amp;M30&amp;E3&amp;REPT(CHAR(9),1)&amp;D3&amp;D3),"WorkingPattern",$Q$3),"Master",$B$4)</f>
        <v xml:space="preserve">using Abp.Application.Services.Dto;
using System;
using System.ComponentModel.DataAnnotations;
namespace prod.Inventory.CKD.Dto
{
	public class InvCkdShipmentExportInput{
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IInvCkdShipmentExcelExporter : IApplicationService
	{
		FileDto ExportToFile(List&lt;InvCkdShipmentDto&gt; invckdshipment);
	}
}
</v>
      </c>
      <c r="T7" s="28" t="str">
        <f ca="1">SUBSTITUTE(SUBSTITUTE(SUBSTITUTE(SUBSTITUTE(SUBSTITUTE(SUBSTITUTE(SUBSTITUTE(T1,"MstWptCalendar",$B$3),"&lt;PROPERTIES1&gt;",V30),"&lt;PROPERTIES&gt;",T30),"Calendar",$B$5),"calendar",LOWER(B5)),"WorkingPattern",$Q$3),"Master",$B$4)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InvCkdShipmentExcelExporter : NpoiExcelExporterBase, IInvCkdShipmentExcelExporter
    {
        public InvCkdShipmentExcelExporter(ITempFileCacheManager tempFileCacheManager) : base(tempFileCacheManager) { }
        public FileDto ExportToFile(List&lt;InvCkdShipmentDto&gt; shipment)
        {
            return CreateExcelPackage(
				"InventoryCKDShipment.xlsx",
				excelPackage =&gt;
				 {
					var sheet = excelPackage.CreateSheet("Shipment");
					AddHeader(
								sheet,
								("ShipmentNo"),
								("ShippingcompanyCode"),
								("SupplierNo"),
								("Buyer"),
								("FromPort"),
								("ToPort"),
								("ShipmentDate"),
								("Etd"),
								("Eta"),
								("Ata"),
								("FeedervesselName"),
								("OceanvesselName"),
								("OceanvesselvoyageNo"),
								("NoofinvoicewithinshipmentNo"),
								("Noof20Ftcontainers"),
								("Noof40Ftcontainers"),
								("Lclvolume"),
								("Atd"),
								("Status"),
								("IsActive"),
							   );
					AddObjects(
						 sheet, 1, shipment,                                       
								_ =&gt; _.ShipmentNo,
								_ =&gt; _.ShippingcompanyCode,
								_ =&gt; _.SupplierNo,
								_ =&gt; _.Buyer,
								_ =&gt; _.FromPort,
								_ =&gt; _.ToPort,
								_ =&gt; _.ShipmentDate,
								_ =&gt; _.Etd,
								_ =&gt; _.Eta,
								_ =&gt; _.Ata,
								_ =&gt; _.FeedervesselName,
								_ =&gt; _.OceanvesselName,
								_ =&gt; _.OceanvesselvoyageNo,
								_ =&gt; _.NoofinvoicewithinshipmentNo,
								_ =&gt; _.Noof20Ftcontainers,
								_ =&gt; _.Noof40Ftcontainers,
								_ =&gt; _.Lclvolume,
								_ =&gt; _.Atd,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configuration.CreateMap&lt;InvCkdShipmentDto, InvCkdShipment&gt;();
  configuration.CreateMap&lt;InvCkdShipment, InvCkdShipmentDto&gt;();
  configuration.CreateMap&lt;CreateOrEditInvCkdShipmentDto, InvCkdShipment&gt;();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360</v>
      </c>
      <c r="B9" t="s">
        <v>362</v>
      </c>
      <c r="C9" t="s">
        <v>1</v>
      </c>
      <c r="D9" t="str">
        <f t="shared" ref="D9" si="0">SUBSTITUTE(PROPER(A9),"_","")</f>
        <v>ShipmentNo</v>
      </c>
      <c r="E9" t="str">
        <f t="shared" ref="E9" si="1">IFERROR(LEFT(B9, FIND("(",B9)-1),B9)</f>
        <v>nvarchar</v>
      </c>
      <c r="F9" s="7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MaxShipmentNoLength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[StringLength(MaxShipmentNoLength)]
		public virtual string ShipmentNo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[Index(nameof(ShipmentNo), Name="IX_InvCkdShipment_ShipmentNo")]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ShipmentNo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[StringLength(InvCkdShipmentConsts.MaxShipmentNoLength)]
		public virtual string ShipmentNo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ShipmentNo { get; set; }
</v>
      </c>
      <c r="P9" t="str">
        <f t="shared" ref="P9" si="9">REPT(CHAR(9),7)&amp;D9&amp;" = o." &amp;D9 &amp;","</f>
        <v xml:space="preserve">							ShipmentNo = o.ShipmentNo,</v>
      </c>
      <c r="T9" s="69" t="str">
        <f t="shared" ref="T9" si="10">REPT(CHAR(9),8)&amp;"("""&amp;D9&amp;"""),"</f>
        <v xml:space="preserve">								("ShipmentNo"),</v>
      </c>
      <c r="V9" s="70" t="str">
        <f t="shared" ref="V9" si="11">REPT(CHAR(9),8)&amp;"_ =&gt; _."&amp;D9&amp;","</f>
        <v xml:space="preserve">								_ =&gt; _.ShipmentNo,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.WhereIf(!string.IsNullOrWhiteSpace(input.ShipmentNo), e =&gt; e.ShipmentNo.Contains(input.ShipmentNo))</v>
      </c>
    </row>
    <row r="10" spans="1:23" customFormat="1" ht="18.75" customHeight="1" x14ac:dyDescent="0.25">
      <c r="A10" t="s">
        <v>361</v>
      </c>
      <c r="B10" t="s">
        <v>362</v>
      </c>
      <c r="C10" t="s">
        <v>1</v>
      </c>
      <c r="D10" t="str">
        <f t="shared" ref="D10:D17" si="13">SUBSTITUTE(PROPER(A10),"_","")</f>
        <v>ShippingcompanyCode</v>
      </c>
      <c r="E10" t="str">
        <f t="shared" ref="E10:E17" si="14">IFERROR(LEFT(B10, FIND("(",B10)-1),B10)</f>
        <v>nvarchar</v>
      </c>
      <c r="F10" s="7"/>
      <c r="G10" t="str">
        <f t="shared" ref="G10:G17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17" si="16">IF(H10="string",REPT(CHAR(9),2)&amp;"public const int Max"&amp;D10&amp;"Length = "&amp;G10&amp;";"&amp;$E$3,"" )</f>
        <v xml:space="preserve">		public const int MaxShippingcompanyCodeLength = 10;
</v>
      </c>
      <c r="J10" t="str">
        <f t="shared" ref="J10:J17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[StringLength(MaxShippingcompanyCodeLength)]
		public virtual string ShippingcompanyCode { get; set; }
</v>
      </c>
      <c r="K10" s="7"/>
      <c r="L10" t="str">
        <f t="shared" ref="L10:L17" si="18">IF(K10="","",REPT(CHAR(9),1)&amp;"[Index(nameof("&amp;IF(D10="","",""&amp;D10)&amp;")"&amp;", Name="&amp;"""IX_"&amp;$B$7&amp;"_"&amp;D10&amp;""")]")</f>
        <v/>
      </c>
      <c r="M10" t="str">
        <f t="shared" ref="M10:M17" si="19">REPT(CHAR(9),2)&amp;"public virtual "&amp;IF(OR(H10="DateTime",H10="TimeSpan"),H10&amp;"?",H10)&amp;IF(C10="?","? "," ")&amp;D10&amp;" { get; set; }" &amp; "
"</f>
        <v xml:space="preserve">		public virtual string ShippingcompanyCode { get; set; }
</v>
      </c>
      <c r="N10" t="str">
        <f t="shared" ref="N10:N17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[StringLength(InvCkdShipmentConsts.MaxShippingcompanyCodeLength)]
		public virtual string ShippingcompanyCode { get; set; }
</v>
      </c>
      <c r="O10" t="str">
        <f t="shared" ref="O10:O17" si="21">IF(OR(H10="string",H10="DateTime",H10="int"),REPT(CHAR(9),2)&amp;"public virtual "&amp;IF(OR(H10="DateTime",H10="TimeSpan"),H10&amp;"?",H10)&amp;IF(C10="?","? "," ")&amp;D10&amp;" { get; set; }"&amp;$E$3,"")</f>
        <v xml:space="preserve">		public virtual string ShippingcompanyCode { get; set; }
</v>
      </c>
      <c r="P10" t="str">
        <f t="shared" ref="P10:P17" si="22">REPT(CHAR(9),7)&amp;D10&amp;" = o." &amp;D10 &amp;","</f>
        <v xml:space="preserve">							ShippingcompanyCode = o.ShippingcompanyCode,</v>
      </c>
      <c r="T10" s="69" t="str">
        <f t="shared" ref="T10:T17" si="23">REPT(CHAR(9),8)&amp;"("""&amp;D10&amp;"""),"</f>
        <v xml:space="preserve">								("ShippingcompanyCode"),</v>
      </c>
      <c r="V10" s="70" t="str">
        <f t="shared" ref="V10:V17" si="24">REPT(CHAR(9),8)&amp;"_ =&gt; _."&amp;D10&amp;","</f>
        <v xml:space="preserve">								_ =&gt; _.ShippingcompanyCode,</v>
      </c>
      <c r="W10" s="69" t="str">
        <f t="shared" ref="W10:W17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.WhereIf(!string.IsNullOrWhiteSpace(input.ShippingcompanyCode), e =&gt; e.ShippingcompanyCode.Contains(input.ShippingcompanyCode))</v>
      </c>
    </row>
    <row r="11" spans="1:23" customFormat="1" ht="18.75" customHeight="1" x14ac:dyDescent="0.25">
      <c r="A11" t="s">
        <v>363</v>
      </c>
      <c r="B11" t="s">
        <v>362</v>
      </c>
      <c r="C11" t="s">
        <v>1</v>
      </c>
      <c r="D11" t="str">
        <f t="shared" si="13"/>
        <v>SupplierNo</v>
      </c>
      <c r="E11" t="str">
        <f t="shared" si="14"/>
        <v>nvarchar</v>
      </c>
      <c r="F11" s="7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MaxSupplierNoLength = 10;
</v>
      </c>
      <c r="J11" t="str">
        <f t="shared" si="17"/>
        <v xml:space="preserve">		[StringLength(MaxSupplierNoLength)]
		public virtual string SupplierNo { get; set; }
</v>
      </c>
      <c r="K11" s="7" t="s">
        <v>206</v>
      </c>
      <c r="L11" t="str">
        <f t="shared" si="18"/>
        <v xml:space="preserve">	[Index(nameof(SupplierNo), Name="IX_InvCkdShipment_SupplierNo")]</v>
      </c>
      <c r="M11" t="str">
        <f t="shared" si="19"/>
        <v xml:space="preserve">		public virtual string SupplierNo { get; set; }
</v>
      </c>
      <c r="N11" t="str">
        <f t="shared" si="20"/>
        <v xml:space="preserve">		[StringLength(InvCkdShipmentConsts.MaxSupplierNoLength)]
		public virtual string SupplierNo { get; set; }
</v>
      </c>
      <c r="O11" t="str">
        <f t="shared" si="21"/>
        <v xml:space="preserve">		public virtual string SupplierNo { get; set; }
</v>
      </c>
      <c r="P11" t="str">
        <f t="shared" si="22"/>
        <v xml:space="preserve">							SupplierNo = o.SupplierNo,</v>
      </c>
      <c r="T11" s="69" t="str">
        <f t="shared" si="23"/>
        <v xml:space="preserve">								("SupplierNo"),</v>
      </c>
      <c r="V11" s="70" t="str">
        <f t="shared" si="24"/>
        <v xml:space="preserve">								_ =&gt; _.SupplierNo,</v>
      </c>
      <c r="W11" s="69" t="str">
        <f t="shared" si="25"/>
        <v xml:space="preserve">				.WhereIf(!string.IsNullOrWhiteSpace(input.SupplierNo), e =&gt; e.SupplierNo.Contains(input.SupplierNo))</v>
      </c>
    </row>
    <row r="12" spans="1:23" customFormat="1" ht="18.75" customHeight="1" x14ac:dyDescent="0.25">
      <c r="A12" t="s">
        <v>364</v>
      </c>
      <c r="B12" t="s">
        <v>379</v>
      </c>
      <c r="C12" t="s">
        <v>1</v>
      </c>
      <c r="D12" t="str">
        <f t="shared" ref="D12:D15" si="26">SUBSTITUTE(PROPER(A12),"_","")</f>
        <v>Buyer</v>
      </c>
      <c r="E12" t="str">
        <f t="shared" ref="E12:E15" si="27">IFERROR(LEFT(B12, FIND("(",B12)-1),B12)</f>
        <v>nvarchar</v>
      </c>
      <c r="F12" s="7"/>
      <c r="G12" t="str">
        <f t="shared" ref="G12:G15" si="28">IFERROR(MID(B12,FIND("(",B12) +1, FIND(")",B12) - FIND("(",B12) - 1),"")</f>
        <v>4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MaxBuyerLength = 4;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[StringLength(MaxBuyerLength)]
		public virtual string Buyer { get; set; }
</v>
      </c>
      <c r="K12" s="7" t="s">
        <v>206</v>
      </c>
      <c r="L12" t="str">
        <f t="shared" ref="L12:L15" si="31">IF(K12="","",REPT(CHAR(9),1)&amp;"[Index(nameof("&amp;IF(D12="","",""&amp;D12)&amp;")"&amp;", Name="&amp;"""IX_"&amp;$B$7&amp;"_"&amp;D12&amp;""")]")</f>
        <v xml:space="preserve">	[Index(nameof(Buyer), Name="IX_InvCkdShipment_Buyer")]</v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Buyer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[StringLength(InvCkdShipmentConsts.MaxBuyerLength)]
		public virtual string Buyer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Buyer { get; set; }
</v>
      </c>
      <c r="P12" t="str">
        <f t="shared" ref="P12:P15" si="35">REPT(CHAR(9),7)&amp;D12&amp;" = o." &amp;D12 &amp;","</f>
        <v xml:space="preserve">							Buyer = o.Buyer,</v>
      </c>
      <c r="T12" s="69" t="str">
        <f t="shared" ref="T12:T15" si="36">REPT(CHAR(9),8)&amp;"("""&amp;D12&amp;"""),"</f>
        <v xml:space="preserve">								("Buyer"),</v>
      </c>
      <c r="V12" s="70" t="str">
        <f t="shared" ref="V12:V15" si="37">REPT(CHAR(9),8)&amp;"_ =&gt; _."&amp;D12&amp;","</f>
        <v xml:space="preserve">								_ =&gt; _.Buyer,</v>
      </c>
      <c r="W12" s="69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.WhereIf(!string.IsNullOrWhiteSpace(input.Buyer), e =&gt; e.Buyer.Contains(input.Buyer))</v>
      </c>
    </row>
    <row r="13" spans="1:23" customFormat="1" ht="18.75" customHeight="1" x14ac:dyDescent="0.25">
      <c r="A13" t="s">
        <v>365</v>
      </c>
      <c r="B13" t="s">
        <v>357</v>
      </c>
      <c r="C13" t="s">
        <v>1</v>
      </c>
      <c r="D13" t="str">
        <f t="shared" si="26"/>
        <v>FromPort</v>
      </c>
      <c r="E13" t="str">
        <f t="shared" si="27"/>
        <v>nvarchar</v>
      </c>
      <c r="F13" s="7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MaxFromPortLength = 50;
</v>
      </c>
      <c r="J13" t="str">
        <f t="shared" si="30"/>
        <v xml:space="preserve">		[StringLength(MaxFromPortLength)]
		public virtual string FromPort { get; set; }
</v>
      </c>
      <c r="K13" s="7"/>
      <c r="L13" t="str">
        <f t="shared" si="31"/>
        <v/>
      </c>
      <c r="M13" t="str">
        <f t="shared" si="32"/>
        <v xml:space="preserve">		public virtual string FromPort { get; set; }
</v>
      </c>
      <c r="N13" t="str">
        <f t="shared" si="33"/>
        <v xml:space="preserve">		[StringLength(InvCkdShipmentConsts.MaxFromPortLength)]
		public virtual string FromPort { get; set; }
</v>
      </c>
      <c r="O13" t="str">
        <f t="shared" si="34"/>
        <v xml:space="preserve">		public virtual string FromPort { get; set; }
</v>
      </c>
      <c r="P13" t="str">
        <f t="shared" si="35"/>
        <v xml:space="preserve">							FromPort = o.FromPort,</v>
      </c>
      <c r="T13" s="69" t="str">
        <f t="shared" si="36"/>
        <v xml:space="preserve">								("FromPort"),</v>
      </c>
      <c r="V13" s="70" t="str">
        <f t="shared" si="37"/>
        <v xml:space="preserve">								_ =&gt; _.FromPort,</v>
      </c>
      <c r="W13" s="69" t="str">
        <f t="shared" si="38"/>
        <v xml:space="preserve">				.WhereIf(!string.IsNullOrWhiteSpace(input.FromPort), e =&gt; e.FromPort.Contains(input.FromPort))</v>
      </c>
    </row>
    <row r="14" spans="1:23" customFormat="1" ht="18.75" customHeight="1" x14ac:dyDescent="0.25">
      <c r="A14" t="s">
        <v>366</v>
      </c>
      <c r="B14" t="s">
        <v>357</v>
      </c>
      <c r="C14" t="s">
        <v>1</v>
      </c>
      <c r="D14" t="str">
        <f t="shared" si="26"/>
        <v>ToPort</v>
      </c>
      <c r="E14" t="str">
        <f t="shared" si="27"/>
        <v>nvarchar</v>
      </c>
      <c r="F14" s="7"/>
      <c r="G14" t="str">
        <f t="shared" si="28"/>
        <v>50</v>
      </c>
      <c r="H14" t="str">
        <f>+VLOOKUP(E14,'Data Type Mapping'!A:B,2,)</f>
        <v>string</v>
      </c>
      <c r="I14" t="str">
        <f t="shared" si="29"/>
        <v xml:space="preserve">		public const int MaxToPortLength = 50;
</v>
      </c>
      <c r="J14" t="str">
        <f t="shared" si="30"/>
        <v xml:space="preserve">		[StringLength(MaxToPortLength)]
		public virtual string ToPort { get; set; }
</v>
      </c>
      <c r="K14" s="7"/>
      <c r="L14" t="str">
        <f t="shared" si="31"/>
        <v/>
      </c>
      <c r="M14" t="str">
        <f t="shared" si="32"/>
        <v xml:space="preserve">		public virtual string ToPort { get; set; }
</v>
      </c>
      <c r="N14" t="str">
        <f t="shared" si="33"/>
        <v xml:space="preserve">		[StringLength(InvCkdShipmentConsts.MaxToPortLength)]
		public virtual string ToPort { get; set; }
</v>
      </c>
      <c r="O14" t="str">
        <f t="shared" si="34"/>
        <v xml:space="preserve">		public virtual string ToPort { get; set; }
</v>
      </c>
      <c r="P14" t="str">
        <f t="shared" si="35"/>
        <v xml:space="preserve">							ToPort = o.ToPort,</v>
      </c>
      <c r="T14" s="69" t="str">
        <f t="shared" si="36"/>
        <v xml:space="preserve">								("ToPort"),</v>
      </c>
      <c r="V14" s="70" t="str">
        <f t="shared" si="37"/>
        <v xml:space="preserve">								_ =&gt; _.ToPort,</v>
      </c>
      <c r="W14" s="69" t="str">
        <f t="shared" si="38"/>
        <v xml:space="preserve">				.WhereIf(!string.IsNullOrWhiteSpace(input.ToPort), e =&gt; e.ToPort.Contains(input.ToPort))</v>
      </c>
    </row>
    <row r="15" spans="1:23" customFormat="1" ht="18.75" customHeight="1" x14ac:dyDescent="0.25">
      <c r="A15" t="s">
        <v>367</v>
      </c>
      <c r="B15" t="s">
        <v>362</v>
      </c>
      <c r="C15" t="s">
        <v>1</v>
      </c>
      <c r="D15" t="str">
        <f t="shared" si="26"/>
        <v>ShipmentDate</v>
      </c>
      <c r="E15" t="str">
        <f t="shared" si="27"/>
        <v>nvarchar</v>
      </c>
      <c r="F15" s="7"/>
      <c r="G15" t="str">
        <f t="shared" si="28"/>
        <v>10</v>
      </c>
      <c r="H15" t="str">
        <f>+VLOOKUP(E15,'Data Type Mapping'!A:B,2,)</f>
        <v>string</v>
      </c>
      <c r="I15" t="str">
        <f t="shared" si="29"/>
        <v xml:space="preserve">		public const int MaxShipmentDateLength = 10;
</v>
      </c>
      <c r="J15" t="str">
        <f t="shared" si="30"/>
        <v xml:space="preserve">		[StringLength(MaxShipmentDateLength)]
		public virtual string ShipmentDate { get; set; }
</v>
      </c>
      <c r="K15" s="7" t="s">
        <v>206</v>
      </c>
      <c r="L15" t="str">
        <f t="shared" si="31"/>
        <v xml:space="preserve">	[Index(nameof(ShipmentDate), Name="IX_InvCkdShipment_ShipmentDate")]</v>
      </c>
      <c r="M15" t="str">
        <f t="shared" si="32"/>
        <v xml:space="preserve">		public virtual string ShipmentDate { get; set; }
</v>
      </c>
      <c r="N15" t="str">
        <f t="shared" si="33"/>
        <v xml:space="preserve">		[StringLength(InvCkdShipmentConsts.MaxShipmentDateLength)]
		public virtual string ShipmentDate { get; set; }
</v>
      </c>
      <c r="O15" t="str">
        <f t="shared" si="34"/>
        <v xml:space="preserve">		public virtual string ShipmentDate { get; set; }
</v>
      </c>
      <c r="P15" t="str">
        <f t="shared" si="35"/>
        <v xml:space="preserve">							ShipmentDate = o.ShipmentDate,</v>
      </c>
      <c r="T15" s="69" t="str">
        <f t="shared" si="36"/>
        <v xml:space="preserve">								("ShipmentDate"),</v>
      </c>
      <c r="V15" s="70" t="str">
        <f t="shared" si="37"/>
        <v xml:space="preserve">								_ =&gt; _.ShipmentDate,</v>
      </c>
      <c r="W15" s="69" t="str">
        <f t="shared" si="38"/>
        <v xml:space="preserve">				.WhereIf(!string.IsNullOrWhiteSpace(input.ShipmentDate), e =&gt; e.ShipmentDate.Contains(input.ShipmentDate))</v>
      </c>
    </row>
    <row r="16" spans="1:23" customFormat="1" ht="18.75" customHeight="1" x14ac:dyDescent="0.25">
      <c r="A16" t="s">
        <v>368</v>
      </c>
      <c r="B16" t="s">
        <v>356</v>
      </c>
      <c r="C16" t="s">
        <v>1</v>
      </c>
      <c r="D16" t="str">
        <f t="shared" ref="D16" si="39">SUBSTITUTE(PROPER(A16),"_","")</f>
        <v>Etd</v>
      </c>
      <c r="E16" t="str">
        <f t="shared" ref="E16" si="40">IFERROR(LEFT(B16, FIND("(",B16)-1),B16)</f>
        <v>Date</v>
      </c>
      <c r="F16" s="7" t="s">
        <v>2</v>
      </c>
      <c r="G16" t="str">
        <f t="shared" ref="G16" si="41">IFERROR(MID(B16,FIND("(",B16) +1, FIND(")",B16) - FIND("(",B16) - 1),"")</f>
        <v/>
      </c>
      <c r="H16" t="str">
        <f>+VLOOKUP(E16,'Data Type Mapping'!A:B,2,)</f>
        <v>DateTime</v>
      </c>
      <c r="I16" t="str">
        <f t="shared" ref="I16" si="42">IF(H16="string",REPT(CHAR(9),2)&amp;"public const int Max"&amp;D16&amp;"Length = "&amp;G16&amp;";"&amp;$E$3,"" )</f>
        <v/>
      </c>
      <c r="J16" t="str">
        <f t="shared" ref="J16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[Column(TypeName="date")]
		public virtual DateTime Etd { get; set; }
</v>
      </c>
      <c r="K16" s="7"/>
      <c r="L16" t="str">
        <f t="shared" ref="L16" si="44">IF(K16="","",REPT(CHAR(9),1)&amp;"[Index(nameof("&amp;IF(D16="","",""&amp;D16)&amp;")"&amp;", Name="&amp;"""IX_"&amp;$B$7&amp;"_"&amp;D16&amp;""")]")</f>
        <v/>
      </c>
      <c r="M16" t="str">
        <f t="shared" ref="M16" si="45">REPT(CHAR(9),2)&amp;"public virtual "&amp;IF(OR(H16="DateTime",H16="TimeSpan"),H16&amp;"?",H16)&amp;IF(C16="?","? "," ")&amp;D16&amp;" { get; set; }" &amp; "
"</f>
        <v xml:space="preserve">		public virtual DateTime? Etd { get; set; }
</v>
      </c>
      <c r="N16" t="str">
        <f t="shared" ref="N16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DateTime? Etd { get; set; }
</v>
      </c>
      <c r="O16" t="str">
        <f t="shared" ref="O16" si="47">IF(OR(H16="string",H16="DateTime",H16="int"),REPT(CHAR(9),2)&amp;"public virtual "&amp;IF(OR(H16="DateTime",H16="TimeSpan"),H16&amp;"?",H16)&amp;IF(C16="?","? "," ")&amp;D16&amp;" { get; set; }"&amp;$E$3,"")</f>
        <v xml:space="preserve">		public virtual DateTime? Etd { get; set; }
</v>
      </c>
      <c r="P16" t="str">
        <f t="shared" ref="P16" si="48">REPT(CHAR(9),7)&amp;D16&amp;" = o." &amp;D16 &amp;","</f>
        <v xml:space="preserve">							Etd = o.Etd,</v>
      </c>
      <c r="T16" s="69" t="str">
        <f t="shared" ref="T16" si="49">REPT(CHAR(9),8)&amp;"("""&amp;D16&amp;"""),"</f>
        <v xml:space="preserve">								("Etd"),</v>
      </c>
      <c r="V16" s="70" t="str">
        <f t="shared" ref="V16" si="50">REPT(CHAR(9),8)&amp;"_ =&gt; _."&amp;D16&amp;","</f>
        <v xml:space="preserve">								_ =&gt; _.Etd,</v>
      </c>
      <c r="W16" s="69" t="str">
        <f t="shared" ref="W16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.WhereIf(input.Etd.HasValue, t =&gt; t.Etd == input.Etd.Value)</v>
      </c>
    </row>
    <row r="17" spans="1:23" customFormat="1" ht="18.75" customHeight="1" x14ac:dyDescent="0.25">
      <c r="A17" t="s">
        <v>369</v>
      </c>
      <c r="B17" t="s">
        <v>356</v>
      </c>
      <c r="C17" t="s">
        <v>1</v>
      </c>
      <c r="D17" t="str">
        <f t="shared" si="13"/>
        <v>Eta</v>
      </c>
      <c r="E17" t="str">
        <f t="shared" si="14"/>
        <v>Date</v>
      </c>
      <c r="F17" s="7" t="s">
        <v>2</v>
      </c>
      <c r="G17" t="str">
        <f t="shared" si="15"/>
        <v/>
      </c>
      <c r="H17" t="str">
        <f>+VLOOKUP(E17,'Data Type Mapping'!A:B,2,)</f>
        <v>DateTime</v>
      </c>
      <c r="I17" t="str">
        <f t="shared" si="16"/>
        <v/>
      </c>
      <c r="J17" t="str">
        <f t="shared" si="17"/>
        <v xml:space="preserve">		[Column(TypeName="date")]
		public virtual DateTime Eta { get; set; }
</v>
      </c>
      <c r="K17" s="7"/>
      <c r="L17" t="str">
        <f t="shared" si="18"/>
        <v/>
      </c>
      <c r="M17" t="str">
        <f t="shared" si="19"/>
        <v xml:space="preserve">		public virtual DateTime? Eta { get; set; }
</v>
      </c>
      <c r="N17" t="str">
        <f t="shared" si="20"/>
        <v xml:space="preserve">		public virtual DateTime? Eta { get; set; }
</v>
      </c>
      <c r="O17" t="str">
        <f t="shared" si="21"/>
        <v xml:space="preserve">		public virtual DateTime? Eta { get; set; }
</v>
      </c>
      <c r="P17" t="str">
        <f t="shared" si="22"/>
        <v xml:space="preserve">							Eta = o.Eta,</v>
      </c>
      <c r="T17" s="69" t="str">
        <f t="shared" si="23"/>
        <v xml:space="preserve">								("Eta"),</v>
      </c>
      <c r="V17" s="70" t="str">
        <f t="shared" si="24"/>
        <v xml:space="preserve">								_ =&gt; _.Eta,</v>
      </c>
      <c r="W17" s="69" t="str">
        <f t="shared" si="25"/>
        <v xml:space="preserve">				.WhereIf(input.Eta.HasValue, t =&gt; t.Eta == input.Eta.Value)</v>
      </c>
    </row>
    <row r="18" spans="1:23" customFormat="1" ht="18.75" customHeight="1" x14ac:dyDescent="0.25">
      <c r="A18" t="s">
        <v>370</v>
      </c>
      <c r="B18" t="s">
        <v>356</v>
      </c>
      <c r="C18" t="s">
        <v>1</v>
      </c>
      <c r="D18" t="str">
        <f t="shared" ref="D18:D22" si="52">SUBSTITUTE(PROPER(A18),"_","")</f>
        <v>Ata</v>
      </c>
      <c r="E18" t="str">
        <f t="shared" ref="E18:E22" si="53">IFERROR(LEFT(B18, FIND("(",B18)-1),B18)</f>
        <v>Date</v>
      </c>
      <c r="F18" s="7" t="s">
        <v>2</v>
      </c>
      <c r="G18" t="str">
        <f t="shared" ref="G18:G22" si="54">IFERROR(MID(B18,FIND("(",B18) +1, FIND(")",B18) - FIND("(",B18) - 1),"")</f>
        <v/>
      </c>
      <c r="H18" t="str">
        <f>+VLOOKUP(E18,'Data Type Mapping'!A:B,2,)</f>
        <v>DateTime</v>
      </c>
      <c r="I18" t="str">
        <f t="shared" ref="I18:I22" si="55">IF(H18="string",REPT(CHAR(9),2)&amp;"public const int Max"&amp;D18&amp;"Length = "&amp;G18&amp;";"&amp;$E$3,"" )</f>
        <v/>
      </c>
      <c r="J18" t="str">
        <f t="shared" ref="J18:J22" si="5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[Column(TypeName="date")]
		public virtual DateTime Ata { get; set; }
</v>
      </c>
      <c r="K18" s="7"/>
      <c r="L18" t="str">
        <f t="shared" ref="L18:L22" si="57">IF(K18="","",REPT(CHAR(9),1)&amp;"[Index(nameof("&amp;IF(D18="","",""&amp;D18)&amp;")"&amp;", Name="&amp;"""IX_"&amp;$B$7&amp;"_"&amp;D18&amp;""")]")</f>
        <v/>
      </c>
      <c r="M18" t="str">
        <f t="shared" ref="M18:M22" si="58">REPT(CHAR(9),2)&amp;"public virtual "&amp;IF(OR(H18="DateTime",H18="TimeSpan"),H18&amp;"?",H18)&amp;IF(C18="?","? "," ")&amp;D18&amp;" { get; set; }" &amp; "
"</f>
        <v xml:space="preserve">		public virtual DateTime? Ata { get; set; }
</v>
      </c>
      <c r="N18" t="str">
        <f t="shared" ref="N18:N22" si="5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Ata { get; set; }
</v>
      </c>
      <c r="O18" t="str">
        <f t="shared" ref="O18:O22" si="60">IF(OR(H18="string",H18="DateTime",H18="int"),REPT(CHAR(9),2)&amp;"public virtual "&amp;IF(OR(H18="DateTime",H18="TimeSpan"),H18&amp;"?",H18)&amp;IF(C18="?","? "," ")&amp;D18&amp;" { get; set; }"&amp;$E$3,"")</f>
        <v xml:space="preserve">		public virtual DateTime? Ata { get; set; }
</v>
      </c>
      <c r="P18" t="str">
        <f t="shared" ref="P18:P22" si="61">REPT(CHAR(9),7)&amp;D18&amp;" = o." &amp;D18 &amp;","</f>
        <v xml:space="preserve">							Ata = o.Ata,</v>
      </c>
      <c r="T18" s="69" t="str">
        <f t="shared" ref="T18:T22" si="62">REPT(CHAR(9),8)&amp;"("""&amp;D18&amp;"""),"</f>
        <v xml:space="preserve">								("Ata"),</v>
      </c>
      <c r="V18" s="70" t="str">
        <f t="shared" ref="V18:V22" si="63">REPT(CHAR(9),8)&amp;"_ =&gt; _."&amp;D18&amp;","</f>
        <v xml:space="preserve">								_ =&gt; _.Ata,</v>
      </c>
      <c r="W18" s="69" t="str">
        <f t="shared" ref="W18:W22" si="6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.WhereIf(input.Ata.HasValue, t =&gt; t.Ata == input.Ata.Value)</v>
      </c>
    </row>
    <row r="19" spans="1:23" customFormat="1" ht="18.75" customHeight="1" x14ac:dyDescent="0.25">
      <c r="A19" t="s">
        <v>371</v>
      </c>
      <c r="B19" t="s">
        <v>380</v>
      </c>
      <c r="C19" t="s">
        <v>1</v>
      </c>
      <c r="D19" t="str">
        <f t="shared" si="52"/>
        <v>FeedervesselName</v>
      </c>
      <c r="E19" t="str">
        <f t="shared" si="53"/>
        <v>nvarchar</v>
      </c>
      <c r="F19" s="7"/>
      <c r="G19" t="str">
        <f t="shared" si="54"/>
        <v>30</v>
      </c>
      <c r="H19" t="str">
        <f>+VLOOKUP(E19,'Data Type Mapping'!A:B,2,)</f>
        <v>string</v>
      </c>
      <c r="I19" t="str">
        <f t="shared" si="55"/>
        <v xml:space="preserve">		public const int MaxFeedervesselNameLength = 30;
</v>
      </c>
      <c r="J19" t="str">
        <f t="shared" si="56"/>
        <v xml:space="preserve">		[StringLength(MaxFeedervesselNameLength)]
		public virtual string FeedervesselName { get; set; }
</v>
      </c>
      <c r="K19" s="7"/>
      <c r="L19" t="str">
        <f t="shared" si="57"/>
        <v/>
      </c>
      <c r="M19" t="str">
        <f t="shared" si="58"/>
        <v xml:space="preserve">		public virtual string FeedervesselName { get; set; }
</v>
      </c>
      <c r="N19" t="str">
        <f t="shared" si="59"/>
        <v xml:space="preserve">		[StringLength(InvCkdShipmentConsts.MaxFeedervesselNameLength)]
		public virtual string FeedervesselName { get; set; }
</v>
      </c>
      <c r="O19" t="str">
        <f t="shared" si="60"/>
        <v xml:space="preserve">		public virtual string FeedervesselName { get; set; }
</v>
      </c>
      <c r="P19" t="str">
        <f t="shared" si="61"/>
        <v xml:space="preserve">							FeedervesselName = o.FeedervesselName,</v>
      </c>
      <c r="T19" s="69" t="str">
        <f t="shared" si="62"/>
        <v xml:space="preserve">								("FeedervesselName"),</v>
      </c>
      <c r="V19" s="70" t="str">
        <f t="shared" si="63"/>
        <v xml:space="preserve">								_ =&gt; _.FeedervesselName,</v>
      </c>
      <c r="W19" s="69" t="str">
        <f t="shared" si="64"/>
        <v xml:space="preserve">				.WhereIf(!string.IsNullOrWhiteSpace(input.FeedervesselName), e =&gt; e.FeedervesselName.Contains(input.FeedervesselName))</v>
      </c>
    </row>
    <row r="20" spans="1:23" customFormat="1" ht="18.75" customHeight="1" x14ac:dyDescent="0.25">
      <c r="A20" t="s">
        <v>372</v>
      </c>
      <c r="B20" t="s">
        <v>380</v>
      </c>
      <c r="C20" t="s">
        <v>1</v>
      </c>
      <c r="D20" t="str">
        <f t="shared" si="52"/>
        <v>OceanvesselName</v>
      </c>
      <c r="E20" t="str">
        <f t="shared" si="53"/>
        <v>nvarchar</v>
      </c>
      <c r="F20" s="7"/>
      <c r="G20" t="str">
        <f t="shared" si="54"/>
        <v>30</v>
      </c>
      <c r="H20" t="str">
        <f>+VLOOKUP(E20,'Data Type Mapping'!A:B,2,)</f>
        <v>string</v>
      </c>
      <c r="I20" t="str">
        <f t="shared" si="55"/>
        <v xml:space="preserve">		public const int MaxOceanvesselNameLength = 30;
</v>
      </c>
      <c r="J20" t="str">
        <f t="shared" si="56"/>
        <v xml:space="preserve">		[StringLength(MaxOceanvesselNameLength)]
		public virtual string OceanvesselName { get; set; }
</v>
      </c>
      <c r="K20" s="7"/>
      <c r="L20" t="str">
        <f t="shared" si="57"/>
        <v/>
      </c>
      <c r="M20" t="str">
        <f t="shared" si="58"/>
        <v xml:space="preserve">		public virtual string OceanvesselName { get; set; }
</v>
      </c>
      <c r="N20" t="str">
        <f t="shared" si="59"/>
        <v xml:space="preserve">		[StringLength(InvCkdShipmentConsts.MaxOceanvesselNameLength)]
		public virtual string OceanvesselName { get; set; }
</v>
      </c>
      <c r="O20" t="str">
        <f t="shared" si="60"/>
        <v xml:space="preserve">		public virtual string OceanvesselName { get; set; }
</v>
      </c>
      <c r="P20" t="str">
        <f t="shared" si="61"/>
        <v xml:space="preserve">							OceanvesselName = o.OceanvesselName,</v>
      </c>
      <c r="T20" s="69" t="str">
        <f t="shared" si="62"/>
        <v xml:space="preserve">								("OceanvesselName"),</v>
      </c>
      <c r="V20" s="70" t="str">
        <f t="shared" si="63"/>
        <v xml:space="preserve">								_ =&gt; _.OceanvesselName,</v>
      </c>
      <c r="W20" s="69" t="str">
        <f t="shared" si="64"/>
        <v xml:space="preserve">				.WhereIf(!string.IsNullOrWhiteSpace(input.OceanvesselName), e =&gt; e.OceanvesselName.Contains(input.OceanvesselName))</v>
      </c>
    </row>
    <row r="21" spans="1:23" customFormat="1" ht="18.75" customHeight="1" x14ac:dyDescent="0.25">
      <c r="A21" t="s">
        <v>373</v>
      </c>
      <c r="B21" t="s">
        <v>362</v>
      </c>
      <c r="C21" t="s">
        <v>1</v>
      </c>
      <c r="D21" t="str">
        <f t="shared" si="52"/>
        <v>OceanvesselvoyageNo</v>
      </c>
      <c r="E21" t="str">
        <f t="shared" si="53"/>
        <v>nvarchar</v>
      </c>
      <c r="F21" s="7"/>
      <c r="G21" t="str">
        <f t="shared" si="54"/>
        <v>10</v>
      </c>
      <c r="H21" t="str">
        <f>+VLOOKUP(E21,'Data Type Mapping'!A:B,2,)</f>
        <v>string</v>
      </c>
      <c r="I21" t="str">
        <f t="shared" si="55"/>
        <v xml:space="preserve">		public const int MaxOceanvesselvoyageNoLength = 10;
</v>
      </c>
      <c r="J21" t="str">
        <f t="shared" si="56"/>
        <v xml:space="preserve">		[StringLength(MaxOceanvesselvoyageNoLength)]
		public virtual string OceanvesselvoyageNo { get; set; }
</v>
      </c>
      <c r="K21" s="7"/>
      <c r="L21" t="str">
        <f t="shared" si="57"/>
        <v/>
      </c>
      <c r="M21" t="str">
        <f t="shared" si="58"/>
        <v xml:space="preserve">		public virtual string OceanvesselvoyageNo { get; set; }
</v>
      </c>
      <c r="N21" t="str">
        <f t="shared" si="59"/>
        <v xml:space="preserve">		[StringLength(InvCkdShipmentConsts.MaxOceanvesselvoyageNoLength)]
		public virtual string OceanvesselvoyageNo { get; set; }
</v>
      </c>
      <c r="O21" t="str">
        <f t="shared" si="60"/>
        <v xml:space="preserve">		public virtual string OceanvesselvoyageNo { get; set; }
</v>
      </c>
      <c r="P21" t="str">
        <f t="shared" si="61"/>
        <v xml:space="preserve">							OceanvesselvoyageNo = o.OceanvesselvoyageNo,</v>
      </c>
      <c r="T21" s="69" t="str">
        <f t="shared" si="62"/>
        <v xml:space="preserve">								("OceanvesselvoyageNo"),</v>
      </c>
      <c r="V21" s="70" t="str">
        <f t="shared" si="63"/>
        <v xml:space="preserve">								_ =&gt; _.OceanvesselvoyageNo,</v>
      </c>
      <c r="W21" s="69" t="str">
        <f t="shared" si="64"/>
        <v xml:space="preserve">				.WhereIf(!string.IsNullOrWhiteSpace(input.OceanvesselvoyageNo), e =&gt; e.OceanvesselvoyageNo.Contains(input.OceanvesselvoyageNo))</v>
      </c>
    </row>
    <row r="22" spans="1:23" customFormat="1" ht="18.75" customHeight="1" x14ac:dyDescent="0.25">
      <c r="A22" t="s">
        <v>374</v>
      </c>
      <c r="B22" t="s">
        <v>4</v>
      </c>
      <c r="C22" t="s">
        <v>1</v>
      </c>
      <c r="D22" t="str">
        <f t="shared" si="52"/>
        <v>NoofinvoicewithinshipmentNo</v>
      </c>
      <c r="E22" t="str">
        <f t="shared" si="53"/>
        <v>int</v>
      </c>
      <c r="F22" s="7"/>
      <c r="G22" t="str">
        <f t="shared" si="54"/>
        <v/>
      </c>
      <c r="H22" t="str">
        <f>+VLOOKUP(E22,'Data Type Mapping'!A:B,2,)</f>
        <v>int</v>
      </c>
      <c r="I22" t="str">
        <f t="shared" si="55"/>
        <v/>
      </c>
      <c r="J22" t="str">
        <f t="shared" si="56"/>
        <v xml:space="preserve">		public virtual int NoofinvoicewithinshipmentNo { get; set; }
</v>
      </c>
      <c r="K22" s="7"/>
      <c r="L22" t="str">
        <f t="shared" si="57"/>
        <v/>
      </c>
      <c r="M22" t="str">
        <f t="shared" si="58"/>
        <v xml:space="preserve">		public virtual int NoofinvoicewithinshipmentNo { get; set; }
</v>
      </c>
      <c r="N22" t="str">
        <f t="shared" si="59"/>
        <v xml:space="preserve">		public virtual int NoofinvoicewithinshipmentNo { get; set; }
</v>
      </c>
      <c r="O22" t="str">
        <f t="shared" si="60"/>
        <v xml:space="preserve">		public virtual int NoofinvoicewithinshipmentNo { get; set; }
</v>
      </c>
      <c r="P22" t="str">
        <f t="shared" si="61"/>
        <v xml:space="preserve">							NoofinvoicewithinshipmentNo = o.NoofinvoicewithinshipmentNo,</v>
      </c>
      <c r="T22" s="69" t="str">
        <f t="shared" si="62"/>
        <v xml:space="preserve">								("NoofinvoicewithinshipmentNo"),</v>
      </c>
      <c r="V22" s="70" t="str">
        <f t="shared" si="63"/>
        <v xml:space="preserve">								_ =&gt; _.NoofinvoicewithinshipmentNo,</v>
      </c>
      <c r="W22" s="69" t="str">
        <f t="shared" si="64"/>
        <v/>
      </c>
    </row>
    <row r="23" spans="1:23" customFormat="1" ht="18.75" customHeight="1" x14ac:dyDescent="0.25">
      <c r="A23" t="s">
        <v>375</v>
      </c>
      <c r="B23" t="s">
        <v>4</v>
      </c>
      <c r="C23" t="s">
        <v>1</v>
      </c>
      <c r="D23" t="str">
        <f t="shared" ref="D23:D26" si="65">SUBSTITUTE(PROPER(A23),"_","")</f>
        <v>Noof20Ftcontainers</v>
      </c>
      <c r="E23" t="str">
        <f t="shared" ref="E23:E26" si="66">IFERROR(LEFT(B23, FIND("(",B23)-1),B23)</f>
        <v>int</v>
      </c>
      <c r="F23" s="7"/>
      <c r="G23" t="str">
        <f t="shared" ref="G23:G26" si="67">IFERROR(MID(B23,FIND("(",B23) +1, FIND(")",B23) - FIND("(",B23) - 1),"")</f>
        <v/>
      </c>
      <c r="H23" t="str">
        <f>+VLOOKUP(E23,'Data Type Mapping'!A:B,2,)</f>
        <v>int</v>
      </c>
      <c r="I23" t="str">
        <f t="shared" ref="I23:I26" si="68">IF(H23="string",REPT(CHAR(9),2)&amp;"public const int Max"&amp;D23&amp;"Length = "&amp;G23&amp;";"&amp;$E$3,"" )</f>
        <v/>
      </c>
      <c r="J23" t="str">
        <f t="shared" ref="J23:J26" si="69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int Noof20Ftcontainers { get; set; }
</v>
      </c>
      <c r="K23" s="7"/>
      <c r="L23" t="str">
        <f t="shared" ref="L23:L26" si="70">IF(K23="","",REPT(CHAR(9),1)&amp;"[Index(nameof("&amp;IF(D23="","",""&amp;D23)&amp;")"&amp;", Name="&amp;"""IX_"&amp;$B$7&amp;"_"&amp;D23&amp;""")]")</f>
        <v/>
      </c>
      <c r="M23" t="str">
        <f t="shared" ref="M23:M26" si="71">REPT(CHAR(9),2)&amp;"public virtual "&amp;IF(OR(H23="DateTime",H23="TimeSpan"),H23&amp;"?",H23)&amp;IF(C23="?","? "," ")&amp;D23&amp;" { get; set; }" &amp; "
"</f>
        <v xml:space="preserve">		public virtual int Noof20Ftcontainers { get; set; }
</v>
      </c>
      <c r="N23" t="str">
        <f t="shared" ref="N23:N26" si="72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int Noof20Ftcontainers { get; set; }
</v>
      </c>
      <c r="O23" t="str">
        <f t="shared" ref="O23:O26" si="73">IF(OR(H23="string",H23="DateTime",H23="int"),REPT(CHAR(9),2)&amp;"public virtual "&amp;IF(OR(H23="DateTime",H23="TimeSpan"),H23&amp;"?",H23)&amp;IF(C23="?","? "," ")&amp;D23&amp;" { get; set; }"&amp;$E$3,"")</f>
        <v xml:space="preserve">		public virtual int Noof20Ftcontainers { get; set; }
</v>
      </c>
      <c r="P23" t="str">
        <f t="shared" ref="P23:P26" si="74">REPT(CHAR(9),7)&amp;D23&amp;" = o." &amp;D23 &amp;","</f>
        <v xml:space="preserve">							Noof20Ftcontainers = o.Noof20Ftcontainers,</v>
      </c>
      <c r="T23" s="69" t="str">
        <f t="shared" ref="T23:T26" si="75">REPT(CHAR(9),8)&amp;"("""&amp;D23&amp;"""),"</f>
        <v xml:space="preserve">								("Noof20Ftcontainers"),</v>
      </c>
      <c r="V23" s="70" t="str">
        <f t="shared" ref="V23:V26" si="76">REPT(CHAR(9),8)&amp;"_ =&gt; _."&amp;D23&amp;","</f>
        <v xml:space="preserve">								_ =&gt; _.Noof20Ftcontainers,</v>
      </c>
      <c r="W23" s="69" t="str">
        <f t="shared" ref="W23:W26" si="77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</row>
    <row r="24" spans="1:23" customFormat="1" ht="18.75" customHeight="1" x14ac:dyDescent="0.25">
      <c r="A24" t="s">
        <v>376</v>
      </c>
      <c r="B24" t="s">
        <v>4</v>
      </c>
      <c r="C24" t="s">
        <v>1</v>
      </c>
      <c r="D24" t="str">
        <f t="shared" si="65"/>
        <v>Noof40Ftcontainers</v>
      </c>
      <c r="E24" t="str">
        <f t="shared" si="66"/>
        <v>int</v>
      </c>
      <c r="F24" s="7"/>
      <c r="G24" t="str">
        <f t="shared" si="67"/>
        <v/>
      </c>
      <c r="H24" t="str">
        <f>+VLOOKUP(E24,'Data Type Mapping'!A:B,2,)</f>
        <v>int</v>
      </c>
      <c r="I24" t="str">
        <f t="shared" si="68"/>
        <v/>
      </c>
      <c r="J24" t="str">
        <f t="shared" si="69"/>
        <v xml:space="preserve">		public virtual int Noof40Ftcontainers { get; set; }
</v>
      </c>
      <c r="K24" s="7"/>
      <c r="L24" t="str">
        <f t="shared" si="70"/>
        <v/>
      </c>
      <c r="M24" t="str">
        <f t="shared" si="71"/>
        <v xml:space="preserve">		public virtual int Noof40Ftcontainers { get; set; }
</v>
      </c>
      <c r="N24" t="str">
        <f t="shared" si="72"/>
        <v xml:space="preserve">		public virtual int Noof40Ftcontainers { get; set; }
</v>
      </c>
      <c r="O24" t="str">
        <f t="shared" si="73"/>
        <v xml:space="preserve">		public virtual int Noof40Ftcontainers { get; set; }
</v>
      </c>
      <c r="P24" t="str">
        <f t="shared" si="74"/>
        <v xml:space="preserve">							Noof40Ftcontainers = o.Noof40Ftcontainers,</v>
      </c>
      <c r="T24" s="69" t="str">
        <f t="shared" si="75"/>
        <v xml:space="preserve">								("Noof40Ftcontainers"),</v>
      </c>
      <c r="V24" s="70" t="str">
        <f t="shared" si="76"/>
        <v xml:space="preserve">								_ =&gt; _.Noof40Ftcontainers,</v>
      </c>
      <c r="W24" s="69" t="str">
        <f t="shared" si="77"/>
        <v/>
      </c>
    </row>
    <row r="25" spans="1:23" customFormat="1" ht="18.75" customHeight="1" x14ac:dyDescent="0.25">
      <c r="A25" t="s">
        <v>377</v>
      </c>
      <c r="B25" t="s">
        <v>4</v>
      </c>
      <c r="C25" t="s">
        <v>1</v>
      </c>
      <c r="D25" t="str">
        <f t="shared" si="65"/>
        <v>Lclvolume</v>
      </c>
      <c r="E25" t="str">
        <f t="shared" si="66"/>
        <v>int</v>
      </c>
      <c r="F25" s="7"/>
      <c r="G25" t="str">
        <f t="shared" si="67"/>
        <v/>
      </c>
      <c r="H25" t="str">
        <f>+VLOOKUP(E25,'Data Type Mapping'!A:B,2,)</f>
        <v>int</v>
      </c>
      <c r="I25" t="str">
        <f t="shared" si="68"/>
        <v/>
      </c>
      <c r="J25" t="str">
        <f t="shared" si="69"/>
        <v xml:space="preserve">		public virtual int Lclvolume { get; set; }
</v>
      </c>
      <c r="K25" s="7"/>
      <c r="L25" t="str">
        <f t="shared" si="70"/>
        <v/>
      </c>
      <c r="M25" t="str">
        <f t="shared" si="71"/>
        <v xml:space="preserve">		public virtual int Lclvolume { get; set; }
</v>
      </c>
      <c r="N25" t="str">
        <f t="shared" si="72"/>
        <v xml:space="preserve">		public virtual int Lclvolume { get; set; }
</v>
      </c>
      <c r="O25" t="str">
        <f t="shared" si="73"/>
        <v xml:space="preserve">		public virtual int Lclvolume { get; set; }
</v>
      </c>
      <c r="P25" t="str">
        <f t="shared" si="74"/>
        <v xml:space="preserve">							Lclvolume = o.Lclvolume,</v>
      </c>
      <c r="T25" s="69" t="str">
        <f t="shared" si="75"/>
        <v xml:space="preserve">								("Lclvolume"),</v>
      </c>
      <c r="V25" s="70" t="str">
        <f t="shared" si="76"/>
        <v xml:space="preserve">								_ =&gt; _.Lclvolume,</v>
      </c>
      <c r="W25" s="69" t="str">
        <f t="shared" si="77"/>
        <v/>
      </c>
    </row>
    <row r="26" spans="1:23" customFormat="1" ht="18.75" customHeight="1" x14ac:dyDescent="0.25">
      <c r="A26" t="s">
        <v>378</v>
      </c>
      <c r="B26" t="s">
        <v>356</v>
      </c>
      <c r="C26" t="s">
        <v>1</v>
      </c>
      <c r="D26" t="str">
        <f t="shared" si="65"/>
        <v>Atd</v>
      </c>
      <c r="E26" t="str">
        <f t="shared" si="66"/>
        <v>Date</v>
      </c>
      <c r="F26" s="7" t="s">
        <v>2</v>
      </c>
      <c r="G26" t="str">
        <f t="shared" si="67"/>
        <v/>
      </c>
      <c r="H26" t="str">
        <f>+VLOOKUP(E26,'Data Type Mapping'!A:B,2,)</f>
        <v>DateTime</v>
      </c>
      <c r="I26" t="str">
        <f t="shared" si="68"/>
        <v/>
      </c>
      <c r="J26" t="str">
        <f t="shared" si="69"/>
        <v xml:space="preserve">		[Column(TypeName="date")]
		public virtual DateTime Atd { get; set; }
</v>
      </c>
      <c r="K26" s="7"/>
      <c r="L26" t="str">
        <f t="shared" si="70"/>
        <v/>
      </c>
      <c r="M26" t="str">
        <f t="shared" si="71"/>
        <v xml:space="preserve">		public virtual DateTime? Atd { get; set; }
</v>
      </c>
      <c r="N26" t="str">
        <f t="shared" si="72"/>
        <v xml:space="preserve">		public virtual DateTime? Atd { get; set; }
</v>
      </c>
      <c r="O26" t="str">
        <f t="shared" si="73"/>
        <v xml:space="preserve">		public virtual DateTime? Atd { get; set; }
</v>
      </c>
      <c r="P26" t="str">
        <f t="shared" si="74"/>
        <v xml:space="preserve">							Atd = o.Atd,</v>
      </c>
      <c r="T26" s="69" t="str">
        <f t="shared" si="75"/>
        <v xml:space="preserve">								("Atd"),</v>
      </c>
      <c r="V26" s="70" t="str">
        <f t="shared" si="76"/>
        <v xml:space="preserve">								_ =&gt; _.Atd,</v>
      </c>
      <c r="W26" s="69" t="str">
        <f t="shared" si="77"/>
        <v xml:space="preserve">				.WhereIf(input.Atd.HasValue, t =&gt; t.Atd == input.Atd.Value)</v>
      </c>
    </row>
    <row r="27" spans="1:23" customFormat="1" ht="18.75" customHeight="1" x14ac:dyDescent="0.25">
      <c r="A27" t="s">
        <v>355</v>
      </c>
      <c r="B27" t="s">
        <v>357</v>
      </c>
      <c r="C27" t="s">
        <v>1</v>
      </c>
      <c r="D27" t="str">
        <f t="shared" ref="D27" si="78">SUBSTITUTE(PROPER(A27),"_","")</f>
        <v>Status</v>
      </c>
      <c r="E27" t="str">
        <f t="shared" ref="E27" si="79">IFERROR(LEFT(B27, FIND("(",B27)-1),B27)</f>
        <v>nvarchar</v>
      </c>
      <c r="F27" s="7"/>
      <c r="G27" t="str">
        <f t="shared" ref="G27" si="80">IFERROR(MID(B27,FIND("(",B27) +1, FIND(")",B27) - FIND("(",B27) - 1),"")</f>
        <v>50</v>
      </c>
      <c r="H27" t="str">
        <f>+VLOOKUP(E27,'Data Type Mapping'!A:B,2,)</f>
        <v>string</v>
      </c>
      <c r="I27" t="str">
        <f t="shared" ref="I27" si="81">IF(H27="string",REPT(CHAR(9),2)&amp;"public const int Max"&amp;D27&amp;"Length = "&amp;G27&amp;";"&amp;$E$3,"" )</f>
        <v xml:space="preserve">		public const int MaxStatusLength = 50;
</v>
      </c>
      <c r="J27" t="str">
        <f t="shared" ref="J27" si="82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[StringLength(MaxStatusLength)]
		public virtual string Status { get; set; }
</v>
      </c>
      <c r="K27" s="7"/>
      <c r="L27" t="str">
        <f t="shared" ref="L27" si="83">IF(K27="","",REPT(CHAR(9),1)&amp;"[Index(nameof("&amp;IF(D27="","",""&amp;D27)&amp;")"&amp;", Name="&amp;"""IX_"&amp;$B$7&amp;"_"&amp;D27&amp;""")]")</f>
        <v/>
      </c>
      <c r="M27" t="str">
        <f t="shared" ref="M27" si="84">REPT(CHAR(9),2)&amp;"public virtual "&amp;IF(OR(H27="DateTime",H27="TimeSpan"),H27&amp;"?",H27)&amp;IF(C27="?","? "," ")&amp;D27&amp;" { get; set; }" &amp; "
"</f>
        <v xml:space="preserve">		public virtual string Status { get; set; }
</v>
      </c>
      <c r="N27" t="str">
        <f t="shared" ref="N27" si="85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[StringLength(InvCkdShipmentConsts.MaxStatusLength)]
		public virtual string Status { get; set; }
</v>
      </c>
      <c r="O27" t="str">
        <f t="shared" ref="O27" si="86">IF(OR(H27="string",H27="DateTime",H27="int"),REPT(CHAR(9),2)&amp;"public virtual "&amp;IF(OR(H27="DateTime",H27="TimeSpan"),H27&amp;"?",H27)&amp;IF(C27="?","? "," ")&amp;D27&amp;" { get; set; }"&amp;$E$3,"")</f>
        <v xml:space="preserve">		public virtual string Status { get; set; }
</v>
      </c>
      <c r="P27" t="str">
        <f t="shared" ref="P27" si="87">REPT(CHAR(9),7)&amp;D27&amp;" = o." &amp;D27 &amp;","</f>
        <v xml:space="preserve">							Status = o.Status,</v>
      </c>
      <c r="T27" s="69" t="str">
        <f t="shared" ref="T27" si="88">REPT(CHAR(9),8)&amp;"("""&amp;D27&amp;"""),"</f>
        <v xml:space="preserve">								("Status"),</v>
      </c>
      <c r="V27" s="70" t="str">
        <f t="shared" ref="V27" si="89">REPT(CHAR(9),8)&amp;"_ =&gt; _."&amp;D27&amp;","</f>
        <v xml:space="preserve">								_ =&gt; _.Status,</v>
      </c>
      <c r="W27" s="69" t="str">
        <f t="shared" ref="W27" si="90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.WhereIf(!string.IsNullOrWhiteSpace(input.Status), e =&gt; e.Status.Contains(input.Status))</v>
      </c>
    </row>
    <row r="28" spans="1:23" customFormat="1" ht="22.5" customHeight="1" x14ac:dyDescent="0.25">
      <c r="A28" t="s">
        <v>324</v>
      </c>
      <c r="B28" t="s">
        <v>381</v>
      </c>
      <c r="C28" t="s">
        <v>1</v>
      </c>
      <c r="D28" t="str">
        <f>SUBSTITUTE(PROPER(A28),"_","")</f>
        <v>IsActive</v>
      </c>
      <c r="E28" t="str">
        <f t="shared" ref="E28" si="91">IFERROR(LEFT(B28, FIND("(",B28)-1),B28)</f>
        <v>nvarchar</v>
      </c>
      <c r="F28" s="7"/>
      <c r="G28" t="str">
        <f t="shared" ref="G28" si="92">IFERROR(MID(B28,FIND("(",B28) +1, FIND(")",B28) - FIND("(",B28) - 1),"")</f>
        <v>1</v>
      </c>
      <c r="H28" t="str">
        <f>+VLOOKUP(E28,'[1]Data Type Mapping'!A:B,2,)</f>
        <v>string</v>
      </c>
      <c r="I28" t="str">
        <f t="shared" ref="I28" si="93">IF(H28="string",REPT(CHAR(9),2)&amp;"public const int Max"&amp;D28&amp;"Length = "&amp;G28&amp;";"&amp;$E$3,"" )</f>
        <v xml:space="preserve">		public const int MaxIsActiveLength = 1;
</v>
      </c>
      <c r="J28" t="str">
        <f t="shared" ref="J28" si="94"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[StringLength(MaxIsActiveLength)]
		public virtual string IsActive { get; set; }
</v>
      </c>
      <c r="K28" s="7" t="s">
        <v>206</v>
      </c>
      <c r="L28" t="str">
        <f>IF(K28="","",REPT(CHAR(9),1)&amp;"[Index(nameof("&amp;IF(D28="","",""&amp;D28)&amp;")"&amp;", Name="&amp;"""IX_"&amp;$B$7&amp;"_"&amp;D28&amp;""")]")</f>
        <v xml:space="preserve">	[Index(nameof(IsActive), Name="IX_InvCkdShipment_IsActive")]</v>
      </c>
      <c r="M28" t="str">
        <f t="shared" ref="M28" si="95">REPT(CHAR(9),2)&amp;"public virtual "&amp;IF(OR(H28="DateTime",H28="TimeSpan"),H28&amp;"?",H28)&amp;IF(C28="?","? "," ")&amp;D28&amp;" { get; set; }" &amp; "
"</f>
        <v xml:space="preserve">		public virtual string IsActive { get; set; }
</v>
      </c>
      <c r="N28" t="str">
        <f t="shared" ref="N28" si="96"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[StringLength(InvCkdShipmentConsts.MaxIsActiveLength)]
		public virtual string IsActive { get; set; }
</v>
      </c>
      <c r="O28" t="str">
        <f t="shared" ref="O28" si="97">IF(OR(H28="string",H28="DateTime",H28="int"),REPT(CHAR(9),2)&amp;"public virtual "&amp;IF(OR(H28="DateTime",H28="TimeSpan"),H28&amp;"?",H28)&amp;IF(C28="?","? "," ")&amp;D28&amp;" { get; set; }"&amp;$E$3,"")</f>
        <v xml:space="preserve">		public virtual string IsActive { get; set; }
</v>
      </c>
      <c r="P28" t="str">
        <f t="shared" ref="P28" si="98">REPT(CHAR(9),7)&amp;D28&amp;" = o." &amp;D28 &amp;","</f>
        <v xml:space="preserve">							IsActive = o.IsActive,</v>
      </c>
      <c r="T28" s="69" t="str">
        <f t="shared" ref="T28" si="99">REPT(CHAR(9),8)&amp;"("""&amp;D28&amp;"""),"</f>
        <v xml:space="preserve">								("IsActive"),</v>
      </c>
      <c r="V28" s="70" t="str">
        <f t="shared" ref="V28" si="100">REPT(CHAR(9),8)&amp;"_ =&gt; _."&amp;D28&amp;","</f>
        <v xml:space="preserve">								_ =&gt; _.IsActive,</v>
      </c>
      <c r="W28" s="69" t="str">
        <f t="shared" ref="W28" si="101"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 xml:space="preserve">				.WhereIf(!string.IsNullOrWhiteSpace(input.IsActive), e =&gt; e.IsActive.Contains(input.IsActive))</v>
      </c>
    </row>
    <row r="30" spans="1:23" ht="45.75" customHeight="1" x14ac:dyDescent="0.25">
      <c r="H30" s="12"/>
      <c r="I30" s="34" t="str">
        <f ca="1">TEXTJOIN2("
", TRUE,INDIRECT( $H$1):INDIRECT( $H$3))</f>
        <v xml:space="preserve">		public const int MaxShipmentNoLength = 10;
		public const int MaxShippingcompanyCodeLength = 10;
		public const int MaxSupplierNoLength = 10;
		public const int MaxBuyerLength = 4;
		public const int MaxFromPortLength = 50;
		public const int MaxToPortLength = 50;
		public const int MaxShipmentDateLength = 10;
		public const int MaxFeedervesselNameLength = 30;
		public const int MaxOceanvesselNameLength = 30;
		public const int MaxOceanvesselvoyageNoLength = 10;
		public const int MaxStatusLength = 50;
		public const int MaxIsActiveLength = 1;
</v>
      </c>
      <c r="J30" s="33" t="str">
        <f ca="1">TEXTJOIN2("
", TRUE,INDIRECT( $F$1):INDIRECT( $F$3))</f>
        <v xml:space="preserve">		[StringLength(MaxShipmentNoLength)]
		public virtual string ShipmentNo { get; set; }
		[StringLength(MaxShippingcompanyCodeLength)]
		public virtual string ShippingcompanyCode { get; set; }
		[StringLength(MaxSupplierNoLength)]
		public virtual string SupplierNo { get; set; }
		[StringLength(MaxBuyerLength)]
		public virtual string Buyer { get; set; }
		[StringLength(MaxFromPortLength)]
		public virtual string FromPort { get; set; }
		[StringLength(MaxToPortLength)]
		public virtual string ToPort { get; set; }
		[StringLength(MaxShipmentDateLength)]
		public virtual string ShipmentDate { get; set; }
		[Column(TypeName="date")]
		public virtual DateTime Etd { get; set; }
		[Column(TypeName="date")]
		public virtual DateTime Eta { get; set; }
		[Column(TypeName="date")]
		public virtual DateTime Ata { get; set; }
		[StringLength(MaxFeedervesselNameLength)]
		public virtual string FeedervesselName { get; set; }
		[StringLength(MaxOceanvesselNameLength)]
		public virtual string OceanvesselName { get; set; }
		[StringLength(MaxOceanvesselvoyageNoLength)]
		public virtual string OceanvesselvoyageNo { get; set; }
		public virtual int NoofinvoicewithinshipmentNo { get; set; }
		public virtual int Noof20Ftcontainers { get; set; }
		public virtual int Noof40Ftcontainers { get; set; }
		public virtual int Lclvolume { get; set; }
		[Column(TypeName="date")]
		public virtual DateTime Atd { get; set; }
		[StringLength(MaxStatusLength)]
		public virtual string Status { get; set; }
		[StringLength(MaxIsActiveLength)]
		public virtual string IsActive { get; set; }
</v>
      </c>
      <c r="K30" s="35" t="str">
        <f ca="1">TEXTJOIN2("
", TRUE,INDIRECT( $J$1):INDIRECT( $J$3))</f>
        <v xml:space="preserve">	[Index(nameof(ShipmentNo), Name="IX_InvCkdShipment_ShipmentNo")]
	[Index(nameof(SupplierNo), Name="IX_InvCkdShipment_SupplierNo")]
	[Index(nameof(Buyer), Name="IX_InvCkdShipment_Buyer")]
	[Index(nameof(ShipmentDate), Name="IX_InvCkdShipment_ShipmentDate")]
	[Index(nameof(IsActive), Name="IX_InvCkdShipment_IsActive")]</v>
      </c>
      <c r="L30" s="13" t="s">
        <v>60</v>
      </c>
      <c r="M30" s="36" t="str">
        <f ca="1">TEXTJOIN2("
",TRUE,INDIRECT( $L$1):INDIRECT($L$3))</f>
        <v xml:space="preserve">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</v>
      </c>
      <c r="N30" s="33" t="str">
        <f ca="1">TEXTJOIN2("
",TRUE,INDIRECT( $M$1):INDIRECT($M$3))</f>
        <v xml:space="preserve">		[StringLength(InvCkdShipmentConsts.MaxShipmentNoLength)]
		public virtual string ShipmentNo { get; set; }
		[StringLength(InvCkdShipmentConsts.MaxShippingcompanyCodeLength)]
		public virtual string ShippingcompanyCode { get; set; }
		[StringLength(InvCkdShipmentConsts.MaxSupplierNoLength)]
		public virtual string SupplierNo { get; set; }
		[StringLength(InvCkdShipmentConsts.MaxBuyerLength)]
		public virtual string Buyer { get; set; }
		[StringLength(InvCkdShipmentConsts.MaxFromPortLength)]
		public virtual string FromPort { get; set; }
		[StringLength(InvCkdShipmentConsts.MaxToPortLength)]
		public virtual string ToPort { get; set; }
		[StringLength(InvCkdShipmentConsts.MaxShipmentDateLength)]
		public virtual string ShipmentDate { get; set; }
		public virtual DateTime? Etd { get; set; }
		public virtual DateTime? Eta { get; set; }
		public virtual DateTime? Ata { get; set; }
		[StringLength(InvCkdShipmentConsts.MaxFeedervesselNameLength)]
		public virtual string FeedervesselName { get; set; }
		[StringLength(InvCkdShipmentConsts.MaxOceanvesselNameLength)]
		public virtual string OceanvesselName { get; set; }
		[StringLength(InvCkdShipmentConsts.MaxOceanvesselvoyageNoLength)]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[StringLength(InvCkdShipmentConsts.MaxStatusLength)]
		public virtual string Status { get; set; }
		[StringLength(InvCkdShipmentConsts.MaxIsActiveLength)]
		public virtual string IsActive { get; set; }
</v>
      </c>
      <c r="O30" s="33" t="str">
        <f ca="1">TEXTJOIN2("
",TRUE,INDIRECT( $N$1):INDIRECT($N$3))</f>
        <v xml:space="preserve">		public virtual string ShipmentNo { get; set; }
		public virtual string ShippingcompanyCode { get; set; }
		public virtual string SupplierNo { get; set; }
		public virtual string Buyer { get; set; }
		public virtual string FromPort { get; set; }
		public virtual string ToPort { get; set; }
		public virtual string ShipmentDate { get; set; }
		public virtual DateTime? Etd { get; set; }
		public virtual DateTime? Eta { get; set; }
		public virtual DateTime? Ata { get; set; }
		public virtual string FeedervesselName { get; set; }
		public virtual string OceanvesselName { get; set; }
		public virtual string OceanvesselvoyageNo { get; set; }
		public virtual int NoofinvoicewithinshipmentNo { get; set; }
		public virtual int Noof20Ftcontainers { get; set; }
		public virtual int Noof40Ftcontainers { get; set; }
		public virtual int Lclvolume { get; set; }
		public virtual DateTime? Atd { get; set; }
		public virtual string Status { get; set; }
		public virtual string IsActive { get; set; }
</v>
      </c>
      <c r="P30" s="9" t="str">
        <f ca="1">TEXTJOIN2("
",TRUE,INDIRECT( $O$1):INDIRECT($O$3))</f>
        <v xml:space="preserve">							ShipmentNo = o.ShipmentNo,
							ShippingcompanyCode = o.ShippingcompanyCode,
							SupplierNo = o.SupplierNo,
							Buyer = o.Buyer,
							FromPort = o.FromPort,
							ToPort = o.ToPort,
							ShipmentDate = o.ShipmentDate,
							Etd = o.Etd,
							Eta = o.Eta,
							Ata = o.Ata,
							FeedervesselName = o.FeedervesselName,
							OceanvesselName = o.OceanvesselName,
							OceanvesselvoyageNo = o.OceanvesselvoyageNo,
							NoofinvoicewithinshipmentNo = o.NoofinvoicewithinshipmentNo,
							Noof20Ftcontainers = o.Noof20Ftcontainers,
							Noof40Ftcontainers = o.Noof40Ftcontainers,
							Lclvolume = o.Lclvolume,
							Atd = o.Atd,
							Status = o.Status,
							IsActive = o.IsActive,</v>
      </c>
      <c r="T30" s="9" t="str">
        <f ca="1">TEXTJOIN2("
",TRUE,INDIRECT( $T$2):INDIRECT($T$3))</f>
        <v xml:space="preserve">								("ShipmentNo"),
								("ShippingcompanyCode"),
								("SupplierNo"),
								("Buyer"),
								("FromPort"),
								("ToPort"),
								("ShipmentDate"),
								("Etd"),
								("Eta"),
								("Ata"),
								("FeedervesselName"),
								("OceanvesselName"),
								("OceanvesselvoyageNo"),
								("NoofinvoicewithinshipmentNo"),
								("Noof20Ftcontainers"),
								("Noof40Ftcontainers"),
								("Lclvolume"),
								("Atd"),
								("Status"),
								("IsActive"),</v>
      </c>
      <c r="V30" s="9" t="str">
        <f ca="1">TEXTJOIN2("
",TRUE,INDIRECT( $V$2):INDIRECT($V$3))</f>
        <v xml:space="preserve">								_ =&gt; _.ShipmentNo,
								_ =&gt; _.ShippingcompanyCode,
								_ =&gt; _.SupplierNo,
								_ =&gt; _.Buyer,
								_ =&gt; _.FromPort,
								_ =&gt; _.ToPort,
								_ =&gt; _.ShipmentDate,
								_ =&gt; _.Etd,
								_ =&gt; _.Eta,
								_ =&gt; _.Ata,
								_ =&gt; _.FeedervesselName,
								_ =&gt; _.OceanvesselName,
								_ =&gt; _.OceanvesselvoyageNo,
								_ =&gt; _.NoofinvoicewithinshipmentNo,
								_ =&gt; _.Noof20Ftcontainers,
								_ =&gt; _.Noof40Ftcontainers,
								_ =&gt; _.Lclvolume,
								_ =&gt; _.Atd,
								_ =&gt; _.Status,
								_ =&gt; _.IsActive,</v>
      </c>
      <c r="W30" s="9" t="str">
        <f ca="1">TEXTJOIN2("
",TRUE,INDIRECT( $W$2):INDIRECT($W$3))</f>
        <v xml:space="preserve">				.WhereIf(!string.IsNullOrWhiteSpace(input.ShipmentNo), e =&gt; e.ShipmentNo.Contains(input.ShipmentNo))
				.WhereIf(!string.IsNullOrWhiteSpace(input.ShippingcompanyCode), e =&gt; e.ShippingcompanyCode.Contains(input.ShippingcompanyCode))
				.WhereIf(!string.IsNullOrWhiteSpace(input.SupplierNo), e =&gt; e.SupplierNo.Contains(input.SupplierNo))
				.WhereIf(!string.IsNullOrWhiteSpace(input.Buyer), e =&gt; e.Buyer.Contains(input.Buyer))
				.WhereIf(!string.IsNullOrWhiteSpace(input.FromPort), e =&gt; e.FromPort.Contains(input.FromPort))
				.WhereIf(!string.IsNullOrWhiteSpace(input.ToPort), e =&gt; e.ToPort.Contains(input.ToPort))
				.WhereIf(!string.IsNullOrWhiteSpace(input.ShipmentDate), e =&gt; e.ShipmentDate.Contains(input.ShipmentDate))
				.WhereIf(input.Etd.HasValue, t =&gt; t.Etd == input.Etd.Value)
				.WhereIf(input.Eta.HasValue, t =&gt; t.Eta == input.Eta.Value)
				.WhereIf(input.Ata.HasValue, t =&gt; t.Ata == input.Ata.Value)
				.WhereIf(!string.IsNullOrWhiteSpace(input.FeedervesselName), e =&gt; e.FeedervesselName.Contains(input.FeedervesselName))
				.WhereIf(!string.IsNullOrWhiteSpace(input.OceanvesselName), e =&gt; e.OceanvesselName.Contains(input.OceanvesselName))
				.WhereIf(!string.IsNullOrWhiteSpace(input.OceanvesselvoyageNo), e =&gt; e.OceanvesselvoyageNo.Contains(input.OceanvesselvoyageNo))
				.WhereIf(input.Atd.HasValue, t =&gt; t.Atd == input.Atd.Value)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6"/>
  <sheetViews>
    <sheetView workbookViewId="0">
      <selection activeCell="D21" sqref="D2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382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Inventory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inventory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CKD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ckd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InvCkdShipment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Shipment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shipment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InvCkdShipmentDto, InvCkdShipmentServiceProxy } from '@shared/service-proxies/service-proxies';
import { finalize } from 'rxjs/internal/operators/finalize';
import { CreateOrEditShipmentModalComponent } from './create-or-edit-shipment-modal.component';
import { DatePipe } from '@angular/common';
import { FileDownloadService } from '@shared/utils/file-download.service';
import ceil from 'lodash-es/ceil';
import { Paginator } from 'primeng/paginator';
@Component({
    templateUrl: './shipment.component.html',
    styleUrls: ['./shipment.component.less'],
})
export class ShipmentComponent extends AppComponentBase implements OnInit {
    @ViewChild('createOrEditModalShipment', { static: true }) createOrEditModalShipment:| CreateOrEditShipmentModalComponent|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InvCkdShipmentDto = new InvCkdShipmentDto();
    saveSelectedRow: InvCkdShipmentDto = new InvCkdShipmentDto();
    datas: InvCkdShipmentDto = new InvCkdShipmentDto();
    isLoading: boolean = false;
    dataParams: GridParams | undefined;
    rowData: any[] = [];
    gridApi!: GridApi;
    rowSelection = 'multiple';
    filter: string = '';
	pipe = new DatePipe('en-US');
	frameworkComponents: FrameworkComponent;
    	shipmentNo : string = '' ; 
	shippingcompanyCode : string = '' ; 
supplierNo : string = '' ; 
	buyer : string = '' ; 
	fromPort : string = '' ; 
	toPort : string = '' ; 
	shipmentDate : string = '' ; 
etd : any ;
	eta : any ;
	ata : any ;
	feedervesselName : string = '' ; 
	oceanvesselName : string = '' ; 
oceanvesselvoyageNo : string = '' ; 
	noofinvoicewithinshipmentNo : number = 0 ;
	noof20Ftcontainers : number = 0 ;
	noof40Ftcontainers : number = 0 ;
	lclvolume : number = 0 ;
atd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InvCkdShipmentServiceProxy,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this.l('Shipment No'),headerTooltip: this.l('Shipment No'),field: 'shipmentNo',flex: 1},
			{headerName: this.l('Shippingcompany Code'),headerTooltip: this.l('Shippingcompany Code'),field: 'shippingcompanyCode',flex: 1},
			{headerName: this.l('Supplier No'),headerTooltip: this.l('Supplier No'),field: 'supplierNo',flex: 1},
			{headerName: this.l('Buyer'),headerTooltip: this.l('Buyer'),field: 'buyer',flex: 1},
			{headerName: this.l('From Port'),headerTooltip: this.l('From Port'),field: 'fromPort',flex: 1},
			{headerName: this.l('To Port'),headerTooltip: this.l('To Port'),field: 'toPort',flex: 1},
			{headerName: this.l('Shipment Date'),headerTooltip: this.l('Shipment Date'),field: 'shipmentDate',flex: 1},
			{headerName: this.l('Etd'),headerTooltip: this.l('Etd'),field: 'etd',valueGetter: (params) =&gt; this.pipe.transform(params.data?.etd, 'dd/MM/yyyy'),flex: 1},
			{headerName: this.l('Eta'),headerTooltip: this.l('Eta'),field: 'eta',valueGetter: (params) =&gt; this.pipe.transform(params.data?.eta, 'dd/MM/yyyy'),flex: 1},
			{headerName: this.l('Ata'),headerTooltip: this.l('Ata'),field: 'ata',valueGetter: (params) =&gt; this.pipe.transform(params.data?.ata, 'dd/MM/yyyy'),flex: 1},
			{headerName: this.l('Feedervessel Name'),headerTooltip: this.l('Feedervessel Name'),field: 'feedervesselName',flex: 1},
			{headerName: this.l('Oceanvessel Name'),headerTooltip: this.l('Oceanvessel Name'),field: 'oceanvesselName',flex: 1},
			{headerName: this.l('Oceanvesselvoyage No'),headerTooltip: this.l('Oceanvesselvoyage No'),field: 'oceanvesselvoyageNo',flex: 1},
			{headerName: this.l('Noofinvoicewithinshipment No'),headerTooltip: this.l('Noofinvoicewithinshipment No'),field: 'noofinvoicewithinshipmentNo',flex: 1},
			{headerName: this.l('Noof20Ftcontainers'),headerTooltip: this.l('Noof20Ftcontainers'),field: 'noof20Ftcontainers',flex: 1},
			{headerName: this.l('Noof40Ftcontainers'),headerTooltip: this.l('Noof40Ftcontainers'),field: 'noof40Ftcontainers',flex: 1},
			{headerName: this.l('Lclvolume'),headerTooltip: this.l('Lclvolume'),field: 'lclvolume',flex: 1},
			{headerName: this.l('Atd'),headerTooltip: this.l('Atd'),field: 'atd',valueGetter: (params) =&gt; this.pipe.transform(params.data?.atd,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this.shipmentNo,
			this.shippingcompanyCode,
			this.supplierNo,
			this.buyer,
			this.fromPort,
			this.toPort,
			this.shipmentDate,
			this.etd,
			this.eta,
			this.ata,
			this.feedervesselName,
			this.oceanvesselName,
			this.oceanvesselvoyageNo,
			this.noofinvoicewithinshipmentNo,
			this.noof20Ftcontainers,
			this.noof40Ftcontainers,
			this.lclvolume,
			this.atd,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this.shipmentNo = '',
		this.shippingcompanyCode = '',
this.supplierNo = '',
		this.buyer = '',
		this.fromPort = '',
		this.toPort = '',
		this.shipmentDate = '',
this.etd = '',
		this.eta = '',
		this.ata = '',
		this.feedervesselName = '',
		this.oceanvesselName = '',
this.oceanvesselvoyageNo = '',
		this.noofinvoicewithinshipmentNo = 0,
		this.noof20Ftcontainers = 0,
		this.noof40Ftcontainers = 0,
		this.lclvolume = 0,
this.atd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this.shipmentNo,
			this.shippingcompanyCode,
			this.supplierNo,
			this.buyer,
			this.fromPort,
			this.toPort,
			this.shipmentDate,
			this.etd,
			this.eta,
			this.ata,
			this.feedervesselName,
			this.oceanvesselName,
			this.oceanvesselvoyageNo,
			this.noofinvoicewithinshipmentNo,
			this.noof20Ftcontainers,
			this.noof40Ftcontainers,
			this.lclvolume,
			this.atd,
			this.status,
			this.isActive,
			'',
            this.paginationParams.skipCount,
            this.paginationParams.pageSize
        );
    }
    onChangeRowSelection(params: { api: { getSelectedRows: () =&gt; InvCkdShipmentDto[] } }) {
        this.saveSelectedRow = params.api.getSelectedRows()[0] ?? new InvCkdShipmentDto();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InvCkdShipmentDto):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this._service.getShipmentToExcel(
			this.shipmentNo,
			this.shippingcompanyCode,
			this.supplierNo,
			this.buyer,
			this.fromPort,
			this.toPort,
			this.shipmentDate,
			this.etd,
			this.eta,
			this.ata,
			this.feedervesselName,
			this.oceanvesselName,
			this.oceanvesselvoyageNo,
			this.noofinvoicewithinshipmentNo,
			this.noof20Ftcontainers,
			this.noof40Ftcontainers,
			this.lclvolume,
			this.atd,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Shipment Data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[(ngModel)]='shippingcompanyCode' name='shippingcompanyCode'
									class='form-control' [placeholder]="l('Shippingcompany Code')"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[(ngModel)]='buyer' name='buyer'
									class='form-control' [placeholder]="l('Buyer')"
									type='text' (keyup.enter)='searchDatas()'&gt;
								&lt;/div&gt;
								&lt;div class='input-search'&gt;
									&lt;input [(ngModel)]='fromPort' name='fromPort'
									class='form-control' [placeholder]="l('From Port')"
									type='text' (keyup.enter)='searchDatas()'&gt;
								&lt;/div&gt;
								&lt;div class='input-search'&gt;
									&lt;input [(ngModel)]='toPort' name='toPort'
									class='form-control' [placeholder]="l('To Port')"
									type='text' (keyup.enter)='searchDatas()'&gt;
								&lt;/div&gt;
								&lt;div class='input-search'&gt;
									&lt;input [(ngModel)]='shipmentDate' name='shipmentDate'
									class='form-control' [placeholder]="l('Shipment Date')"
									type='text' (keyup.enter)='searchDatas()'&gt;
								&lt;/div&gt;
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[placeholder]="l('Ata')" [(ngModel)]='ata' 
									name='ata'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[(ngModel)]='feedervesselName' name='feedervesselName'
									class='form-control' [placeholder]="l('Feedervessel Name')"
									type='text' (keyup.enter)='searchDatas()'&gt;
								&lt;/div&gt;
								&lt;div class='input-search'&gt;
									&lt;input [(ngModel)]='oceanvesselName' name='oceanvesselName'
									class='form-control' [placeholder]="l('Oceanvessel Name')"
									type='text' (keyup.enter)='searchDatas()'&gt;
								&lt;/div&gt;
								&lt;div class='input-search'&gt;
									&lt;input [(ngModel)]='oceanvesselvoyageNo' name='oceanvesselvoyageNo'
									class='form-control' [placeholder]="l('Oceanvesselvoyage No')"
									type='text' (keyup.enter)='searchDatas()'&gt;
								&lt;/div&gt;
								&lt;div class='input-search'&gt;
									&lt;input type='text' [placeholder]="l('Atd')" [(ngModel)]='atd' 
									name='atd'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(click)="createOrEditModalShipment.show()"&gt;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(click)="createOrEditModalShipment.show(selectedRow)"&gt;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&lt;create-or-edit-shipment-modal
    #createOrEditModalShipment
    (modalSave)="callBackDataGrid(dataParams)"
    (modalClose)="onChangeRowSelection(dataParams)"
&gt;
&lt;/create-or-edit-shipment-modal&gt;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#createOrEditModalShipment="bs-modal"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Shipment')}}&lt;/h3&gt;
                    &lt;h3 *ngIf="!rowdata.id"&gt;{{('Create New Shipment')}}&lt;/h3&gt;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title'&gt;Shippingcompany Code&lt;/label&gt;
						&lt;input type='text' class='col-md-10 form-control input-text' name='ShippingcompanyCode' [(ngModel)]='rowdata.shippingcompanyCode'&gt;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title'&gt;Buyer&lt;/label&gt;
						&lt;input type='text' class='col-md-10 form-control input-text' name='Buyer' [(ngModel)]='rowdata.buyer'&gt;
					&lt;/div&gt;
					&lt;div class='col-md-12 form-group row'&gt;
						&lt;label class='col-md-2 form-control title'&gt;From Port&lt;/label&gt;
						&lt;input type='text' class='col-md-10 form-control input-text' name='FromPort' [(ngModel)]='rowdata.fromPort'&gt;
					&lt;/div&gt;
					&lt;div class='col-md-12 form-group row'&gt;
						&lt;label class='col-md-2 form-control title'&gt;To Port&lt;/label&gt;
						&lt;input type='text' class='col-md-10 form-control input-text' name='ToPort' [(ngModel)]='rowdata.toPort'&gt;
					&lt;/div&gt;
					&lt;div class='col-md-12 form-group row'&gt;
						&lt;label class='col-md-2 form-control title'&gt;Shipment Date&lt;/label&gt;
						&lt;input type='text' class='col-md-10 form-control input-text' name='ShipmentDate' [(ngModel)]='rowdata.shipmentDate'&gt;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
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
					&lt;div class='col-md-12 form-group row'&gt;
						&lt;label class='col-md-2 form-control title'&gt;Ata&lt;/label&gt;
						&lt;input type='text' class='col-md-10 form-control input-text' name='ata' 
						#datepicker='bsDatepicker' [(ngModel)]='rowdata.ata'  bsDatepicker &gt;
					&lt;/div&gt;
					&lt;div class='col-md-12 form-group row'&gt;
						&lt;label class='col-md-2 form-control title'&gt;Feedervessel Name&lt;/label&gt;
						&lt;input type='text' class='col-md-10 form-control input-text' name='FeedervesselName' [(ngModel)]='rowdata.feedervesselName'&gt;
					&lt;/div&gt;
					&lt;div class='col-md-12 form-group row'&gt;
						&lt;label class='col-md-2 form-control title'&gt;Oceanvessel Name&lt;/label&gt;
						&lt;input type='text' class='col-md-10 form-control input-text' name='OceanvesselName' [(ngModel)]='rowdata.oceanvesselName'&gt;
					&lt;/div&gt;
					&lt;div class='col-md-12 form-group row'&gt;
						&lt;label class='col-md-2 form-control title'&gt;Oceanvesselvoyage No&lt;/label&gt;
						&lt;input type='text' class='col-md-10 form-control input-text' name='OceanvesselvoyageNo' [(ngModel)]='rowdata.oceanvesselvoyageNo'&gt;
					&lt;/div&gt;
					&lt;div class='col-md-12 form-group row'&gt;
						&lt;label class='col-md-2 form-control title'&gt;Noofinvoicewithinshipment No&lt;/label&gt;
						&lt;input type='number' class='col-md-10 form-control input-text' name='NoofinvoicewithinshipmentNo' [(ngModel)]='rowdata.noofinvoicewithinshipmentNo'&gt;
					&lt;/div&gt;
					&lt;div class='col-md-12 form-group row'&gt;
						&lt;label class='col-md-2 form-control title'&gt;Noof20Ftcontainers&lt;/label&gt;
						&lt;input type='number' class='col-md-10 form-control input-text' name='Noof20Ftcontainers' [(ngModel)]='rowdata.noof20Ftcontainers'&gt;
					&lt;/div&gt;
					&lt;div class='col-md-12 form-group row'&gt;
						&lt;label class='col-md-2 form-control title'&gt;Noof40Ftcontainers&lt;/label&gt;
						&lt;input type='number' class='col-md-10 form-control input-text' name='Noof40Ftcontainers' [(ngModel)]='rowdata.noof40Ftcontainers'&gt;
					&lt;/div&gt;
					&lt;div class='col-md-12 form-group row'&gt;
						&lt;label class='col-md-2 form-control title'&gt;Lclvolume&lt;/label&gt;
						&lt;input type='number' class='col-md-10 form-control input-text' name='Lclvolume' [(ngModel)]='rowdata.lclvolume'&gt;
					&lt;/div&gt;
					&lt;div class='col-md-12 form-group row'&gt;
						&lt;label class='col-md-2 form-control title'&gt;Atd&lt;/label&gt;
						&lt;input type='text' class='col-md-10 form-control input-text' name='atd' 
						#datepicker='bsDatepicker' [(ngModel)]='rowdata.atd'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CreateOrEditInvCkdShipmentDto, InvCkdShipmentServiceProxy } from '@shared/service-proxies/service-proxies';
import { BsDatepickerDirective } from 'ngx-bootstrap/datepicker';
@Component({
    selector: 'create-or-edit-shipment-modal',
    templateUrl: './create-or-edit-shipment-modal.component.html',
    styleUrls: ['./create-or-edit-shipment-modal.component.less']
    })
export class CreateOrEditShipmentModalComponent extends AppComponentBase {
    @ViewChild('createOrEditModalShipment',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CreateOrEditInvCkdShipmentDto = new CreateOrEditInvCkdShipmentDto();
    active: boolean = false;
    saving: boolean = false;
    _isActive: boolean;
    constructor(
        injector: Injector,
        private _mstwptShipmentService: InvCkdShipmentServiceProxy,
    ) 
    {
        super(injector);
    }
    show(rowdata?: CreateOrEditInvCkdShipmentDto): void {
        if (!rowdata) this.rowdata = new CreateOrEditInvCkdShipmentDto();
        else this.rowdata = rowdata;
		const dateValue =  this.rowdata.etd ? new Date(this.rowdata.etd?.toString()) : new Date();
		this.datepicker?.bsValueChange.emit(dateValue);
		const dateValue =  this.rowdata.eta ? new Date(this.rowdata.eta?.toString()) : new Date();
		this.datepicker?.bsValueChange.emit(dateValue);
		const dateValue =  this.rowdata.ata ? new Date(this.rowdata.ata?.toString()) : new Date();
		this.datepicker?.bsValueChange.emit(dateValue);
		const dateValue =  this.rowdata.atd ? new Date(this.rowdata.atd?.toString())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this._mstwptShipmentService.createOrEdit(this.rowdata)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ShipmentRoutingModule } from './shipment-routing.module';
import { ShipmentComponent } from './shipment.component';
import { CreateOrEditShipmentModalComponent } from './create-or-edit-shipment-modal.component';
@NgModule({
    declarations: [
       ShipmentComponent, 
        CreateOrEditShipmentModalComponent
    ],
    imports: [
        AppSharedModule, ShipmentRoutingModule]
})
export class ShipmentModule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ShipmentComponent } from './shipment.component';
const routes: Routes = [{
    path: '',
    component: ShipmentComponent,
    pathMatch: 'full'
}];
@NgModule({
    imports: [RouterModule.forChild(routes)],
    exports: [RouterModule],
})
export class ShipmentRoutingModule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AppMenuItem("Shipment", "Pages.Inventory.CKD.Shipment", "flaticon-book",   "/app/main/inventory/ckd/shipment"),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'inventory/ckd/shipment',
    loadChildren: () =&gt; import('./inventory/ckd/shipment/shipment.module').then(m =&gt; m.ShipmentModule),
    data: { permission: 'Pages.Inventory.CKD.Shipment' }
},</v>
      </c>
      <c r="R10" s="50" t="str">
        <f>SUBSTITUTE(R9,"MstWptCalendar",$B$6)</f>
        <v>ApiServiceProxies.InvCkdShipmentServiceProxy,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H34</v>
      </c>
      <c r="I12" s="31" t="str">
        <f>"I"&amp;COUNTA($A:$A)</f>
        <v>I34</v>
      </c>
      <c r="J12" s="31"/>
      <c r="K12" s="31" t="str">
        <f>"K"&amp;COUNTA($A:$A)</f>
        <v>K34</v>
      </c>
      <c r="L12" s="31" t="str">
        <f>"L"&amp;COUNTA($A:$A)</f>
        <v>L34</v>
      </c>
      <c r="M12" s="31"/>
      <c r="N12" s="31"/>
      <c r="O12" s="31"/>
      <c r="P12" s="31"/>
      <c r="Q12" s="31"/>
      <c r="R12" s="31"/>
      <c r="S12" s="31" t="str">
        <f>"S"&amp;COUNTA($A:$A)</f>
        <v>S34</v>
      </c>
      <c r="T12" s="31" t="str">
        <f>"T"&amp;COUNTA($A:$A)</f>
        <v>T34</v>
      </c>
      <c r="U12" s="31" t="str">
        <f>"U"&amp;COUNTA($A:$A)</f>
        <v>U34</v>
      </c>
      <c r="V12" s="31" t="str">
        <f>"V"&amp;COUNTA($A:$A)</f>
        <v>V34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this.l('Shipment No'),headerTooltip: this.l('Shipment No'),field: 'shipmentNo',flex: 1},
			{headerName: this.l('Shippingcompany Code'),headerTooltip: this.l('Shippingcompany Code'),field: 'shippingcompanyCode',flex: 1},
			{headerName: this.l('Supplier No'),headerTooltip: this.l('Supplier No'),field: 'supplierNo',flex: 1},
			{headerName: this.l('Buyer'),headerTooltip: this.l('Buyer'),field: 'buyer',flex: 1},
			{headerName: this.l('From Port'),headerTooltip: this.l('From Port'),field: 'fromPort',flex: 1},
			{headerName: this.l('To Port'),headerTooltip: this.l('To Port'),field: 'toPort',flex: 1},
			{headerName: this.l('Shipment Date'),headerTooltip: this.l('Shipment Date'),field: 'shipmentDate',flex: 1},
			{headerName: this.l('Etd'),headerTooltip: this.l('Etd'),field: 'etd',valueGetter: (params) =&gt; this.pipe.transform(params.data?.etd, 'dd/MM/yyyy'),flex: 1},
			{headerName: this.l('Eta'),headerTooltip: this.l('Eta'),field: 'eta',valueGetter: (params) =&gt; this.pipe.transform(params.data?.eta, 'dd/MM/yyyy'),flex: 1},
			{headerName: this.l('Ata'),headerTooltip: this.l('Ata'),field: 'ata',valueGetter: (params) =&gt; this.pipe.transform(params.data?.ata, 'dd/MM/yyyy'),flex: 1},
			{headerName: this.l('Feedervessel Name'),headerTooltip: this.l('Feedervessel Name'),field: 'feedervesselName',flex: 1},
			{headerName: this.l('Oceanvessel Name'),headerTooltip: this.l('Oceanvessel Name'),field: 'oceanvesselName',flex: 1},
			{headerName: this.l('Oceanvesselvoyage No'),headerTooltip: this.l('Oceanvesselvoyage No'),field: 'oceanvesselvoyageNo',flex: 1},
			{headerName: this.l('Noofinvoicewithinshipment No'),headerTooltip: this.l('Noofinvoicewithinshipment No'),field: 'noofinvoicewithinshipmentNo',flex: 1},
			{headerName: this.l('Noof20Ftcontainers'),headerTooltip: this.l('Noof20Ftcontainers'),field: 'noof20Ftcontainers',flex: 1},
			{headerName: this.l('Noof40Ftcontainers'),headerTooltip: this.l('Noof40Ftcontainers'),field: 'noof40Ftcontainers',flex: 1},
			{headerName: this.l('Lclvolume'),headerTooltip: this.l('Lclvolume'),field: 'lclvolume',flex: 1},
			{headerName: this.l('Atd'),headerTooltip: this.l('Atd'),field: 'atd',valueGetter: (params) =&gt; this.pipe.transform(params.data?.atd,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[(ngModel)]='shipmentNo' name='shipmentNo'
									class='form-control' [placeholder]="l('Shipment No')"
									type='text' (keyup.enter)='searchDatas()'&gt;
								&lt;/div&gt;
								&lt;div class='input-search'&gt;
									&lt;input [(ngModel)]='shippingcompanyCode' name='shippingcompanyCode'
									class='form-control' [placeholder]="l('Shippingcompany Code')"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[(ngModel)]='buyer' name='buyer'
									class='form-control' [placeholder]="l('Buyer')"
									type='text' (keyup.enter)='searchDatas()'&gt;
								&lt;/div&gt;
								&lt;div class='input-search'&gt;
									&lt;input [(ngModel)]='fromPort' name='fromPort'
									class='form-control' [placeholder]="l('From Port')"
									type='text' (keyup.enter)='searchDatas()'&gt;
								&lt;/div&gt;
								&lt;div class='input-search'&gt;
									&lt;input [(ngModel)]='toPort' name='toPort'
									class='form-control' [placeholder]="l('To Port')"
									type='text' (keyup.enter)='searchDatas()'&gt;
								&lt;/div&gt;
								&lt;div class='input-search'&gt;
									&lt;input [(ngModel)]='shipmentDate' name='shipmentDate'
									class='form-control' [placeholder]="l('Shipment Date')"
									type='text' (keyup.enter)='searchDatas()'&gt;
								&lt;/div&gt;
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[placeholder]="l('Ata')" [(ngModel)]='ata' 
									name='ata'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[(ngModel)]='feedervesselName' name='feedervesselName'
									class='form-control' [placeholder]="l('Feedervessel Name')"
									type='text' (keyup.enter)='searchDatas()'&gt;
								&lt;/div&gt;
								&lt;div class='input-search'&gt;
									&lt;input [(ngModel)]='oceanvesselName' name='oceanvesselName'
									class='form-control' [placeholder]="l('Oceanvessel Name')"
									type='text' (keyup.enter)='searchDatas()'&gt;
								&lt;/div&gt;
								&lt;div class='input-search'&gt;
									&lt;input [(ngModel)]='oceanvesselvoyageNo' name='oceanvesselvoyageNo'
									class='form-control' [placeholder]="l('Oceanvesselvoyage No')"
									type='text' (keyup.enter)='searchDatas()'&gt;
								&lt;/div&gt;
								&lt;div class='input-search'&gt;
									&lt;input type='text' [placeholder]="l('Atd')" [(ngModel)]='atd' 
									name='atd'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title'&gt;Shipment No&lt;/label&gt;
						&lt;input type='text' class='col-md-10 form-control input-text' name='ShipmentNo' [(ngModel)]='rowdata.shipmentNo'&gt;
					&lt;/div&gt;
					&lt;div class='col-md-12 form-group row'&gt;
						&lt;label class='col-md-2 form-control title'&gt;Shippingcompany Code&lt;/label&gt;
						&lt;input type='text' class='col-md-10 form-control input-text' name='ShippingcompanyCode' [(ngModel)]='rowdata.shippingcompanyCode'&gt;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title'&gt;Buyer&lt;/label&gt;
						&lt;input type='text' class='col-md-10 form-control input-text' name='Buyer' [(ngModel)]='rowdata.buyer'&gt;
					&lt;/div&gt;
					&lt;div class='col-md-12 form-group row'&gt;
						&lt;label class='col-md-2 form-control title'&gt;From Port&lt;/label&gt;
						&lt;input type='text' class='col-md-10 form-control input-text' name='FromPort' [(ngModel)]='rowdata.fromPort'&gt;
					&lt;/div&gt;
					&lt;div class='col-md-12 form-group row'&gt;
						&lt;label class='col-md-2 form-control title'&gt;To Port&lt;/label&gt;
						&lt;input type='text' class='col-md-10 form-control input-text' name='ToPort' [(ngModel)]='rowdata.toPort'&gt;
					&lt;/div&gt;
					&lt;div class='col-md-12 form-group row'&gt;
						&lt;label class='col-md-2 form-control title'&gt;Shipment Date&lt;/label&gt;
						&lt;input type='text' class='col-md-10 form-control input-text' name='ShipmentDate' [(ngModel)]='rowdata.shipmentDate'&gt;
					&lt;/div&gt;
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
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
					&lt;div class='col-md-12 form-group row'&gt;
						&lt;label class='col-md-2 form-control title'&gt;Ata&lt;/label&gt;
						&lt;input type='text' class='col-md-10 form-control input-text' name='ata' 
						#datepicker='bsDatepicker' [(ngModel)]='rowdata.ata'  bsDatepicker &gt;
					&lt;/div&gt;
					&lt;div class='col-md-12 form-group row'&gt;
						&lt;label class='col-md-2 form-control title'&gt;Feedervessel Name&lt;/label&gt;
						&lt;input type='text' class='col-md-10 form-control input-text' name='FeedervesselName' [(ngModel)]='rowdata.feedervesselName'&gt;
					&lt;/div&gt;
					&lt;div class='col-md-12 form-group row'&gt;
						&lt;label class='col-md-2 form-control title'&gt;Oceanvessel Name&lt;/label&gt;
						&lt;input type='text' class='col-md-10 form-control input-text' name='OceanvesselName' [(ngModel)]='rowdata.oceanvesselName'&gt;
					&lt;/div&gt;
					&lt;div class='col-md-12 form-group row'&gt;
						&lt;label class='col-md-2 form-control title'&gt;Oceanvesselvoyage No&lt;/label&gt;
						&lt;input type='text' class='col-md-10 form-control input-text' name='OceanvesselvoyageNo' [(ngModel)]='rowdata.oceanvesselvoyageNo'&gt;
					&lt;/div&gt;
					&lt;div class='col-md-12 form-group row'&gt;
						&lt;label class='col-md-2 form-control title'&gt;Noofinvoicewithinshipment No&lt;/label&gt;
						&lt;input type='number' class='col-md-10 form-control input-text' name='NoofinvoicewithinshipmentNo' [(ngModel)]='rowdata.noofinvoicewithinshipmentNo'&gt;
					&lt;/div&gt;
					&lt;div class='col-md-12 form-group row'&gt;
						&lt;label class='col-md-2 form-control title'&gt;Noof20Ftcontainers&lt;/label&gt;
						&lt;input type='number' class='col-md-10 form-control input-text' name='Noof20Ftcontainers' [(ngModel)]='rowdata.noof20Ftcontainers'&gt;
					&lt;/div&gt;
					&lt;div class='col-md-12 form-group row'&gt;
						&lt;label class='col-md-2 form-control title'&gt;Noof40Ftcontainers&lt;/label&gt;
						&lt;input type='number' class='col-md-10 form-control input-text' name='Noof40Ftcontainers' [(ngModel)]='rowdata.noof40Ftcontainers'&gt;
					&lt;/div&gt;
					&lt;div class='col-md-12 form-group row'&gt;
						&lt;label class='col-md-2 form-control title'&gt;Lclvolume&lt;/label&gt;
						&lt;input type='number' class='col-md-10 form-control input-text' name='Lclvolume' [(ngModel)]='rowdata.lclvolume'&gt;
					&lt;/div&gt;
					&lt;div class='col-md-12 form-group row'&gt;
						&lt;label class='col-md-2 form-control title'&gt;Atd&lt;/label&gt;
						&lt;input type='text' class='col-md-10 form-control input-text' name='atd' 
						#datepicker='bsDatepicker' [(ngModel)]='rowdata.atd'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this.rowdata.etd ? new Date(this.rowdata.etd?.toString()) : new Date();
		this.datepicker?.bsValueChange.emit(dateValue);
		const dateValue =  this.rowdata.eta ? new Date(this.rowdata.eta?.toString()) : new Date();
		this.datepicker?.bsValueChange.emit(dateValue);
		const dateValue =  this.rowdata.ata ? new Date(this.rowdata.ata?.toString()) : new Date();
		this.datepicker?.bsValueChange.emit(dateValue);
		const dateValue =  this.rowdata.atd ? new Date(this.rowdata.atd?.toString())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shipmentNo : string = '' ; 
	shippingcompanyCode : string = '' ; 
supplierNo : string = '' ; 
	buyer : string = '' ; 
	fromPort : string = '' ; 
	toPort : string = '' ; 
	shipmentDate : string = '' ; 
etd : any ;
	eta : any ;
	ata : any ;
	feedervesselName : string = '' ; 
	oceanvesselName : string = '' ; 
oceanvesselvoyageNo : string = '' ; 
	noofinvoicewithinshipmentNo : number = 0 ;
	noof20Ftcontainers : number = 0 ;
	noof40Ftcontainers : number = 0 ;
	lclvolume : number = 0 ;
atd : any ;
	status : string = '' ; 
	isActive : string = '' ; </v>
      </c>
      <c r="T13" s="68" t="str">
        <f ca="1">TEXTJOIN2("
",TRUE,INDIRECT(T11):INDIRECT(T12))</f>
        <v xml:space="preserve">			this.shipmentNo,
			this.shippingcompanyCode,
			this.supplierNo,
			this.buyer,
			this.fromPort,
			this.toPort,
			this.shipmentDate,
			this.etd,
			this.eta,
			this.ata,
			this.feedervesselName,
			this.oceanvesselName,
			this.oceanvesselvoyageNo,
			this.noofinvoicewithinshipmentNo,
			this.noof20Ftcontainers,
			this.noof40Ftcontainers,
			this.lclvolume,
			this.atd,
			this.status,
			this.isActive,</v>
      </c>
      <c r="U13" s="68" t="str">
        <f ca="1">TEXTJOIN2("
",TRUE,INDIRECT(U11):INDIRECT(U12))</f>
        <v xml:space="preserve">		this.shipmentNo = '',
		this.shippingcompanyCode = '',
this.supplierNo = '',
		this.buyer = '',
		this.fromPort = '',
		this.toPort = '',
		this.shipmentDate = '',
this.etd = '',
		this.eta = '',
		this.ata = '',
		this.feedervesselName = '',
		this.oceanvesselName = '',
this.oceanvesselvoyageNo = '',
		this.noofinvoicewithinshipmentNo = 0,
		this.noof20Ftcontainers = 0,
		this.noof40Ftcontainers = 0,
		this.lclvolume = 0,
this.atd = '',
		this.status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shipment.component.ts</v>
      </c>
      <c r="I14" s="40" t="str">
        <f>B8&amp;".component.html"</f>
        <v>shipment.component.html</v>
      </c>
      <c r="J14" s="39" t="str">
        <f>B8&amp;".component.less"</f>
        <v>shipment.component.less</v>
      </c>
      <c r="K14" s="40" t="str">
        <f>"create-or-edit-"&amp;B8&amp;"-modal.component.html"</f>
        <v>create-or-edit-shipment-modal.component.html</v>
      </c>
      <c r="L14" s="40" t="str">
        <f>"create-or-edit-"&amp;B8&amp;"-modal.component.ts"</f>
        <v>create-or-edit-shipment-modal.component.ts</v>
      </c>
      <c r="M14" s="40" t="str">
        <f>"create-or-edit-"&amp;B8&amp;"-modal.component.less"</f>
        <v>create-or-edit-shipment-modal.component.less</v>
      </c>
      <c r="N14" s="40" t="str">
        <f>B8&amp;".module.ts"</f>
        <v>shipment.module.ts</v>
      </c>
      <c r="O14" s="40" t="str">
        <f>B8&amp;"-routing.module.ts"</f>
        <v>shipment-routing.module.ts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25">
      <c r="A15" s="31" t="s">
        <v>360</v>
      </c>
      <c r="B15" s="31" t="str">
        <f t="shared" ref="B15:B16" si="0">SUBSTITUTE(PROPER(A15),"_","")</f>
        <v>ShipmentNo</v>
      </c>
      <c r="C15" s="31" t="str">
        <f t="shared" ref="C15:C16" si="1">SUBSTITUTE(PROPER(A15),"_"," ")</f>
        <v>Shipment No</v>
      </c>
      <c r="D15" s="31" t="str">
        <f t="shared" ref="D15:D16" si="2">LOWER(LEFT(B15,1))&amp;RIGHT(B15,LEN(B15) - 1)</f>
        <v>shipmentNo</v>
      </c>
      <c r="E15" s="31" t="str">
        <f>A.Backend!H9</f>
        <v>string</v>
      </c>
      <c r="F15" s="31" t="str">
        <f>A.Backend!G9</f>
        <v>10</v>
      </c>
      <c r="G15" s="31" t="str">
        <f t="shared" ref="G15:G16" si="3">IF(E15="string"," : string = '' ; ",IF(OR(E15="DateTime",E15="TimeSpan")," : any ;",IF(E15="int"," : number = 0 ;","")))</f>
        <v xml:space="preserve"> : string = '' ; </v>
      </c>
      <c r="H15" s="38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this.l('Shipment No'),headerTooltip: this.l('Shipment No'),field: 'shipmentNo',flex: 1},</v>
      </c>
      <c r="I15" s="38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[(ngModel)]='shipmentNo' name='shipmentNo'
									class='form-control' [placeholder]="l('Shipment No')"
									type='text' (keyup.enter)='searchDatas()'&gt;
								&lt;/div&gt;</v>
      </c>
      <c r="J15" s="31"/>
      <c r="K15" s="38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title'&gt;Shipment No&lt;/label&gt;
						&lt;input type='text' class='col-md-10 form-control input-text' name='ShipmentNo' [(ngModel)]='rowdata.shipmentNo'&gt;
					&lt;/div&gt;</v>
      </c>
      <c r="L15" s="60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shipmentNo : string = '' ; </v>
      </c>
      <c r="T15" s="31" t="str">
        <f>REPT(CHAR(9),3)&amp;"this."&amp;D15&amp;","</f>
        <v xml:space="preserve">			this.shipmentNo,</v>
      </c>
      <c r="U15" s="31" t="str">
        <f>IF(E15="int",REPT(CHAR(9),2)&amp;"this."&amp;D15&amp;" = 0,",REPT(CHAR(9),2)&amp;"this."&amp;D15&amp;" = '',")</f>
        <v xml:space="preserve">		this.shipmentNo = '',</v>
      </c>
      <c r="V15" s="31" t="str">
        <f t="shared" ref="V15:V16" si="8">IF(AND(E15="string",F15="1"),D15,"")</f>
        <v/>
      </c>
    </row>
    <row r="16" spans="1:22" ht="18" customHeight="1" x14ac:dyDescent="0.25">
      <c r="A16" s="31" t="s">
        <v>361</v>
      </c>
      <c r="B16" s="31" t="str">
        <f t="shared" si="0"/>
        <v>ShippingcompanyCode</v>
      </c>
      <c r="C16" s="31" t="str">
        <f t="shared" si="1"/>
        <v>Shippingcompany Code</v>
      </c>
      <c r="D16" s="31" t="str">
        <f t="shared" si="2"/>
        <v>shippingcompanyCode</v>
      </c>
      <c r="E16" s="31" t="str">
        <f>A.Backend!H10</f>
        <v>string</v>
      </c>
      <c r="F16" s="31" t="str">
        <f>A.Backend!G10</f>
        <v>10</v>
      </c>
      <c r="G16" s="31" t="str">
        <f t="shared" si="3"/>
        <v xml:space="preserve"> : string = '' ; </v>
      </c>
      <c r="H16" s="38" t="str">
        <f t="shared" si="4"/>
        <v xml:space="preserve">			{headerName: this.l('Shippingcompany Code'),headerTooltip: this.l('Shippingcompany Code'),field: 'shippingcompanyCode',flex: 1},</v>
      </c>
      <c r="I16" s="38" t="str">
        <f t="shared" si="5"/>
        <v xml:space="preserve">								&lt;div class='input-search'&gt;
									&lt;input [(ngModel)]='shippingcompanyCode' name='shippingcompanyCode'
									class='form-control' [placeholder]="l('Shippingcompany Code')"
									type='text' (keyup.enter)='searchDatas()'&gt;
								&lt;/div&gt;</v>
      </c>
      <c r="J16" s="31"/>
      <c r="K16" s="38" t="str">
        <f t="shared" si="6"/>
        <v xml:space="preserve">					&lt;div class='col-md-12 form-group row'&gt;
						&lt;label class='col-md-2 form-control title'&gt;Shippingcompany Code&lt;/label&gt;
						&lt;input type='text' class='col-md-10 form-control input-text' name='ShippingcompanyCode' [(ngModel)]='rowdata.shippingcompanyCode'&gt;
					&lt;/div&gt;</v>
      </c>
      <c r="L16" s="60" t="str">
        <f t="shared" si="7"/>
        <v/>
      </c>
      <c r="M16" s="31"/>
      <c r="N16" s="31"/>
      <c r="O16" s="31"/>
      <c r="P16" s="31"/>
      <c r="Q16" s="31"/>
      <c r="R16" s="31"/>
      <c r="S16" s="31" t="str">
        <f t="shared" ref="S16" si="9">REPT(CHAR(9),1)&amp;D16&amp;G16</f>
        <v xml:space="preserve">	shippingcompanyCode : string = '' ; </v>
      </c>
      <c r="T16" s="31" t="str">
        <f t="shared" ref="T16" si="10">REPT(CHAR(9),3)&amp;"this."&amp;D16&amp;","</f>
        <v xml:space="preserve">			this.shippingcompanyCode,</v>
      </c>
      <c r="U16" s="31" t="str">
        <f t="shared" ref="U16" si="11">IF(E16="int",REPT(CHAR(9),2)&amp;"this."&amp;D16&amp;" = 0,",REPT(CHAR(9),2)&amp;"this."&amp;D16&amp;" = '',")</f>
        <v xml:space="preserve">		this.shippingcompanyCode = '',</v>
      </c>
      <c r="V16" s="31" t="str">
        <f t="shared" si="8"/>
        <v/>
      </c>
    </row>
    <row r="17" spans="1:22" ht="18" customHeight="1" x14ac:dyDescent="0.25">
      <c r="A17" s="31" t="s">
        <v>363</v>
      </c>
      <c r="B17" s="31" t="str">
        <f>SUBSTITUTE(PROPER(A17),"_","")</f>
        <v>SupplierNo</v>
      </c>
      <c r="C17" s="31" t="str">
        <f>SUBSTITUTE(PROPER(A17),"_"," ")</f>
        <v>Supplier No</v>
      </c>
      <c r="D17" s="31" t="str">
        <f>LOWER(LEFT(B17,1))&amp;RIGHT(B17,LEN(B17) - 1)</f>
        <v>supplierNo</v>
      </c>
      <c r="E17" s="31" t="str">
        <f>A.Backend!H11</f>
        <v>string</v>
      </c>
      <c r="F17" s="31" t="str">
        <f>A.Backend!G11</f>
        <v>10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this.l('Supplier No'),headerTooltip: this.l('Supplier No'),field: 'supplierNo',flex: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supplierNo : string = '' ; </v>
      </c>
      <c r="T17" s="31" t="str">
        <f>REPT(CHAR(9),3)&amp;"this."&amp;D17&amp;","</f>
        <v xml:space="preserve">			this.supplierNo,</v>
      </c>
      <c r="U17" s="31" t="str">
        <f>IF(E17="int","this."&amp;D17&amp;" = 0,","this."&amp;D17&amp;" = '',")</f>
        <v>this.supplierNo = '',</v>
      </c>
      <c r="V17" s="31" t="str">
        <f>IF(AND(E17="string",F17="1"),D17,"")</f>
        <v/>
      </c>
    </row>
    <row r="18" spans="1:22" ht="15" customHeight="1" x14ac:dyDescent="0.25">
      <c r="A18" s="31" t="s">
        <v>364</v>
      </c>
      <c r="B18" s="31" t="str">
        <f t="shared" ref="B18:B19" si="12">SUBSTITUTE(PROPER(A18),"_","")</f>
        <v>Buyer</v>
      </c>
      <c r="C18" s="31" t="str">
        <f t="shared" ref="C18:C19" si="13">SUBSTITUTE(PROPER(A18),"_"," ")</f>
        <v>Buyer</v>
      </c>
      <c r="D18" s="31" t="str">
        <f t="shared" ref="D18:D19" si="14">LOWER(LEFT(B18,1))&amp;RIGHT(B18,LEN(B18) - 1)</f>
        <v>buyer</v>
      </c>
      <c r="E18" s="31" t="str">
        <f>A.Backend!H12</f>
        <v>string</v>
      </c>
      <c r="F18" s="31" t="str">
        <f>A.Backend!G12</f>
        <v>4</v>
      </c>
      <c r="G18" s="31" t="str">
        <f t="shared" ref="G18:G19" si="15">IF(E18="string"," : string = '' ; ",IF(OR(E18="DateTime",E18="TimeSpan")," : any ;",IF(E18="int"," : number = 0 ;","")))</f>
        <v xml:space="preserve"> : string = '' ; </v>
      </c>
      <c r="H18" s="38" t="str">
        <f t="shared" ref="H18:H19" si="16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this.l('Buyer'),headerTooltip: this.l('Buyer'),field: 'buyer',flex: 1},</v>
      </c>
      <c r="I18" s="38" t="str">
        <f t="shared" ref="I18:I19" si="17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[(ngModel)]='buyer' name='buyer'
									class='form-control' [placeholder]="l('Buyer')"
									type='text' (keyup.enter)='searchDatas()'&gt;
								&lt;/div&gt;</v>
      </c>
      <c r="J18" s="31"/>
      <c r="K18" s="38" t="str">
        <f t="shared" ref="K18:K19" si="18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title'&gt;Buyer&lt;/label&gt;
						&lt;input type='text' class='col-md-10 form-control input-text' name='Buyer' [(ngModel)]='rowdata.buyer'&gt;
					&lt;/div&gt;</v>
      </c>
      <c r="L18" s="60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buyer : string = '' ; </v>
      </c>
      <c r="T18" s="31" t="str">
        <f>REPT(CHAR(9),3)&amp;"this."&amp;D18&amp;","</f>
        <v xml:space="preserve">			this.buyer,</v>
      </c>
      <c r="U18" s="31" t="str">
        <f>IF(E18="int",REPT(CHAR(9),2)&amp;"this."&amp;D18&amp;" = 0,",REPT(CHAR(9),2)&amp;"this."&amp;D18&amp;" = '',")</f>
        <v xml:space="preserve">		this.buyer = '',</v>
      </c>
      <c r="V18" s="31" t="str">
        <f t="shared" ref="V18:V19" si="20">IF(AND(E18="string",F18="1"),D18,"")</f>
        <v/>
      </c>
    </row>
    <row r="19" spans="1:22" ht="18" customHeight="1" x14ac:dyDescent="0.25">
      <c r="A19" s="31" t="s">
        <v>365</v>
      </c>
      <c r="B19" s="31" t="str">
        <f t="shared" si="12"/>
        <v>FromPort</v>
      </c>
      <c r="C19" s="31" t="str">
        <f t="shared" si="13"/>
        <v>From Port</v>
      </c>
      <c r="D19" s="31" t="str">
        <f t="shared" si="14"/>
        <v>fromPort</v>
      </c>
      <c r="E19" s="31" t="str">
        <f>A.Backend!H13</f>
        <v>string</v>
      </c>
      <c r="F19" s="31" t="str">
        <f>A.Backend!G13</f>
        <v>50</v>
      </c>
      <c r="G19" s="31" t="str">
        <f t="shared" si="15"/>
        <v xml:space="preserve"> : string = '' ; </v>
      </c>
      <c r="H19" s="38" t="str">
        <f t="shared" si="16"/>
        <v xml:space="preserve">			{headerName: this.l('From Port'),headerTooltip: this.l('From Port'),field: 'fromPort',flex: 1},</v>
      </c>
      <c r="I19" s="38" t="str">
        <f t="shared" si="17"/>
        <v xml:space="preserve">								&lt;div class='input-search'&gt;
									&lt;input [(ngModel)]='fromPort' name='fromPort'
									class='form-control' [placeholder]="l('From Port')"
									type='text' (keyup.enter)='searchDatas()'&gt;
								&lt;/div&gt;</v>
      </c>
      <c r="J19" s="31"/>
      <c r="K19" s="38" t="str">
        <f t="shared" si="18"/>
        <v xml:space="preserve">					&lt;div class='col-md-12 form-group row'&gt;
						&lt;label class='col-md-2 form-control title'&gt;From Port&lt;/label&gt;
						&lt;input type='text' class='col-md-10 form-control input-text' name='FromPort' [(ngModel)]='rowdata.fromPort'&gt;
					&lt;/div&gt;</v>
      </c>
      <c r="L19" s="60" t="str">
        <f t="shared" si="19"/>
        <v/>
      </c>
      <c r="M19" s="31"/>
      <c r="N19" s="31"/>
      <c r="O19" s="31"/>
      <c r="P19" s="31"/>
      <c r="Q19" s="31"/>
      <c r="R19" s="31"/>
      <c r="S19" s="31" t="str">
        <f t="shared" ref="S19" si="21">REPT(CHAR(9),1)&amp;D19&amp;G19</f>
        <v xml:space="preserve">	fromPort : string = '' ; </v>
      </c>
      <c r="T19" s="31" t="str">
        <f t="shared" ref="T19" si="22">REPT(CHAR(9),3)&amp;"this."&amp;D19&amp;","</f>
        <v xml:space="preserve">			this.fromPort,</v>
      </c>
      <c r="U19" s="31" t="str">
        <f t="shared" ref="U19" si="23">IF(E19="int",REPT(CHAR(9),2)&amp;"this."&amp;D19&amp;" = 0,",REPT(CHAR(9),2)&amp;"this."&amp;D19&amp;" = '',")</f>
        <v xml:space="preserve">		this.fromPort = '',</v>
      </c>
      <c r="V19" s="31" t="str">
        <f t="shared" si="20"/>
        <v/>
      </c>
    </row>
    <row r="20" spans="1:22" ht="15" customHeight="1" x14ac:dyDescent="0.25">
      <c r="A20" s="31" t="s">
        <v>366</v>
      </c>
      <c r="B20" s="31" t="str">
        <f t="shared" ref="B20:B26" si="24">SUBSTITUTE(PROPER(A20),"_","")</f>
        <v>ToPort</v>
      </c>
      <c r="C20" s="31" t="str">
        <f t="shared" ref="C20:C26" si="25">SUBSTITUTE(PROPER(A20),"_"," ")</f>
        <v>To Port</v>
      </c>
      <c r="D20" s="31" t="str">
        <f t="shared" ref="D20:D26" si="26">LOWER(LEFT(B20,1))&amp;RIGHT(B20,LEN(B20) - 1)</f>
        <v>toPort</v>
      </c>
      <c r="E20" s="31" t="str">
        <f>A.Backend!H14</f>
        <v>string</v>
      </c>
      <c r="F20" s="31" t="str">
        <f>A.Backend!G14</f>
        <v>50</v>
      </c>
      <c r="G20" s="31" t="str">
        <f t="shared" ref="G20:G26" si="27">IF(E20="string"," : string = '' ; ",IF(OR(E20="DateTime",E20="TimeSpan")," : any ;",IF(E20="int"," : number = 0 ;","")))</f>
        <v xml:space="preserve"> : string = '' ; </v>
      </c>
      <c r="H20" s="38" t="str">
        <f t="shared" ref="H20:H26" si="28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this.l('To Port'),headerTooltip: this.l('To Port'),field: 'toPort',flex: 1},</v>
      </c>
      <c r="I20" s="38" t="str">
        <f t="shared" ref="I20:I26" si="29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[(ngModel)]='toPort' name='toPort'
									class='form-control' [placeholder]="l('To Port')"
									type='text' (keyup.enter)='searchDatas()'&gt;
								&lt;/div&gt;</v>
      </c>
      <c r="J20" s="31"/>
      <c r="K20" s="38" t="str">
        <f t="shared" ref="K20:K26" si="30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title'&gt;To Port&lt;/label&gt;
						&lt;input type='text' class='col-md-10 form-control input-text' name='ToPort' [(ngModel)]='rowdata.toPort'&gt;
					&lt;/div&gt;</v>
      </c>
      <c r="L20" s="60" t="str">
        <f t="shared" ref="L20:L26" si="31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toPort : string = '' ; </v>
      </c>
      <c r="T20" s="31" t="str">
        <f>REPT(CHAR(9),3)&amp;"this."&amp;D20&amp;","</f>
        <v xml:space="preserve">			this.toPort,</v>
      </c>
      <c r="U20" s="31" t="str">
        <f>IF(E20="int",REPT(CHAR(9),2)&amp;"this."&amp;D20&amp;" = 0,",REPT(CHAR(9),2)&amp;"this."&amp;D20&amp;" = '',")</f>
        <v xml:space="preserve">		this.toPort = '',</v>
      </c>
      <c r="V20" s="31" t="str">
        <f t="shared" ref="V20:V26" si="32">IF(AND(E20="string",F20="1"),D20,"")</f>
        <v/>
      </c>
    </row>
    <row r="21" spans="1:22" ht="18" customHeight="1" x14ac:dyDescent="0.25">
      <c r="A21" s="31" t="s">
        <v>367</v>
      </c>
      <c r="B21" s="31" t="str">
        <f t="shared" ref="B21" si="33">SUBSTITUTE(PROPER(A21),"_","")</f>
        <v>ShipmentDate</v>
      </c>
      <c r="C21" s="31" t="str">
        <f t="shared" ref="C21" si="34">SUBSTITUTE(PROPER(A21),"_"," ")</f>
        <v>Shipment Date</v>
      </c>
      <c r="D21" s="31" t="str">
        <f t="shared" ref="D21" si="35">LOWER(LEFT(B21,1))&amp;RIGHT(B21,LEN(B21) - 1)</f>
        <v>shipmentDate</v>
      </c>
      <c r="E21" s="31" t="str">
        <f>A.Backend!H15</f>
        <v>string</v>
      </c>
      <c r="F21" s="31" t="str">
        <f>A.Backend!G15</f>
        <v>10</v>
      </c>
      <c r="G21" s="31" t="str">
        <f t="shared" ref="G21" si="36">IF(E21="string"," : string = '' ; ",IF(OR(E21="DateTime",E21="TimeSpan")," : any ;",IF(E21="int"," : number = 0 ;","")))</f>
        <v xml:space="preserve"> : string = '' ; </v>
      </c>
      <c r="H21" s="38" t="str">
        <f t="shared" ref="H21" si="37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this.l('Shipment Date'),headerTooltip: this.l('Shipment Date'),field: 'shipmentDate',flex: 1},</v>
      </c>
      <c r="I21" s="38" t="str">
        <f t="shared" ref="I21" si="38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[(ngModel)]='shipmentDate' name='shipmentDate'
									class='form-control' [placeholder]="l('Shipment Date')"
									type='text' (keyup.enter)='searchDatas()'&gt;
								&lt;/div&gt;</v>
      </c>
      <c r="J21" s="31"/>
      <c r="K21" s="38" t="str">
        <f t="shared" ref="K21" si="39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title'&gt;Shipment Date&lt;/label&gt;
						&lt;input type='text' class='col-md-10 form-control input-text' name='ShipmentDate' [(ngModel)]='rowdata.shipmentDate'&gt;
					&lt;/div&gt;</v>
      </c>
      <c r="L21" s="60" t="str">
        <f t="shared" ref="L21" si="40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" si="41">REPT(CHAR(9),1)&amp;D21&amp;G21</f>
        <v xml:space="preserve">	shipmentDate : string = '' ; </v>
      </c>
      <c r="T21" s="31" t="str">
        <f t="shared" ref="T21" si="42">REPT(CHAR(9),3)&amp;"this."&amp;D21&amp;","</f>
        <v xml:space="preserve">			this.shipmentDate,</v>
      </c>
      <c r="U21" s="31" t="str">
        <f t="shared" ref="U21" si="43">IF(E21="int",REPT(CHAR(9),2)&amp;"this."&amp;D21&amp;" = 0,",REPT(CHAR(9),2)&amp;"this."&amp;D21&amp;" = '',")</f>
        <v xml:space="preserve">		this.shipmentDate = '',</v>
      </c>
      <c r="V21" s="31" t="str">
        <f t="shared" ref="V21" si="44">IF(AND(E21="string",F21="1"),D21,"")</f>
        <v/>
      </c>
    </row>
    <row r="22" spans="1:22" ht="18" customHeight="1" x14ac:dyDescent="0.25">
      <c r="A22" s="31" t="s">
        <v>368</v>
      </c>
      <c r="B22" s="31" t="str">
        <f>SUBSTITUTE(PROPER(A22),"_","")</f>
        <v>Etd</v>
      </c>
      <c r="C22" s="31" t="str">
        <f>SUBSTITUTE(PROPER(A22),"_"," ")</f>
        <v>Etd</v>
      </c>
      <c r="D22" s="31" t="str">
        <f>LOWER(LEFT(B22,1))&amp;RIGHT(B22,LEN(B22) - 1)</f>
        <v>etd</v>
      </c>
      <c r="E22" s="31" t="str">
        <f>A.Backend!H16</f>
        <v>DateTime</v>
      </c>
      <c r="F22" s="31" t="str">
        <f>A.Backend!G16</f>
        <v/>
      </c>
      <c r="G22" s="31" t="str">
        <f>IF(E22="string"," : string = '' ; ",IF(OR(E22="DateTime",E22="TimeSpan")," : any ;",IF(E22="int"," : number = 0 ;","")))</f>
        <v xml:space="preserve"> : any ;</v>
      </c>
      <c r="H22" s="38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this.l('Etd'),headerTooltip: this.l('Etd'),field: 'etd',valueGetter: (params) =&gt; this.pipe.transform(params.data?.etd, 'dd/MM/yyyy'),flex: 1},</v>
      </c>
      <c r="I22" s="38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type='text' [placeholder]="l('Etd')" [(ngModel)]='etd' 
									name='etd'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title'&gt;Etd&lt;/label&gt;
						&lt;input type='text' class='col-md-10 form-control input-text' name='etd' 
						#datepicker='bsDatepicker' [(ngModel)]='rowdata.etd'  bsDatepicker &gt;
					&lt;/div&gt;</v>
      </c>
      <c r="L22" s="60" t="str">
        <f>IF(E22="DateTime",
REPT(CHAR(9),2)&amp;"const dateValue =  this.rowdata."&amp;D22&amp;" ? new Date(this.rowdata."&amp;D22&amp;"?.toString()) : new Date();
"&amp;REPT(CHAR(9),2)&amp;"this.datepicker?.bsValueChange.emit(dateValue);","")</f>
        <v xml:space="preserve">		const dateValue =  this.rowdata.etd ? new Date(this.rowdata.etd?.toString())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>D22&amp;G22</f>
        <v>etd : any ;</v>
      </c>
      <c r="T22" s="31" t="str">
        <f>REPT(CHAR(9),3)&amp;"this."&amp;D22&amp;","</f>
        <v xml:space="preserve">			this.etd,</v>
      </c>
      <c r="U22" s="31" t="str">
        <f>IF(E22="int","this."&amp;D22&amp;" = 0,","this."&amp;D22&amp;" = '',")</f>
        <v>this.etd = '',</v>
      </c>
      <c r="V22" s="31" t="str">
        <f>IF(AND(E22="string",F22="1"),D22,"")</f>
        <v/>
      </c>
    </row>
    <row r="23" spans="1:22" ht="15" customHeight="1" x14ac:dyDescent="0.25">
      <c r="A23" s="31" t="s">
        <v>369</v>
      </c>
      <c r="B23" s="31" t="str">
        <f t="shared" ref="B23" si="45">SUBSTITUTE(PROPER(A23),"_","")</f>
        <v>Eta</v>
      </c>
      <c r="C23" s="31" t="str">
        <f t="shared" ref="C23" si="46">SUBSTITUTE(PROPER(A23),"_"," ")</f>
        <v>Eta</v>
      </c>
      <c r="D23" s="31" t="str">
        <f t="shared" ref="D23" si="47">LOWER(LEFT(B23,1))&amp;RIGHT(B23,LEN(B23) - 1)</f>
        <v>eta</v>
      </c>
      <c r="E23" s="31" t="str">
        <f>A.Backend!H17</f>
        <v>DateTime</v>
      </c>
      <c r="F23" s="31" t="str">
        <f>A.Backend!G17</f>
        <v/>
      </c>
      <c r="G23" s="31" t="str">
        <f t="shared" ref="G23" si="48">IF(E23="string"," : string = '' ; ",IF(OR(E23="DateTime",E23="TimeSpan")," : any ;",IF(E23="int"," : number = 0 ;","")))</f>
        <v xml:space="preserve"> : any ;</v>
      </c>
      <c r="H23" s="38" t="str">
        <f t="shared" ref="H23" si="49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this.l('Eta'),headerTooltip: this.l('Eta'),field: 'eta',valueGetter: (params) =&gt; this.pipe.transform(params.data?.eta, 'dd/MM/yyyy'),flex: 1},</v>
      </c>
      <c r="I23" s="38" t="str">
        <f t="shared" ref="I23" si="5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type='text' [placeholder]="l('Eta')" [(ngModel)]='eta' 
									name='eta'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ref="K23" si="51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title'&gt;Eta&lt;/label&gt;
						&lt;input type='text' class='col-md-10 form-control input-text' name='eta' 
						#datepicker='bsDatepicker' [(ngModel)]='rowdata.eta'  bsDatepicker &gt;
					&lt;/div&gt;</v>
      </c>
      <c r="L23" s="60" t="str">
        <f t="shared" ref="L23" si="52">IF(E23="DateTime",
REPT(CHAR(9),2)&amp;"const dateValue =  this.rowdata."&amp;D23&amp;" ? new Date(this.rowdata."&amp;D23&amp;"?.toString()) : new Date();
"&amp;REPT(CHAR(9),2)&amp;"this.datepicker?.bsValueChange.emit(dateValue);","")</f>
        <v xml:space="preserve">		const dateValue =  this.rowdata.eta ? new Date(this.rowdata.eta?.toString())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eta : any ;</v>
      </c>
      <c r="T23" s="31" t="str">
        <f>REPT(CHAR(9),3)&amp;"this."&amp;D23&amp;","</f>
        <v xml:space="preserve">			this.eta,</v>
      </c>
      <c r="U23" s="31" t="str">
        <f>IF(E23="int",REPT(CHAR(9),2)&amp;"this."&amp;D23&amp;" = 0,",REPT(CHAR(9),2)&amp;"this."&amp;D23&amp;" = '',")</f>
        <v xml:space="preserve">		this.eta = '',</v>
      </c>
      <c r="V23" s="31" t="str">
        <f t="shared" ref="V23" si="53">IF(AND(E23="string",F23="1"),D23,"")</f>
        <v/>
      </c>
    </row>
    <row r="24" spans="1:22" ht="18" customHeight="1" x14ac:dyDescent="0.25">
      <c r="A24" s="31" t="s">
        <v>370</v>
      </c>
      <c r="B24" s="31" t="str">
        <f t="shared" si="24"/>
        <v>Ata</v>
      </c>
      <c r="C24" s="31" t="str">
        <f t="shared" si="25"/>
        <v>Ata</v>
      </c>
      <c r="D24" s="31" t="str">
        <f t="shared" si="26"/>
        <v>ata</v>
      </c>
      <c r="E24" s="31" t="str">
        <f>A.Backend!H18</f>
        <v>DateTime</v>
      </c>
      <c r="F24" s="31" t="str">
        <f>A.Backend!G18</f>
        <v/>
      </c>
      <c r="G24" s="31" t="str">
        <f t="shared" si="27"/>
        <v xml:space="preserve"> : any ;</v>
      </c>
      <c r="H24" s="38" t="str">
        <f t="shared" si="28"/>
        <v xml:space="preserve">			{headerName: this.l('Ata'),headerTooltip: this.l('Ata'),field: 'ata',valueGetter: (params) =&gt; this.pipe.transform(params.data?.ata, 'dd/MM/yyyy'),flex: 1},</v>
      </c>
      <c r="I24" s="38" t="str">
        <f t="shared" si="29"/>
        <v xml:space="preserve">								&lt;div class='input-search'&gt;
									&lt;input type='text' [placeholder]="l('Ata')" [(ngModel)]='ata' 
									name='ata'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30"/>
        <v xml:space="preserve">					&lt;div class='col-md-12 form-group row'&gt;
						&lt;label class='col-md-2 form-control title'&gt;Ata&lt;/label&gt;
						&lt;input type='text' class='col-md-10 form-control input-text' name='ata' 
						#datepicker='bsDatepicker' [(ngModel)]='rowdata.ata'  bsDatepicker &gt;
					&lt;/div&gt;</v>
      </c>
      <c r="L24" s="60" t="str">
        <f t="shared" si="31"/>
        <v xml:space="preserve">		const dateValue =  this.rowdata.ata ? new Date(this.rowdata.ata?.toString())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ref="S24" si="54">REPT(CHAR(9),1)&amp;D24&amp;G24</f>
        <v xml:space="preserve">	ata : any ;</v>
      </c>
      <c r="T24" s="31" t="str">
        <f t="shared" ref="T24" si="55">REPT(CHAR(9),3)&amp;"this."&amp;D24&amp;","</f>
        <v xml:space="preserve">			this.ata,</v>
      </c>
      <c r="U24" s="31" t="str">
        <f t="shared" ref="U24" si="56">IF(E24="int",REPT(CHAR(9),2)&amp;"this."&amp;D24&amp;" = 0,",REPT(CHAR(9),2)&amp;"this."&amp;D24&amp;" = '',")</f>
        <v xml:space="preserve">		this.ata = '',</v>
      </c>
      <c r="V24" s="31" t="str">
        <f t="shared" si="32"/>
        <v/>
      </c>
    </row>
    <row r="25" spans="1:22" ht="15" customHeight="1" x14ac:dyDescent="0.25">
      <c r="A25" s="31" t="s">
        <v>371</v>
      </c>
      <c r="B25" s="31" t="str">
        <f t="shared" si="24"/>
        <v>FeedervesselName</v>
      </c>
      <c r="C25" s="31" t="str">
        <f t="shared" si="25"/>
        <v>Feedervessel Name</v>
      </c>
      <c r="D25" s="31" t="str">
        <f t="shared" si="26"/>
        <v>feedervesselName</v>
      </c>
      <c r="E25" s="31" t="str">
        <f>A.Backend!H19</f>
        <v>string</v>
      </c>
      <c r="F25" s="31" t="str">
        <f>A.Backend!G19</f>
        <v>30</v>
      </c>
      <c r="G25" s="31" t="str">
        <f t="shared" si="27"/>
        <v xml:space="preserve"> : string = '' ; </v>
      </c>
      <c r="H25" s="38" t="str">
        <f t="shared" si="28"/>
        <v xml:space="preserve">			{headerName: this.l('Feedervessel Name'),headerTooltip: this.l('Feedervessel Name'),field: 'feedervesselName',flex: 1},</v>
      </c>
      <c r="I25" s="38" t="str">
        <f t="shared" si="29"/>
        <v xml:space="preserve">								&lt;div class='input-search'&gt;
									&lt;input [(ngModel)]='feedervesselName' name='feedervesselName'
									class='form-control' [placeholder]="l('Feedervessel Name')"
									type='text' (keyup.enter)='searchDatas()'&gt;
								&lt;/div&gt;</v>
      </c>
      <c r="J25" s="31"/>
      <c r="K25" s="38" t="str">
        <f t="shared" si="30"/>
        <v xml:space="preserve">					&lt;div class='col-md-12 form-group row'&gt;
						&lt;label class='col-md-2 form-control title'&gt;Feedervessel Name&lt;/label&gt;
						&lt;input type='text' class='col-md-10 form-control input-text' name='FeedervesselName' [(ngModel)]='rowdata.feedervesselName'&gt;
					&lt;/div&gt;</v>
      </c>
      <c r="L25" s="60" t="str">
        <f t="shared" si="31"/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feedervesselName : string = '' ; </v>
      </c>
      <c r="T25" s="31" t="str">
        <f>REPT(CHAR(9),3)&amp;"this."&amp;D25&amp;","</f>
        <v xml:space="preserve">			this.feedervesselName,</v>
      </c>
      <c r="U25" s="31" t="str">
        <f>IF(E25="int",REPT(CHAR(9),2)&amp;"this."&amp;D25&amp;" = 0,",REPT(CHAR(9),2)&amp;"this."&amp;D25&amp;" = '',")</f>
        <v xml:space="preserve">		this.feedervesselName = '',</v>
      </c>
      <c r="V25" s="31" t="str">
        <f t="shared" si="32"/>
        <v/>
      </c>
    </row>
    <row r="26" spans="1:22" ht="18" customHeight="1" x14ac:dyDescent="0.25">
      <c r="A26" s="31" t="s">
        <v>372</v>
      </c>
      <c r="B26" s="31" t="str">
        <f t="shared" si="24"/>
        <v>OceanvesselName</v>
      </c>
      <c r="C26" s="31" t="str">
        <f t="shared" si="25"/>
        <v>Oceanvessel Name</v>
      </c>
      <c r="D26" s="31" t="str">
        <f t="shared" si="26"/>
        <v>oceanvesselName</v>
      </c>
      <c r="E26" s="31" t="str">
        <f>A.Backend!H20</f>
        <v>string</v>
      </c>
      <c r="F26" s="31" t="str">
        <f>A.Backend!G20</f>
        <v>30</v>
      </c>
      <c r="G26" s="31" t="str">
        <f t="shared" si="27"/>
        <v xml:space="preserve"> : string = '' ; </v>
      </c>
      <c r="H26" s="38" t="str">
        <f t="shared" si="28"/>
        <v xml:space="preserve">			{headerName: this.l('Oceanvessel Name'),headerTooltip: this.l('Oceanvessel Name'),field: 'oceanvesselName',flex: 1},</v>
      </c>
      <c r="I26" s="38" t="str">
        <f t="shared" si="29"/>
        <v xml:space="preserve">								&lt;div class='input-search'&gt;
									&lt;input [(ngModel)]='oceanvesselName' name='oceanvesselName'
									class='form-control' [placeholder]="l('Oceanvessel Name')"
									type='text' (keyup.enter)='searchDatas()'&gt;
								&lt;/div&gt;</v>
      </c>
      <c r="J26" s="31"/>
      <c r="K26" s="38" t="str">
        <f t="shared" si="30"/>
        <v xml:space="preserve">					&lt;div class='col-md-12 form-group row'&gt;
						&lt;label class='col-md-2 form-control title'&gt;Oceanvessel Name&lt;/label&gt;
						&lt;input type='text' class='col-md-10 form-control input-text' name='OceanvesselName' [(ngModel)]='rowdata.oceanvesselName'&gt;
					&lt;/div&gt;</v>
      </c>
      <c r="L26" s="60" t="str">
        <f t="shared" si="31"/>
        <v/>
      </c>
      <c r="M26" s="31"/>
      <c r="N26" s="31"/>
      <c r="O26" s="31"/>
      <c r="P26" s="31"/>
      <c r="Q26" s="31"/>
      <c r="R26" s="31"/>
      <c r="S26" s="31" t="str">
        <f t="shared" ref="S26" si="57">REPT(CHAR(9),1)&amp;D26&amp;G26</f>
        <v xml:space="preserve">	oceanvesselName : string = '' ; </v>
      </c>
      <c r="T26" s="31" t="str">
        <f t="shared" ref="T26" si="58">REPT(CHAR(9),3)&amp;"this."&amp;D26&amp;","</f>
        <v xml:space="preserve">			this.oceanvesselName,</v>
      </c>
      <c r="U26" s="31" t="str">
        <f t="shared" ref="U26" si="59">IF(E26="int",REPT(CHAR(9),2)&amp;"this."&amp;D26&amp;" = 0,",REPT(CHAR(9),2)&amp;"this."&amp;D26&amp;" = '',")</f>
        <v xml:space="preserve">		this.oceanvesselName = '',</v>
      </c>
      <c r="V26" s="31" t="str">
        <f t="shared" si="32"/>
        <v/>
      </c>
    </row>
    <row r="27" spans="1:22" ht="18" customHeight="1" x14ac:dyDescent="0.25">
      <c r="A27" s="31" t="s">
        <v>373</v>
      </c>
      <c r="B27" s="31" t="str">
        <f>SUBSTITUTE(PROPER(A27),"_","")</f>
        <v>OceanvesselvoyageNo</v>
      </c>
      <c r="C27" s="31" t="str">
        <f>SUBSTITUTE(PROPER(A27),"_"," ")</f>
        <v>Oceanvesselvoyage No</v>
      </c>
      <c r="D27" s="31" t="str">
        <f>LOWER(LEFT(B27,1))&amp;RIGHT(B27,LEN(B27) - 1)</f>
        <v>oceanvesselvoyageNo</v>
      </c>
      <c r="E27" s="31" t="str">
        <f>A.Backend!H21</f>
        <v>string</v>
      </c>
      <c r="F27" s="31" t="str">
        <f>A.Backend!G21</f>
        <v>10</v>
      </c>
      <c r="G27" s="31" t="str">
        <f>IF(E27="string"," : string = '' ; ",IF(OR(E27="DateTime",E27="TimeSpan")," : any ;",IF(E27="int"," : number = 0 ;","")))</f>
        <v xml:space="preserve"> : string = '' ; </v>
      </c>
      <c r="H27" s="38" t="str">
        <f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this.l('Oceanvesselvoyage No'),headerTooltip: this.l('Oceanvesselvoyage No'),field: 'oceanvesselvoyageNo',flex: 1},</v>
      </c>
      <c r="I27" s="38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[(ngModel)]='oceanvesselvoyageNo' name='oceanvesselvoyageNo'
									class='form-control' [placeholder]="l('Oceanvesselvoyage No')"
									type='text' (keyup.enter)='searchDatas()'&gt;
								&lt;/div&gt;</v>
      </c>
      <c r="J27" s="31"/>
      <c r="K27" s="38" t="str">
        <f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title'&gt;Oceanvesselvoyage No&lt;/label&gt;
						&lt;input type='text' class='col-md-10 form-control input-text' name='OceanvesselvoyageNo' [(ngModel)]='rowdata.oceanvesselvoyageNo'&gt;
					&lt;/div&gt;</v>
      </c>
      <c r="L27" s="60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31"/>
      <c r="N27" s="31"/>
      <c r="O27" s="31"/>
      <c r="P27" s="31"/>
      <c r="Q27" s="31"/>
      <c r="R27" s="31"/>
      <c r="S27" s="31" t="str">
        <f>D27&amp;G27</f>
        <v xml:space="preserve">oceanvesselvoyageNo : string = '' ; </v>
      </c>
      <c r="T27" s="31" t="str">
        <f>REPT(CHAR(9),3)&amp;"this."&amp;D27&amp;","</f>
        <v xml:space="preserve">			this.oceanvesselvoyageNo,</v>
      </c>
      <c r="U27" s="31" t="str">
        <f>IF(E27="int","this."&amp;D27&amp;" = 0,","this."&amp;D27&amp;" = '',")</f>
        <v>this.oceanvesselvoyageNo = '',</v>
      </c>
      <c r="V27" s="31" t="str">
        <f>IF(AND(E27="string",F27="1"),D27,"")</f>
        <v/>
      </c>
    </row>
    <row r="28" spans="1:22" ht="15" customHeight="1" x14ac:dyDescent="0.25">
      <c r="A28" s="31" t="s">
        <v>374</v>
      </c>
      <c r="B28" s="31" t="str">
        <f t="shared" ref="B28:B31" si="60">SUBSTITUTE(PROPER(A28),"_","")</f>
        <v>NoofinvoicewithinshipmentNo</v>
      </c>
      <c r="C28" s="31" t="str">
        <f t="shared" ref="C28:C31" si="61">SUBSTITUTE(PROPER(A28),"_"," ")</f>
        <v>Noofinvoicewithinshipment No</v>
      </c>
      <c r="D28" s="31" t="str">
        <f t="shared" ref="D28:D31" si="62">LOWER(LEFT(B28,1))&amp;RIGHT(B28,LEN(B28) - 1)</f>
        <v>noofinvoicewithinshipmentNo</v>
      </c>
      <c r="E28" s="31" t="str">
        <f>A.Backend!H22</f>
        <v>int</v>
      </c>
      <c r="F28" s="31" t="str">
        <f>A.Backend!G22</f>
        <v/>
      </c>
      <c r="G28" s="31" t="str">
        <f t="shared" ref="G28:G31" si="63">IF(E28="string"," : string = '' ; ",IF(OR(E28="DateTime",E28="TimeSpan")," : any ;",IF(E28="int"," : number = 0 ;","")))</f>
        <v xml:space="preserve"> : number = 0 ;</v>
      </c>
      <c r="H28" s="38" t="str">
        <f t="shared" ref="H28:H31" si="64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this.l('Noofinvoicewithinshipment No'),headerTooltip: this.l('Noofinvoicewithinshipment No'),field: 'noofinvoicewithinshipmentNo',flex: 1},</v>
      </c>
      <c r="I28" s="38" t="str">
        <f t="shared" ref="I28:I31" si="65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31"/>
      <c r="K28" s="38" t="str">
        <f t="shared" ref="K28:K31" si="66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title'&gt;Noofinvoicewithinshipment No&lt;/label&gt;
						&lt;input type='number' class='col-md-10 form-control input-text' name='NoofinvoicewithinshipmentNo' [(ngModel)]='rowdata.noofinvoicewithinshipmentNo'&gt;
					&lt;/div&gt;</v>
      </c>
      <c r="L28" s="60" t="str">
        <f t="shared" ref="L28:L31" si="6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31"/>
      <c r="N28" s="31"/>
      <c r="O28" s="31"/>
      <c r="P28" s="31"/>
      <c r="Q28" s="31"/>
      <c r="R28" s="31"/>
      <c r="S28" s="31" t="str">
        <f>REPT(CHAR(9),1)&amp;D28&amp;G28</f>
        <v xml:space="preserve">	noofinvoicewithinshipmentNo : number = 0 ;</v>
      </c>
      <c r="T28" s="31" t="str">
        <f>REPT(CHAR(9),3)&amp;"this."&amp;D28&amp;","</f>
        <v xml:space="preserve">			this.noofinvoicewithinshipmentNo,</v>
      </c>
      <c r="U28" s="31" t="str">
        <f>IF(E28="int",REPT(CHAR(9),2)&amp;"this."&amp;D28&amp;" = 0,",REPT(CHAR(9),2)&amp;"this."&amp;D28&amp;" = '',")</f>
        <v xml:space="preserve">		this.noofinvoicewithinshipmentNo = 0,</v>
      </c>
      <c r="V28" s="31" t="str">
        <f t="shared" ref="V28:V31" si="68">IF(AND(E28="string",F28="1"),D28,"")</f>
        <v/>
      </c>
    </row>
    <row r="29" spans="1:22" ht="18" customHeight="1" x14ac:dyDescent="0.25">
      <c r="A29" s="31" t="s">
        <v>375</v>
      </c>
      <c r="B29" s="31" t="str">
        <f t="shared" si="60"/>
        <v>Noof20Ftcontainers</v>
      </c>
      <c r="C29" s="31" t="str">
        <f t="shared" si="61"/>
        <v>Noof20Ftcontainers</v>
      </c>
      <c r="D29" s="31" t="str">
        <f t="shared" si="62"/>
        <v>noof20Ftcontainers</v>
      </c>
      <c r="E29" s="31" t="str">
        <f>A.Backend!H23</f>
        <v>int</v>
      </c>
      <c r="F29" s="31" t="str">
        <f>A.Backend!G23</f>
        <v/>
      </c>
      <c r="G29" s="31" t="str">
        <f t="shared" si="63"/>
        <v xml:space="preserve"> : number = 0 ;</v>
      </c>
      <c r="H29" s="38" t="str">
        <f t="shared" si="64"/>
        <v xml:space="preserve">			{headerName: this.l('Noof20Ftcontainers'),headerTooltip: this.l('Noof20Ftcontainers'),field: 'noof20Ftcontainers',flex: 1},</v>
      </c>
      <c r="I29" s="38" t="str">
        <f t="shared" si="65"/>
        <v/>
      </c>
      <c r="J29" s="31"/>
      <c r="K29" s="38" t="str">
        <f t="shared" si="66"/>
        <v xml:space="preserve">					&lt;div class='col-md-12 form-group row'&gt;
						&lt;label class='col-md-2 form-control title'&gt;Noof20Ftcontainers&lt;/label&gt;
						&lt;input type='number' class='col-md-10 form-control input-text' name='Noof20Ftcontainers' [(ngModel)]='rowdata.noof20Ftcontainers'&gt;
					&lt;/div&gt;</v>
      </c>
      <c r="L29" s="60" t="str">
        <f t="shared" si="67"/>
        <v/>
      </c>
      <c r="M29" s="31"/>
      <c r="N29" s="31"/>
      <c r="O29" s="31"/>
      <c r="P29" s="31"/>
      <c r="Q29" s="31"/>
      <c r="R29" s="31"/>
      <c r="S29" s="31" t="str">
        <f t="shared" ref="S29" si="69">REPT(CHAR(9),1)&amp;D29&amp;G29</f>
        <v xml:space="preserve">	noof20Ftcontainers : number = 0 ;</v>
      </c>
      <c r="T29" s="31" t="str">
        <f t="shared" ref="T29" si="70">REPT(CHAR(9),3)&amp;"this."&amp;D29&amp;","</f>
        <v xml:space="preserve">			this.noof20Ftcontainers,</v>
      </c>
      <c r="U29" s="31" t="str">
        <f t="shared" ref="U29" si="71">IF(E29="int",REPT(CHAR(9),2)&amp;"this."&amp;D29&amp;" = 0,",REPT(CHAR(9),2)&amp;"this."&amp;D29&amp;" = '',")</f>
        <v xml:space="preserve">		this.noof20Ftcontainers = 0,</v>
      </c>
      <c r="V29" s="31" t="str">
        <f t="shared" si="68"/>
        <v/>
      </c>
    </row>
    <row r="30" spans="1:22" ht="15" customHeight="1" x14ac:dyDescent="0.25">
      <c r="A30" s="31" t="s">
        <v>376</v>
      </c>
      <c r="B30" s="31" t="str">
        <f t="shared" si="60"/>
        <v>Noof40Ftcontainers</v>
      </c>
      <c r="C30" s="31" t="str">
        <f t="shared" si="61"/>
        <v>Noof40Ftcontainers</v>
      </c>
      <c r="D30" s="31" t="str">
        <f t="shared" si="62"/>
        <v>noof40Ftcontainers</v>
      </c>
      <c r="E30" s="31" t="str">
        <f>A.Backend!H24</f>
        <v>int</v>
      </c>
      <c r="F30" s="31" t="str">
        <f>A.Backend!G24</f>
        <v/>
      </c>
      <c r="G30" s="31" t="str">
        <f t="shared" si="63"/>
        <v xml:space="preserve"> : number = 0 ;</v>
      </c>
      <c r="H30" s="38" t="str">
        <f t="shared" si="64"/>
        <v xml:space="preserve">			{headerName: this.l('Noof40Ftcontainers'),headerTooltip: this.l('Noof40Ftcontainers'),field: 'noof40Ftcontainers',flex: 1},</v>
      </c>
      <c r="I30" s="38" t="str">
        <f t="shared" si="65"/>
        <v/>
      </c>
      <c r="J30" s="31"/>
      <c r="K30" s="38" t="str">
        <f t="shared" si="66"/>
        <v xml:space="preserve">					&lt;div class='col-md-12 form-group row'&gt;
						&lt;label class='col-md-2 form-control title'&gt;Noof40Ftcontainers&lt;/label&gt;
						&lt;input type='number' class='col-md-10 form-control input-text' name='Noof40Ftcontainers' [(ngModel)]='rowdata.noof40Ftcontainers'&gt;
					&lt;/div&gt;</v>
      </c>
      <c r="L30" s="60" t="str">
        <f t="shared" si="67"/>
        <v/>
      </c>
      <c r="M30" s="31"/>
      <c r="N30" s="31"/>
      <c r="O30" s="31"/>
      <c r="P30" s="31"/>
      <c r="Q30" s="31"/>
      <c r="R30" s="31"/>
      <c r="S30" s="31" t="str">
        <f>REPT(CHAR(9),1)&amp;D30&amp;G30</f>
        <v xml:space="preserve">	noof40Ftcontainers : number = 0 ;</v>
      </c>
      <c r="T30" s="31" t="str">
        <f>REPT(CHAR(9),3)&amp;"this."&amp;D30&amp;","</f>
        <v xml:space="preserve">			this.noof40Ftcontainers,</v>
      </c>
      <c r="U30" s="31" t="str">
        <f>IF(E30="int",REPT(CHAR(9),2)&amp;"this."&amp;D30&amp;" = 0,",REPT(CHAR(9),2)&amp;"this."&amp;D30&amp;" = '',")</f>
        <v xml:space="preserve">		this.noof40Ftcontainers = 0,</v>
      </c>
      <c r="V30" s="31" t="str">
        <f t="shared" si="68"/>
        <v/>
      </c>
    </row>
    <row r="31" spans="1:22" ht="18" customHeight="1" x14ac:dyDescent="0.25">
      <c r="A31" s="31" t="s">
        <v>377</v>
      </c>
      <c r="B31" s="31" t="str">
        <f t="shared" si="60"/>
        <v>Lclvolume</v>
      </c>
      <c r="C31" s="31" t="str">
        <f t="shared" si="61"/>
        <v>Lclvolume</v>
      </c>
      <c r="D31" s="31" t="str">
        <f t="shared" si="62"/>
        <v>lclvolume</v>
      </c>
      <c r="E31" s="31" t="str">
        <f>A.Backend!H25</f>
        <v>int</v>
      </c>
      <c r="F31" s="31" t="str">
        <f>A.Backend!G25</f>
        <v/>
      </c>
      <c r="G31" s="31" t="str">
        <f t="shared" si="63"/>
        <v xml:space="preserve"> : number = 0 ;</v>
      </c>
      <c r="H31" s="38" t="str">
        <f t="shared" si="64"/>
        <v xml:space="preserve">			{headerName: this.l('Lclvolume'),headerTooltip: this.l('Lclvolume'),field: 'lclvolume',flex: 1},</v>
      </c>
      <c r="I31" s="38" t="str">
        <f t="shared" si="65"/>
        <v/>
      </c>
      <c r="J31" s="31"/>
      <c r="K31" s="38" t="str">
        <f t="shared" si="66"/>
        <v xml:space="preserve">					&lt;div class='col-md-12 form-group row'&gt;
						&lt;label class='col-md-2 form-control title'&gt;Lclvolume&lt;/label&gt;
						&lt;input type='number' class='col-md-10 form-control input-text' name='Lclvolume' [(ngModel)]='rowdata.lclvolume'&gt;
					&lt;/div&gt;</v>
      </c>
      <c r="L31" s="60" t="str">
        <f t="shared" si="67"/>
        <v/>
      </c>
      <c r="M31" s="31"/>
      <c r="N31" s="31"/>
      <c r="O31" s="31"/>
      <c r="P31" s="31"/>
      <c r="Q31" s="31"/>
      <c r="R31" s="31"/>
      <c r="S31" s="31" t="str">
        <f t="shared" ref="S31" si="72">REPT(CHAR(9),1)&amp;D31&amp;G31</f>
        <v xml:space="preserve">	lclvolume : number = 0 ;</v>
      </c>
      <c r="T31" s="31" t="str">
        <f t="shared" ref="T31" si="73">REPT(CHAR(9),3)&amp;"this."&amp;D31&amp;","</f>
        <v xml:space="preserve">			this.lclvolume,</v>
      </c>
      <c r="U31" s="31" t="str">
        <f t="shared" ref="U31" si="74">IF(E31="int",REPT(CHAR(9),2)&amp;"this."&amp;D31&amp;" = 0,",REPT(CHAR(9),2)&amp;"this."&amp;D31&amp;" = '',")</f>
        <v xml:space="preserve">		this.lclvolume = 0,</v>
      </c>
      <c r="V31" s="31" t="str">
        <f t="shared" si="68"/>
        <v/>
      </c>
    </row>
    <row r="32" spans="1:22" ht="18" customHeight="1" x14ac:dyDescent="0.25">
      <c r="A32" s="31" t="s">
        <v>378</v>
      </c>
      <c r="B32" s="31" t="str">
        <f>SUBSTITUTE(PROPER(A32),"_","")</f>
        <v>Atd</v>
      </c>
      <c r="C32" s="31" t="str">
        <f>SUBSTITUTE(PROPER(A32),"_"," ")</f>
        <v>Atd</v>
      </c>
      <c r="D32" s="31" t="str">
        <f>LOWER(LEFT(B32,1))&amp;RIGHT(B32,LEN(B32) - 1)</f>
        <v>atd</v>
      </c>
      <c r="E32" s="31" t="str">
        <f>A.Backend!H26</f>
        <v>DateTime</v>
      </c>
      <c r="F32" s="31" t="str">
        <f>A.Backend!G26</f>
        <v/>
      </c>
      <c r="G32" s="31" t="str">
        <f>IF(E32="string"," : string = '' ; ",IF(OR(E32="DateTime",E32="TimeSpan")," : any ;",IF(E32="int"," : number = 0 ;","")))</f>
        <v xml:space="preserve"> : any ;</v>
      </c>
      <c r="H32" s="38" t="str">
        <f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this.l('Atd'),headerTooltip: this.l('Atd'),field: 'atd',valueGetter: (params) =&gt; this.pipe.transform(params.data?.atd, 'dd/MM/yyyy'),flex: 1},</v>
      </c>
      <c r="I32" s="38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type='text' [placeholder]="l('Atd')" [(ngModel)]='atd' 
									name='atd' (keydown)='searchDatas()' class='form-control' 
									bsDatepicker #d='bsDatepicker' placement='bottom left'&gt;
									&lt;i class='fa fa-calendar-alt' (click)='d.toggle()'&gt;&lt;/i&gt;
								&lt;/div&gt;</v>
      </c>
      <c r="J32" s="31"/>
      <c r="K32" s="38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title'&gt;Atd&lt;/label&gt;
						&lt;input type='text' class='col-md-10 form-control input-text' name='atd' 
						#datepicker='bsDatepicker' [(ngModel)]='rowdata.atd'  bsDatepicker &gt;
					&lt;/div&gt;</v>
      </c>
      <c r="L32" s="60" t="str">
        <f>IF(E32="DateTime",
REPT(CHAR(9),2)&amp;"const dateValue =  this.rowdata."&amp;D32&amp;" ? new Date(this.rowdata."&amp;D32&amp;"?.toString()) : new Date();
"&amp;REPT(CHAR(9),2)&amp;"this.datepicker?.bsValueChange.emit(dateValue);","")</f>
        <v xml:space="preserve">		const dateValue =  this.rowdata.atd ? new Date(this.rowdata.atd?.toString()) : new Date();
		this.datepicker?.bsValueChange.emit(dateValue);</v>
      </c>
      <c r="M32" s="31"/>
      <c r="N32" s="31"/>
      <c r="O32" s="31"/>
      <c r="P32" s="31"/>
      <c r="Q32" s="31"/>
      <c r="R32" s="31"/>
      <c r="S32" s="31" t="str">
        <f>D32&amp;G32</f>
        <v>atd : any ;</v>
      </c>
      <c r="T32" s="31" t="str">
        <f>REPT(CHAR(9),3)&amp;"this."&amp;D32&amp;","</f>
        <v xml:space="preserve">			this.atd,</v>
      </c>
      <c r="U32" s="31" t="str">
        <f>IF(E32="int","this."&amp;D32&amp;" = 0,","this."&amp;D32&amp;" = '',")</f>
        <v>this.atd = '',</v>
      </c>
      <c r="V32" s="31" t="str">
        <f>IF(AND(E32="string",F32="1"),D32,"")</f>
        <v/>
      </c>
    </row>
    <row r="33" spans="1:22" ht="15" customHeight="1" x14ac:dyDescent="0.25">
      <c r="A33" s="31" t="s">
        <v>355</v>
      </c>
      <c r="B33" s="31" t="str">
        <f t="shared" ref="B33" si="75">SUBSTITUTE(PROPER(A33),"_","")</f>
        <v>Status</v>
      </c>
      <c r="C33" s="31" t="str">
        <f t="shared" ref="C33" si="76">SUBSTITUTE(PROPER(A33),"_"," ")</f>
        <v>Status</v>
      </c>
      <c r="D33" s="31" t="str">
        <f t="shared" ref="D33" si="77">LOWER(LEFT(B33,1))&amp;RIGHT(B33,LEN(B33) - 1)</f>
        <v>status</v>
      </c>
      <c r="E33" s="31" t="str">
        <f>A.Backend!H27</f>
        <v>string</v>
      </c>
      <c r="F33" s="31" t="str">
        <f>A.Backend!G27</f>
        <v>50</v>
      </c>
      <c r="G33" s="31" t="str">
        <f t="shared" ref="G33" si="78">IF(E33="string"," : string = '' ; ",IF(OR(E33="DateTime",E33="TimeSpan")," : any ;",IF(E33="int"," : number = 0 ;","")))</f>
        <v xml:space="preserve"> : string = '' ; </v>
      </c>
      <c r="H33" s="38" t="str">
        <f t="shared" ref="H33" si="79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this.l('Status'),headerTooltip: this.l('Status'),field: 'status',flex: 1},</v>
      </c>
      <c r="I33" s="38" t="str">
        <f t="shared" ref="I33" si="80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33" s="31"/>
      <c r="K33" s="38" t="str">
        <f t="shared" ref="K33" si="81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33" s="60" t="str">
        <f t="shared" ref="L33" si="82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31"/>
      <c r="N33" s="31"/>
      <c r="O33" s="31"/>
      <c r="P33" s="31"/>
      <c r="Q33" s="31"/>
      <c r="R33" s="31"/>
      <c r="S33" s="31" t="str">
        <f>REPT(CHAR(9),1)&amp;D33&amp;G33</f>
        <v xml:space="preserve">	status : string = '' ; </v>
      </c>
      <c r="T33" s="31" t="str">
        <f>REPT(CHAR(9),3)&amp;"this."&amp;D33&amp;","</f>
        <v xml:space="preserve">			this.status,</v>
      </c>
      <c r="U33" s="31" t="str">
        <f>IF(E33="int",REPT(CHAR(9),2)&amp;"this."&amp;D33&amp;" = 0,",REPT(CHAR(9),2)&amp;"this."&amp;D33&amp;" = '',")</f>
        <v xml:space="preserve">		this.status = '',</v>
      </c>
      <c r="V33" s="31" t="str">
        <f t="shared" ref="V33" si="83">IF(AND(E33="string",F33="1"),D33,"")</f>
        <v/>
      </c>
    </row>
    <row r="34" spans="1:22" ht="18" customHeight="1" x14ac:dyDescent="0.25">
      <c r="A34" s="31" t="s">
        <v>324</v>
      </c>
      <c r="B34" s="31" t="str">
        <f t="shared" ref="B34" si="84">SUBSTITUTE(PROPER(A34),"_","")</f>
        <v>IsActive</v>
      </c>
      <c r="C34" s="31" t="str">
        <f t="shared" ref="C34" si="85">SUBSTITUTE(PROPER(A34),"_"," ")</f>
        <v>Is Active</v>
      </c>
      <c r="D34" s="31" t="str">
        <f t="shared" ref="D34" si="86">LOWER(LEFT(B34,1))&amp;RIGHT(B34,LEN(B34) - 1)</f>
        <v>isActive</v>
      </c>
      <c r="E34" s="31" t="str">
        <f>A.Backend!H28</f>
        <v>string</v>
      </c>
      <c r="F34" s="31" t="str">
        <f>A.Backend!G28</f>
        <v>1</v>
      </c>
      <c r="G34" s="31" t="str">
        <f t="shared" ref="G34" si="87">IF(E34="string"," : string = '' ; ",IF(OR(E34="DateTime",E34="TimeSpan")," : any ;",IF(E34="int"," : number = 0 ;","")))</f>
        <v xml:space="preserve"> : string = '' ; </v>
      </c>
      <c r="H34" s="38" t="str">
        <f t="shared" ref="H34" si="88"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4" s="38" t="str">
        <f t="shared" ref="I34" si="89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IF(E34="string",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4" s="31"/>
      <c r="K34" s="38" t="str">
        <f t="shared" ref="K34" si="90">IF(OR(E34="DateTime",E34="TimeSpan"),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IF(E34="int",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4" s="60" t="str">
        <f t="shared" ref="L34" si="91"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31"/>
      <c r="N34" s="31"/>
      <c r="O34" s="31"/>
      <c r="P34" s="31"/>
      <c r="Q34" s="31"/>
      <c r="R34" s="31"/>
      <c r="S34" s="31" t="str">
        <f t="shared" ref="S34" si="92">REPT(CHAR(9),1)&amp;D34&amp;G34</f>
        <v xml:space="preserve">	isActive : string = '' ; </v>
      </c>
      <c r="T34" s="31" t="str">
        <f t="shared" ref="T34" si="93">REPT(CHAR(9),3)&amp;"this."&amp;D34&amp;","</f>
        <v xml:space="preserve">			this.isActive,</v>
      </c>
      <c r="U34" s="31" t="str">
        <f t="shared" ref="U34" si="94">IF(E34="int",REPT(CHAR(9),2)&amp;"this."&amp;D34&amp;" = 0,",REPT(CHAR(9),2)&amp;"this."&amp;D34&amp;" = '',")</f>
        <v xml:space="preserve">		this.isActive = '',</v>
      </c>
      <c r="V34" s="31" t="str">
        <f t="shared" ref="V34" si="95">IF(AND(E34="string",F34="1"),D34,"")</f>
        <v>isActive</v>
      </c>
    </row>
    <row r="3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2023-04-09T10:34:33Z</dcterms:modified>
</cp:coreProperties>
</file>
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5" l="1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38" i="1"/>
  <c r="G38" i="1"/>
  <c r="F44" i="5" s="1"/>
  <c r="E38" i="1"/>
  <c r="H38" i="1" s="1"/>
  <c r="E44" i="5" s="1"/>
  <c r="D38" i="1"/>
  <c r="T38" i="1" s="1"/>
  <c r="L37" i="1"/>
  <c r="G37" i="1"/>
  <c r="F43" i="5" s="1"/>
  <c r="E37" i="1"/>
  <c r="H37" i="1" s="1"/>
  <c r="W37" i="1" s="1"/>
  <c r="D37" i="1"/>
  <c r="L36" i="1"/>
  <c r="G36" i="1"/>
  <c r="F42" i="5" s="1"/>
  <c r="E36" i="1"/>
  <c r="H36" i="1" s="1"/>
  <c r="E42" i="5" s="1"/>
  <c r="D36" i="1"/>
  <c r="V36" i="1" s="1"/>
  <c r="L35" i="1"/>
  <c r="G35" i="1"/>
  <c r="F41" i="5" s="1"/>
  <c r="E35" i="1"/>
  <c r="H35" i="1" s="1"/>
  <c r="O35" i="1" s="1"/>
  <c r="D35" i="1"/>
  <c r="P35" i="1" s="1"/>
  <c r="L34" i="1"/>
  <c r="G34" i="1"/>
  <c r="F40" i="5" s="1"/>
  <c r="E34" i="1"/>
  <c r="H34" i="1" s="1"/>
  <c r="E40" i="5" s="1"/>
  <c r="D34" i="1"/>
  <c r="T34" i="1" s="1"/>
  <c r="L33" i="1"/>
  <c r="G33" i="1"/>
  <c r="F39" i="5" s="1"/>
  <c r="E33" i="1"/>
  <c r="H33" i="1" s="1"/>
  <c r="E39" i="5" s="1"/>
  <c r="D33" i="1"/>
  <c r="L32" i="1"/>
  <c r="G32" i="1"/>
  <c r="F38" i="5" s="1"/>
  <c r="E32" i="1"/>
  <c r="H32" i="1" s="1"/>
  <c r="E38" i="5" s="1"/>
  <c r="K38" i="5" s="1"/>
  <c r="D32" i="1"/>
  <c r="V32" i="1" s="1"/>
  <c r="L31" i="1"/>
  <c r="G31" i="1"/>
  <c r="F37" i="5" s="1"/>
  <c r="E31" i="1"/>
  <c r="H31" i="1" s="1"/>
  <c r="E37" i="5" s="1"/>
  <c r="D31" i="1"/>
  <c r="P31" i="1" s="1"/>
  <c r="L30" i="1"/>
  <c r="G30" i="1"/>
  <c r="F36" i="5" s="1"/>
  <c r="E30" i="1"/>
  <c r="H30" i="1" s="1"/>
  <c r="E36" i="5" s="1"/>
  <c r="D30" i="1"/>
  <c r="T30" i="1" s="1"/>
  <c r="L29" i="1"/>
  <c r="G29" i="1"/>
  <c r="F35" i="5" s="1"/>
  <c r="E29" i="1"/>
  <c r="H29" i="1" s="1"/>
  <c r="W29" i="1" s="1"/>
  <c r="D29" i="1"/>
  <c r="L28" i="1"/>
  <c r="G28" i="1"/>
  <c r="F34" i="5" s="1"/>
  <c r="E28" i="1"/>
  <c r="H28" i="1" s="1"/>
  <c r="E34" i="5" s="1"/>
  <c r="D28" i="1"/>
  <c r="V28" i="1" s="1"/>
  <c r="L27" i="1"/>
  <c r="G27" i="1"/>
  <c r="F33" i="5" s="1"/>
  <c r="E27" i="1"/>
  <c r="H27" i="1" s="1"/>
  <c r="E33" i="5" s="1"/>
  <c r="D27" i="1"/>
  <c r="P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K30" i="5" s="1"/>
  <c r="D24" i="1"/>
  <c r="V24" i="1" s="1"/>
  <c r="V32" i="5" l="1"/>
  <c r="G32" i="5"/>
  <c r="K32" i="5"/>
  <c r="I32" i="5"/>
  <c r="G34" i="5"/>
  <c r="V34" i="5"/>
  <c r="K34" i="5"/>
  <c r="I34" i="5"/>
  <c r="K36" i="5"/>
  <c r="I36" i="5"/>
  <c r="G36" i="5"/>
  <c r="V36" i="5"/>
  <c r="V40" i="5"/>
  <c r="G40" i="5"/>
  <c r="K40" i="5"/>
  <c r="I40" i="5"/>
  <c r="G42" i="5"/>
  <c r="G44" i="5"/>
  <c r="G33" i="5"/>
  <c r="V33" i="5"/>
  <c r="I33" i="5"/>
  <c r="K33" i="5"/>
  <c r="K37" i="5"/>
  <c r="I37" i="5"/>
  <c r="G37" i="5"/>
  <c r="V37" i="5"/>
  <c r="V39" i="5"/>
  <c r="K39" i="5"/>
  <c r="I39" i="5"/>
  <c r="G39" i="5"/>
  <c r="V38" i="5"/>
  <c r="G38" i="5"/>
  <c r="G30" i="5"/>
  <c r="S30" i="5" s="1"/>
  <c r="E43" i="5"/>
  <c r="E35" i="5"/>
  <c r="H30" i="5"/>
  <c r="V30" i="5"/>
  <c r="I38" i="5"/>
  <c r="I30" i="5"/>
  <c r="U30" i="5"/>
  <c r="L30" i="5"/>
  <c r="E41" i="5"/>
  <c r="E31" i="5"/>
  <c r="P38" i="1"/>
  <c r="M33" i="1"/>
  <c r="T27" i="1"/>
  <c r="P26" i="1"/>
  <c r="V31" i="1"/>
  <c r="V38" i="1"/>
  <c r="V26" i="1"/>
  <c r="O27" i="1"/>
  <c r="I27" i="1"/>
  <c r="O31" i="1"/>
  <c r="I31" i="1"/>
  <c r="I35" i="1"/>
  <c r="M37" i="1"/>
  <c r="M29" i="1"/>
  <c r="P34" i="1"/>
  <c r="T35" i="1"/>
  <c r="M25" i="1"/>
  <c r="P30" i="1"/>
  <c r="T31" i="1"/>
  <c r="V34" i="1"/>
  <c r="V35" i="1"/>
  <c r="V30" i="1"/>
  <c r="W33" i="1"/>
  <c r="V27" i="1"/>
  <c r="O30" i="1"/>
  <c r="N30" i="1"/>
  <c r="M30" i="1"/>
  <c r="W30" i="1"/>
  <c r="J30" i="1"/>
  <c r="I30" i="1"/>
  <c r="W28" i="1"/>
  <c r="J28" i="1"/>
  <c r="I28" i="1"/>
  <c r="O28" i="1"/>
  <c r="N28" i="1"/>
  <c r="M28" i="1"/>
  <c r="O26" i="1"/>
  <c r="N26" i="1"/>
  <c r="M26" i="1"/>
  <c r="W26" i="1"/>
  <c r="J26" i="1"/>
  <c r="I26" i="1"/>
  <c r="W36" i="1"/>
  <c r="J36" i="1"/>
  <c r="I36" i="1"/>
  <c r="O36" i="1"/>
  <c r="N36" i="1"/>
  <c r="M36" i="1"/>
  <c r="O34" i="1"/>
  <c r="N34" i="1"/>
  <c r="M34" i="1"/>
  <c r="W34" i="1"/>
  <c r="J34" i="1"/>
  <c r="I34" i="1"/>
  <c r="W24" i="1"/>
  <c r="J24" i="1"/>
  <c r="I24" i="1"/>
  <c r="O24" i="1"/>
  <c r="N24" i="1"/>
  <c r="M24" i="1"/>
  <c r="W32" i="1"/>
  <c r="J32" i="1"/>
  <c r="I32" i="1"/>
  <c r="O32" i="1"/>
  <c r="N32" i="1"/>
  <c r="M32" i="1"/>
  <c r="O38" i="1"/>
  <c r="N38" i="1"/>
  <c r="M38" i="1"/>
  <c r="W38" i="1"/>
  <c r="J38" i="1"/>
  <c r="I38" i="1"/>
  <c r="N33" i="1"/>
  <c r="N37" i="1"/>
  <c r="O25" i="1"/>
  <c r="J27" i="1"/>
  <c r="W27" i="1"/>
  <c r="O29" i="1"/>
  <c r="J31" i="1"/>
  <c r="W31" i="1"/>
  <c r="O33" i="1"/>
  <c r="J35" i="1"/>
  <c r="W35" i="1"/>
  <c r="O37" i="1"/>
  <c r="P25" i="1"/>
  <c r="P29" i="1"/>
  <c r="P33" i="1"/>
  <c r="P37" i="1"/>
  <c r="T25" i="1"/>
  <c r="M27" i="1"/>
  <c r="T29" i="1"/>
  <c r="M31" i="1"/>
  <c r="T33" i="1"/>
  <c r="M35" i="1"/>
  <c r="T37" i="1"/>
  <c r="P24" i="1"/>
  <c r="I25" i="1"/>
  <c r="V25" i="1"/>
  <c r="N27" i="1"/>
  <c r="P28" i="1"/>
  <c r="I29" i="1"/>
  <c r="V29" i="1"/>
  <c r="N31" i="1"/>
  <c r="P32" i="1"/>
  <c r="I33" i="1"/>
  <c r="V33" i="1"/>
  <c r="N35" i="1"/>
  <c r="P36" i="1"/>
  <c r="I37" i="1"/>
  <c r="V37" i="1"/>
  <c r="T24" i="1"/>
  <c r="J25" i="1"/>
  <c r="T28" i="1"/>
  <c r="J29" i="1"/>
  <c r="T32" i="1"/>
  <c r="J33" i="1"/>
  <c r="T36" i="1"/>
  <c r="J37" i="1"/>
  <c r="N25" i="1"/>
  <c r="N29" i="1"/>
  <c r="B7" i="5"/>
  <c r="B6" i="5"/>
  <c r="B2" i="5"/>
  <c r="V31" i="5" l="1"/>
  <c r="K31" i="5"/>
  <c r="G31" i="5"/>
  <c r="I31" i="5"/>
  <c r="G41" i="5"/>
  <c r="V41" i="5"/>
  <c r="I35" i="5"/>
  <c r="G35" i="5"/>
  <c r="V35" i="5"/>
  <c r="K35" i="5"/>
  <c r="G43" i="5"/>
  <c r="V43" i="5"/>
  <c r="B8" i="5"/>
  <c r="B3" i="5"/>
  <c r="C44" i="5"/>
  <c r="B44" i="5"/>
  <c r="D44" i="5" s="1"/>
  <c r="C43" i="5"/>
  <c r="B43" i="5"/>
  <c r="D43" i="5" s="1"/>
  <c r="T43" i="5" s="1"/>
  <c r="C42" i="5"/>
  <c r="B42" i="5"/>
  <c r="D42" i="5" s="1"/>
  <c r="S42" i="5" s="1"/>
  <c r="C41" i="5"/>
  <c r="K41" i="5" s="1"/>
  <c r="B41" i="5"/>
  <c r="D41" i="5" s="1"/>
  <c r="T41" i="5" s="1"/>
  <c r="C40" i="5"/>
  <c r="H40" i="5" s="1"/>
  <c r="B40" i="5"/>
  <c r="D40" i="5" s="1"/>
  <c r="C39" i="5"/>
  <c r="B39" i="5"/>
  <c r="D39" i="5" s="1"/>
  <c r="C38" i="5"/>
  <c r="B38" i="5"/>
  <c r="D38" i="5" s="1"/>
  <c r="C37" i="5"/>
  <c r="B37" i="5"/>
  <c r="D37" i="5" s="1"/>
  <c r="C36" i="5"/>
  <c r="H36" i="5" s="1"/>
  <c r="B36" i="5"/>
  <c r="D36" i="5" s="1"/>
  <c r="S36" i="5" s="1"/>
  <c r="C35" i="5"/>
  <c r="B35" i="5"/>
  <c r="D35" i="5" s="1"/>
  <c r="T35" i="5" s="1"/>
  <c r="C34" i="5"/>
  <c r="B34" i="5"/>
  <c r="D34" i="5" s="1"/>
  <c r="S34" i="5" s="1"/>
  <c r="C33" i="5"/>
  <c r="B33" i="5"/>
  <c r="D33" i="5" s="1"/>
  <c r="L4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H35" i="5" l="1"/>
  <c r="K43" i="5"/>
  <c r="S41" i="5"/>
  <c r="T36" i="5"/>
  <c r="U36" i="5"/>
  <c r="T40" i="5"/>
  <c r="U40" i="5"/>
  <c r="T44" i="5"/>
  <c r="V44" i="5"/>
  <c r="U44" i="5"/>
  <c r="I44" i="5"/>
  <c r="S43" i="5"/>
  <c r="H44" i="5"/>
  <c r="K44" i="5"/>
  <c r="H43" i="5"/>
  <c r="S44" i="5"/>
  <c r="H39" i="5"/>
  <c r="T37" i="5"/>
  <c r="U37" i="5"/>
  <c r="H41" i="5"/>
  <c r="H33" i="5"/>
  <c r="H37" i="5"/>
  <c r="U35" i="5"/>
  <c r="U41" i="5"/>
  <c r="S40" i="5"/>
  <c r="T34" i="5"/>
  <c r="U34" i="5"/>
  <c r="T38" i="5"/>
  <c r="U38" i="5"/>
  <c r="T42" i="5"/>
  <c r="I42" i="5"/>
  <c r="U42" i="5"/>
  <c r="V42" i="5"/>
  <c r="I41" i="5"/>
  <c r="S38" i="5"/>
  <c r="U43" i="5"/>
  <c r="T33" i="5"/>
  <c r="U33" i="5"/>
  <c r="I43" i="5"/>
  <c r="H34" i="5"/>
  <c r="H38" i="5"/>
  <c r="H42" i="5"/>
  <c r="K42" i="5"/>
  <c r="S37" i="5"/>
  <c r="S33" i="5"/>
  <c r="T39" i="5"/>
  <c r="U39" i="5"/>
  <c r="S35" i="5"/>
  <c r="S39" i="5"/>
  <c r="I20" i="1"/>
  <c r="E26" i="5"/>
  <c r="K28" i="5"/>
  <c r="I28" i="5"/>
  <c r="H28" i="5"/>
  <c r="G28" i="5"/>
  <c r="S28" i="5" s="1"/>
  <c r="V28" i="5"/>
  <c r="U28" i="5"/>
  <c r="L28" i="5"/>
  <c r="L24" i="5"/>
  <c r="V24" i="5"/>
  <c r="U24" i="5"/>
  <c r="H24" i="5"/>
  <c r="G24" i="5"/>
  <c r="S24" i="5" s="1"/>
  <c r="K24" i="5"/>
  <c r="I24" i="5"/>
  <c r="K20" i="5"/>
  <c r="I20" i="5"/>
  <c r="H20" i="5"/>
  <c r="G20" i="5"/>
  <c r="S20" i="5" s="1"/>
  <c r="L20" i="5"/>
  <c r="V20" i="5"/>
  <c r="U20" i="5"/>
  <c r="U23" i="5"/>
  <c r="G23" i="5"/>
  <c r="S23" i="5" s="1"/>
  <c r="K23" i="5"/>
  <c r="V23" i="5"/>
  <c r="I23" i="5"/>
  <c r="H23" i="5"/>
  <c r="L23" i="5"/>
  <c r="V22" i="5"/>
  <c r="K22" i="5"/>
  <c r="I22" i="5"/>
  <c r="U22" i="5"/>
  <c r="H22" i="5"/>
  <c r="G22" i="5"/>
  <c r="S22" i="5" s="1"/>
  <c r="L22" i="5"/>
  <c r="K29" i="5"/>
  <c r="I29" i="5"/>
  <c r="H29" i="5"/>
  <c r="G29" i="5"/>
  <c r="S29" i="5" s="1"/>
  <c r="V29" i="5"/>
  <c r="L29" i="5"/>
  <c r="U29" i="5"/>
  <c r="L21" i="5"/>
  <c r="K21" i="5"/>
  <c r="I21" i="5"/>
  <c r="H21" i="5"/>
  <c r="G21" i="5"/>
  <c r="S21" i="5" s="1"/>
  <c r="V21" i="5"/>
  <c r="U21" i="5"/>
  <c r="G25" i="5"/>
  <c r="S25" i="5" s="1"/>
  <c r="V25" i="5"/>
  <c r="I25" i="5"/>
  <c r="U25" i="5"/>
  <c r="L25" i="5"/>
  <c r="K25" i="5"/>
  <c r="H25" i="5"/>
  <c r="I27" i="5"/>
  <c r="H27" i="5"/>
  <c r="G27" i="5"/>
  <c r="S27" i="5" s="1"/>
  <c r="K27" i="5"/>
  <c r="V27" i="5"/>
  <c r="U27" i="5"/>
  <c r="L27" i="5"/>
  <c r="L35" i="5"/>
  <c r="L37" i="5"/>
  <c r="L41" i="5"/>
  <c r="L33" i="5"/>
  <c r="L38" i="5"/>
  <c r="L40" i="5"/>
  <c r="L42" i="5"/>
  <c r="L44" i="5"/>
  <c r="L34" i="5"/>
  <c r="L36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S31" i="5" s="1"/>
  <c r="C17" i="5"/>
  <c r="B17" i="5"/>
  <c r="D17" i="5" s="1"/>
  <c r="T17" i="5" s="1"/>
  <c r="C16" i="5"/>
  <c r="B16" i="5"/>
  <c r="D16" i="5" s="1"/>
  <c r="T16" i="5" s="1"/>
  <c r="T31" i="5" l="1"/>
  <c r="U31" i="5"/>
  <c r="H31" i="5"/>
  <c r="L26" i="5"/>
  <c r="H26" i="5"/>
  <c r="G26" i="5"/>
  <c r="S26" i="5" s="1"/>
  <c r="K26" i="5"/>
  <c r="V26" i="5"/>
  <c r="U26" i="5"/>
  <c r="I26" i="5"/>
  <c r="L39" i="5"/>
  <c r="B6" i="1"/>
  <c r="G13" i="1"/>
  <c r="F19" i="5" s="1"/>
  <c r="E13" i="1"/>
  <c r="H13" i="1" s="1"/>
  <c r="E19" i="5" s="1"/>
  <c r="D13" i="1"/>
  <c r="V13" i="1" s="1"/>
  <c r="I19" i="5" l="1"/>
  <c r="H19" i="5"/>
  <c r="K19" i="5"/>
  <c r="G19" i="5"/>
  <c r="S19" i="5" s="1"/>
  <c r="V19" i="5"/>
  <c r="U19" i="5"/>
  <c r="L19" i="5"/>
  <c r="W13" i="1"/>
  <c r="N13" i="1"/>
  <c r="I13" i="1"/>
  <c r="M13" i="1"/>
  <c r="O13" i="1"/>
  <c r="J13" i="1"/>
  <c r="L13" i="1"/>
  <c r="P13" i="1"/>
  <c r="T13" i="1"/>
  <c r="C32" i="5"/>
  <c r="B32" i="5"/>
  <c r="D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T32" i="5" l="1"/>
  <c r="U32" i="5"/>
  <c r="S32" i="5"/>
  <c r="H32" i="5"/>
  <c r="H18" i="5"/>
  <c r="G18" i="5"/>
  <c r="S18" i="5" s="1"/>
  <c r="V18" i="5"/>
  <c r="I18" i="5"/>
  <c r="U18" i="5"/>
  <c r="K18" i="5"/>
  <c r="L18" i="5"/>
  <c r="G17" i="5"/>
  <c r="S17" i="5" s="1"/>
  <c r="V17" i="5"/>
  <c r="U17" i="5"/>
  <c r="H17" i="5"/>
  <c r="I17" i="5"/>
  <c r="K17" i="5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H16" i="5"/>
  <c r="G16" i="5"/>
  <c r="S16" i="5" s="1"/>
  <c r="K16" i="5"/>
  <c r="I16" i="5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4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40" i="1"/>
  <c r="T7" i="1" l="1"/>
  <c r="W40" i="1"/>
  <c r="G6" i="1" l="1"/>
  <c r="S13" i="5"/>
  <c r="H13" i="5"/>
  <c r="U13" i="5"/>
  <c r="V13" i="5"/>
  <c r="I13" i="5"/>
  <c r="K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I40" i="1"/>
  <c r="J40" i="1"/>
  <c r="P40" i="1"/>
  <c r="O40" i="1"/>
  <c r="N40" i="1"/>
  <c r="Q7" i="1" l="1"/>
  <c r="M68" i="3" s="1"/>
  <c r="L7" i="1"/>
  <c r="G68" i="3" s="1"/>
  <c r="K68" i="3"/>
  <c r="J68" i="3"/>
  <c r="K40" i="1"/>
  <c r="M4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<sst xmlns="http://schemas.openxmlformats.org/spreadsheetml/2006/main" count="551" uniqueCount="395">
  <si>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</si>
  <si>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</si>
  <si>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</si>
  <si>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</si>
  <si>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</si>
  <si>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</si>
  <si>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</si>
  <si>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</si>
  <si>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</si>
  <si>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</si>
  <si>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</si>
  <si>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</si>
  <si>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</si>
  <si>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</si>
  <si>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</si>
  <si>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</si>
  <si>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</si>
  <si>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</si>
  <si>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</si>
  <si>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</si>
  <si>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</si>
  <si>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</si>
  <si>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</si>
  <si>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</si>
  <si>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</si>
  <si>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</si>
  <si>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</si>
  <si>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</si>
  <si>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</si>
  <si>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</si>
  <si>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</si>
  <si>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</si>
  <si>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</si>
  <si>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</si>
  <si>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</si>
  <si>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</si>
  <si>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</si>
  <si>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</si>
  <si>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</si>
  <si>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</si>
  <si>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</si>
  <si>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</si>
  <si>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</si>
  <si>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</si>
  <si>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</si>
  <si>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</si>
  <si>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</si>
  <si>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</si>
  <si>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</si>
  <si>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</si>
  <si>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</si>
  <si>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</si>
  <si>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</si>
  <si>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</si>
  <si>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</si>
  <si>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</si>
  <si>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</si>
  <si>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</si>
  <si>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</si>
  <si>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</si>
  <si>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</si>
  <si>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</si>
  <si>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</si>
  <si>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</si>
  <si>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</si>
  <si>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</si>
  <si>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</si>
  <si>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</si>
  <si>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</si>
  <si>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</si>
  <si>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</si>
  <si>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</si>
  <si>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</si>
  <si>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</si>
  <si>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</si>
  <si>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</si>
  <si>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</si>
  <si>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</si>
  <si>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</si>
  <si>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</si>
  <si>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</si>
  <si>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</si>
  <si>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</si>
  <si>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</si>
  <si>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</si>
  <si>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</si>
  <si>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</si>
  <si>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</si>
  <si>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</si>
  <si>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</si>
  <si>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</si>
  <si>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</si>
  <si>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</si>
  <si>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</si>
  <si>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</si>
  <si>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</si>
  <si>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</si>
  <si>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</si>
  <si>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</si>
  <si>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</si>
  <si>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</si>
  <si>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</si>
  <si>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</si>
  <si>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</si>
  <si>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</si>
  <si>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</si>
  <si>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</si>
  <si>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</si>
  <si>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</si>
  <si>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</si>
  <si>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</si>
  <si>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</si>
  <si>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</si>
  <si>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</si>
  <si>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</si>
  <si>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</si>
  <si>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</si>
  <si>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</si>
  <si>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</si>
  <si>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</si>
  <si>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</si>
  <si>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</si>
  <si>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</si>
  <si>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</si>
  <si>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</si>
  <si>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</si>
  <si>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</si>
  <si>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</si>
  <si>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</si>
  <si>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</si>
  <si>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</si>
  <si>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</si>
  <si>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</si>
  <si>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</si>
  <si>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</si>
  <si>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</si>
  <si>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</si>
  <si>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</si>
  <si>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</si>
  <si>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</si>
  <si>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</si>
  <si>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</si>
  <si>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</si>
  <si>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</si>
  <si>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</si>
  <si>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</si>
  <si>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</si>
  <si>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</si>
  <si>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</si>
  <si>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</si>
  <si>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</si>
  <si>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</si>
  <si>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</si>
  <si>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</si>
  <si>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</si>
  <si>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</si>
  <si>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</si>
  <si>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</si>
  <si>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</si>
  <si>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</si>
  <si>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</si>
  <si>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</si>
  <si>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</si>
  <si>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</si>
  <si>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</si>
  <si>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</si>
  <si>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</si>
  <si>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</si>
  <si>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</si>
  <si>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</si>
  <si>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</si>
  <si>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</si>
  <si>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</si>
  <si>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</si>
  <si>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</si>
  <si>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</si>
  <si>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</si>
  <si>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</si>
  <si>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</si>
  <si>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</si>
  <si>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</si>
  <si>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</si>
  <si>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</si>
  <si>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</si>
  <si>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</si>
  <si>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</si>
  <si>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</si>
  <si>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</si>
  <si>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</si>
  <si>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</si>
  <si>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</si>
  <si>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</si>
  <si>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</si>
  <si>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</si>
  <si>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</si>
  <si>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</si>
  <si>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</si>
  <si>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</si>
  <si>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</si>
  <si>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</si>
  <si>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</si>
  <si>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</si>
  <si>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</si>
  <si>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</si>
  <si>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</si>
  <si>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</si>
  <si>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</si>
  <si>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</si>
  <si>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</si>
  <si>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</si>
  <si>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</si>
  <si>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</si>
  <si>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</si>
  <si>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</si>
  <si>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</si>
  <si>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</si>
  <si>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</si>
  <si>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</si>
  <si>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</si>
  <si>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</si>
  <si>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</si>
  <si>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</si>
  <si>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</si>
  <si>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</si>
  <si>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</si>
  <si>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</si>
  <si>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</si>
  <si>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</si>
  <si>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</si>
  <si>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</si>
  <si>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</si>
  <si>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</si>
  <si>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</si>
  <si>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</si>
  <si>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</si>
  <si>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</si>
  <si>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</si>
  <si>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</si>
  <si>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</si>
  <si>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</si>
  <si>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</si>
  <si>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</si>
  <si>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</si>
  <si>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</si>
  <si>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</si>
  <si>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</si>
  <si>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</si>
  <si>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</si>
  <si>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</si>
  <si>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</si>
  <si>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</si>
  <si>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</si>
  <si>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</si>
  <si>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</si>
  <si>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</si>
  <si>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</si>
  <si>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</si>
  <si>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</si>
  <si>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</si>
  <si>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</si>
  <si>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</si>
  <si>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</si>
  <si>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</si>
  <si>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</si>
  <si>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</si>
  <si>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</si>
  <si>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</si>
  <si>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</si>
  <si>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</si>
  <si>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</si>
  <si>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</si>
  <si>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</si>
  <si>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</si>
  <si>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</si>
  <si>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</si>
  <si>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</si>
  <si>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</si>
  <si>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</si>
  <si>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</si>
  <si>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</si>
  <si>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</si>
  <si>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</si>
  <si>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</si>
  <si>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</si>
  <si>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</si>
  <si>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</si>
  <si>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</si>
  <si>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</si>
  <si>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</si>
  <si>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</si>
  <si>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</si>
  <si>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</si>
  <si>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</si>
  <si>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</si>
  <si>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</si>
  <si>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</si>
  <si>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</si>
  <si>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</si>
  <si>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</si>
  <si>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</si>
  <si>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</si>
  <si>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</si>
  <si>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</si>
  <si>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</si>
  <si>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</si>
  <si>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</si>
  <si>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</si>
  <si>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</si>
  <si>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</si>
  <si>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</si>
  <si>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</si>
  <si>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</si>
  <si>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</si>
  <si>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</si>
  <si>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</si>
  <si>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</si>
  <si>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</si>
  <si>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</si>
  <si>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</si>
  <si>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</si>
  <si>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</si>
  <si>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</si>
  <si>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</si>
  <si>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</si>
  <si>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</si>
  <si>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</si>
  <si>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</si>
  <si>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</si>
  <si>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</si>
  <si>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</si>
  <si>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</si>
  <si>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</si>
  <si>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</si>
  <si>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</si>
  <si>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</si>
  <si>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</si>
  <si>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</si>
  <si>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</si>
  <si>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</si>
  <si>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</si>
  <si>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</si>
  <si>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</si>
  <si>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</si>
  <si>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</si>
  <si>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</si>
  <si>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</si>
  <si>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</si>
  <si>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</si>
  <si>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</si>
  <si>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</si>
  <si>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</si>
  <si>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FOB</t>
  </si>
  <si>
    <t>FREIGHT</t>
  </si>
  <si>
    <t>INSURANCE</t>
  </si>
  <si>
    <t>CIF</t>
  </si>
  <si>
    <t>SUPPLIER_NO</t>
  </si>
  <si>
    <t>FOB_VN</t>
  </si>
  <si>
    <t>CIF_VN</t>
  </si>
  <si>
    <t>PERIOD_ID</t>
  </si>
  <si>
    <t>int?</t>
  </si>
  <si>
    <t>long?</t>
  </si>
  <si>
    <t>DateTime?</t>
  </si>
  <si>
    <t>TimeSpan?</t>
  </si>
  <si>
    <t>decimal?</t>
  </si>
  <si>
    <t>byte?</t>
  </si>
  <si>
    <t>VARCHAR(10)</t>
  </si>
  <si>
    <t>CONTAINER_NO</t>
  </si>
  <si>
    <t>VARCHAR(15)</t>
  </si>
  <si>
    <t>THC</t>
  </si>
  <si>
    <t>TAX</t>
  </si>
  <si>
    <t>INLAND</t>
  </si>
  <si>
    <t>DECIMAL(18,4)</t>
  </si>
  <si>
    <t>DATE</t>
  </si>
  <si>
    <t>FREIGHT_VN</t>
  </si>
  <si>
    <t>INSURANCE_VN</t>
  </si>
  <si>
    <t>THC_VN</t>
  </si>
  <si>
    <t>TAX_VN</t>
  </si>
  <si>
    <t>INLAND_VN</t>
  </si>
  <si>
    <t>PERIOD_DATE</t>
  </si>
  <si>
    <t>VARCHAR(1)</t>
  </si>
  <si>
    <t>InvCkdContainerIntransit</t>
  </si>
  <si>
    <t>ContainerIntransit</t>
  </si>
  <si>
    <t>RENBAN</t>
  </si>
  <si>
    <t>VARCHAR(6)</t>
  </si>
  <si>
    <t>SHIPPING_DATE</t>
  </si>
  <si>
    <t>PORT_DATE</t>
  </si>
  <si>
    <t>TRANS_DATE</t>
  </si>
  <si>
    <t>TMV_DATE</t>
  </si>
  <si>
    <t>DATETIME2</t>
  </si>
  <si>
    <t>AMOUNT</t>
  </si>
  <si>
    <t>AMOUNT_VN</t>
  </si>
  <si>
    <t>FORWARDER</t>
  </si>
  <si>
    <t>GENERATED</t>
  </si>
  <si>
    <t>SHOP</t>
  </si>
  <si>
    <t>Container Intransit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</si>
</sst>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C68" sqref="C68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71</v>
      </c>
    </row>
    <row r="2" spans="1:7" ht="15.5" x14ac:dyDescent="0.35">
      <c r="A2" s="1"/>
      <c r="B2" s="25" t="s">
        <v>193</v>
      </c>
    </row>
    <row r="3" spans="1:7" x14ac:dyDescent="0.35">
      <c r="A3" s="1"/>
      <c r="B3" s="1" t="s">
        <v>74</v>
      </c>
    </row>
    <row r="4" spans="1:7" x14ac:dyDescent="0.35">
      <c r="A4" s="1"/>
      <c r="B4" t="s">
        <v>73</v>
      </c>
    </row>
    <row r="5" spans="1:7" x14ac:dyDescent="0.35">
      <c r="A5" s="1"/>
      <c r="B5" t="s">
        <v>76</v>
      </c>
    </row>
    <row r="6" spans="1:7" x14ac:dyDescent="0.35">
      <c r="A6" s="1"/>
      <c r="B6" t="s">
        <v>84</v>
      </c>
    </row>
    <row r="7" spans="1:7" x14ac:dyDescent="0.3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5">
      <c r="A8" s="1"/>
      <c r="C8" t="s">
        <v>86</v>
      </c>
      <c r="F8" s="1" t="s">
        <v>230</v>
      </c>
      <c r="G8" t="s">
        <v>230</v>
      </c>
    </row>
    <row r="9" spans="1:7" x14ac:dyDescent="0.35">
      <c r="A9" s="1"/>
      <c r="C9" t="s">
        <v>85</v>
      </c>
      <c r="F9" s="1" t="s">
        <v>95</v>
      </c>
      <c r="G9" t="s">
        <v>95</v>
      </c>
    </row>
    <row r="10" spans="1:7" x14ac:dyDescent="0.35">
      <c r="A10" s="1"/>
      <c r="D10" t="s">
        <v>86</v>
      </c>
      <c r="F10" s="1" t="s">
        <v>230</v>
      </c>
      <c r="G10" t="s">
        <v>281</v>
      </c>
    </row>
    <row r="11" spans="1:7" x14ac:dyDescent="0.35">
      <c r="A11" s="1"/>
      <c r="D11" t="s">
        <v>87</v>
      </c>
      <c r="F11" s="1" t="s">
        <v>96</v>
      </c>
      <c r="G11" t="s">
        <v>282</v>
      </c>
    </row>
    <row r="12" spans="1:7" x14ac:dyDescent="0.35">
      <c r="A12" s="1"/>
      <c r="D12" t="s">
        <v>88</v>
      </c>
      <c r="F12" s="1" t="s">
        <v>97</v>
      </c>
      <c r="G12" t="s">
        <v>283</v>
      </c>
    </row>
    <row r="13" spans="1:7" x14ac:dyDescent="0.35">
      <c r="A13" s="1"/>
      <c r="D13" t="s">
        <v>89</v>
      </c>
      <c r="F13" s="1" t="s">
        <v>98</v>
      </c>
      <c r="G13" t="s">
        <v>284</v>
      </c>
    </row>
    <row r="14" spans="1:7" x14ac:dyDescent="0.35">
      <c r="A14" s="1"/>
      <c r="D14" t="s">
        <v>90</v>
      </c>
      <c r="F14" s="1" t="s">
        <v>99</v>
      </c>
      <c r="G14" t="s">
        <v>285</v>
      </c>
    </row>
    <row r="15" spans="1:7" x14ac:dyDescent="0.35">
      <c r="A15" s="1"/>
      <c r="D15" t="s">
        <v>91</v>
      </c>
      <c r="F15" s="1" t="s">
        <v>100</v>
      </c>
      <c r="G15" t="s">
        <v>286</v>
      </c>
    </row>
    <row r="16" spans="1:7" ht="12" customHeight="1" x14ac:dyDescent="0.3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5">
      <c r="A17" s="1"/>
      <c r="D17" t="s">
        <v>301</v>
      </c>
      <c r="F17" s="1" t="s">
        <v>302</v>
      </c>
      <c r="G17" t="s">
        <v>303</v>
      </c>
    </row>
    <row r="18" spans="1:7" x14ac:dyDescent="0.35">
      <c r="A18" s="1"/>
      <c r="D18" t="s">
        <v>346</v>
      </c>
      <c r="F18" s="1" t="s">
        <v>348</v>
      </c>
      <c r="G18" t="s">
        <v>347</v>
      </c>
    </row>
    <row r="19" spans="1:7" x14ac:dyDescent="0.35">
      <c r="A19" s="1"/>
      <c r="C19" t="s">
        <v>88</v>
      </c>
      <c r="F19" s="1" t="s">
        <v>97</v>
      </c>
      <c r="G19" t="s">
        <v>97</v>
      </c>
    </row>
    <row r="20" spans="1:7" x14ac:dyDescent="0.35">
      <c r="A20" s="1"/>
      <c r="D20" t="s">
        <v>92</v>
      </c>
      <c r="F20" s="1" t="s">
        <v>111</v>
      </c>
      <c r="G20" t="s">
        <v>288</v>
      </c>
    </row>
    <row r="21" spans="1:7" x14ac:dyDescent="0.35">
      <c r="A21" s="1"/>
      <c r="D21" t="s">
        <v>93</v>
      </c>
      <c r="F21" s="1" t="s">
        <v>101</v>
      </c>
      <c r="G21" t="s">
        <v>289</v>
      </c>
    </row>
    <row r="22" spans="1:7" x14ac:dyDescent="0.35">
      <c r="A22" s="1"/>
      <c r="C22" t="s">
        <v>89</v>
      </c>
      <c r="F22" s="1" t="s">
        <v>98</v>
      </c>
      <c r="G22" t="s">
        <v>98</v>
      </c>
    </row>
    <row r="23" spans="1:7" x14ac:dyDescent="0.35">
      <c r="A23" s="1"/>
      <c r="D23" t="s">
        <v>92</v>
      </c>
      <c r="F23" s="1" t="s">
        <v>111</v>
      </c>
      <c r="G23" t="s">
        <v>298</v>
      </c>
    </row>
    <row r="24" spans="1:7" x14ac:dyDescent="0.35">
      <c r="A24" s="1"/>
      <c r="C24" t="s">
        <v>87</v>
      </c>
      <c r="F24" s="1" t="s">
        <v>96</v>
      </c>
      <c r="G24" t="s">
        <v>96</v>
      </c>
    </row>
    <row r="25" spans="1:7" x14ac:dyDescent="0.35">
      <c r="A25" s="1"/>
      <c r="D25" t="s">
        <v>92</v>
      </c>
      <c r="F25" s="1" t="s">
        <v>111</v>
      </c>
      <c r="G25" t="s">
        <v>297</v>
      </c>
    </row>
    <row r="26" spans="1:7" x14ac:dyDescent="0.35">
      <c r="A26" s="1"/>
      <c r="C26" t="s">
        <v>90</v>
      </c>
      <c r="F26" s="1" t="s">
        <v>99</v>
      </c>
      <c r="G26" t="s">
        <v>99</v>
      </c>
    </row>
    <row r="27" spans="1:7" x14ac:dyDescent="0.35">
      <c r="A27" s="1"/>
      <c r="C27" t="s">
        <v>266</v>
      </c>
      <c r="F27" s="1" t="s">
        <v>267</v>
      </c>
      <c r="G27" t="s">
        <v>267</v>
      </c>
    </row>
    <row r="28" spans="1:7" x14ac:dyDescent="0.35">
      <c r="A28" s="1"/>
      <c r="D28" t="s">
        <v>268</v>
      </c>
      <c r="F28" s="1" t="s">
        <v>270</v>
      </c>
      <c r="G28" t="s">
        <v>290</v>
      </c>
    </row>
    <row r="29" spans="1:7" x14ac:dyDescent="0.35">
      <c r="A29" s="1"/>
      <c r="D29" t="s">
        <v>271</v>
      </c>
      <c r="F29" s="1" t="s">
        <v>269</v>
      </c>
      <c r="G29" t="s">
        <v>291</v>
      </c>
    </row>
    <row r="30" spans="1:7" x14ac:dyDescent="0.35">
      <c r="A30" s="1"/>
      <c r="D30" t="s">
        <v>272</v>
      </c>
      <c r="F30" s="1" t="s">
        <v>275</v>
      </c>
      <c r="G30" t="s">
        <v>292</v>
      </c>
    </row>
    <row r="31" spans="1:7" x14ac:dyDescent="0.35">
      <c r="A31" s="1"/>
      <c r="D31" t="s">
        <v>273</v>
      </c>
      <c r="F31" s="1" t="s">
        <v>276</v>
      </c>
      <c r="G31" t="s">
        <v>293</v>
      </c>
    </row>
    <row r="32" spans="1:7" x14ac:dyDescent="0.35">
      <c r="A32" s="1"/>
      <c r="D32" t="s">
        <v>274</v>
      </c>
      <c r="F32" s="1" t="s">
        <v>277</v>
      </c>
      <c r="G32" t="s">
        <v>294</v>
      </c>
    </row>
    <row r="33" spans="1:8" x14ac:dyDescent="0.35">
      <c r="A33" s="1"/>
      <c r="D33" t="s">
        <v>279</v>
      </c>
      <c r="F33" s="1" t="s">
        <v>278</v>
      </c>
      <c r="G33" t="s">
        <v>295</v>
      </c>
    </row>
    <row r="34" spans="1:8" x14ac:dyDescent="0.35">
      <c r="A34" s="1"/>
      <c r="C34" t="s">
        <v>301</v>
      </c>
      <c r="F34" s="1" t="s">
        <v>302</v>
      </c>
      <c r="G34" t="s">
        <v>302</v>
      </c>
    </row>
    <row r="35" spans="1:8" x14ac:dyDescent="0.35">
      <c r="A35" s="1"/>
      <c r="D35" t="s">
        <v>304</v>
      </c>
      <c r="F35" s="1" t="s">
        <v>305</v>
      </c>
      <c r="G35" t="s">
        <v>306</v>
      </c>
    </row>
    <row r="36" spans="1:8" x14ac:dyDescent="0.35">
      <c r="A36" s="1"/>
      <c r="D36" t="s">
        <v>93</v>
      </c>
      <c r="F36" s="1" t="s">
        <v>101</v>
      </c>
      <c r="G36" t="s">
        <v>307</v>
      </c>
    </row>
    <row r="37" spans="1:8" x14ac:dyDescent="0.35">
      <c r="A37" s="1"/>
      <c r="D37" t="s">
        <v>308</v>
      </c>
      <c r="F37" s="1" t="s">
        <v>309</v>
      </c>
      <c r="G37" t="s">
        <v>310</v>
      </c>
    </row>
    <row r="38" spans="1:8" x14ac:dyDescent="0.35">
      <c r="A38" s="1"/>
      <c r="D38" t="s">
        <v>311</v>
      </c>
      <c r="F38" s="1" t="s">
        <v>312</v>
      </c>
      <c r="G38" t="s">
        <v>313</v>
      </c>
    </row>
    <row r="39" spans="1:8" x14ac:dyDescent="0.35">
      <c r="A39" s="1"/>
      <c r="D39" t="s">
        <v>315</v>
      </c>
      <c r="F39" s="1" t="s">
        <v>316</v>
      </c>
      <c r="G39" t="s">
        <v>317</v>
      </c>
    </row>
    <row r="40" spans="1:8" x14ac:dyDescent="0.35">
      <c r="A40" s="1"/>
      <c r="C40" t="s">
        <v>314</v>
      </c>
      <c r="F40" s="1" t="s">
        <v>296</v>
      </c>
      <c r="G40" t="s">
        <v>296</v>
      </c>
    </row>
    <row r="41" spans="1:8" x14ac:dyDescent="0.3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5">
      <c r="A42" s="1"/>
      <c r="C42" t="s">
        <v>320</v>
      </c>
      <c r="F42" s="1" t="s">
        <v>333</v>
      </c>
      <c r="G42" t="s">
        <v>333</v>
      </c>
    </row>
    <row r="43" spans="1:8" x14ac:dyDescent="0.35">
      <c r="A43" s="1"/>
      <c r="D43" t="s">
        <v>321</v>
      </c>
      <c r="F43" s="1" t="s">
        <v>327</v>
      </c>
      <c r="G43" t="s">
        <v>334</v>
      </c>
    </row>
    <row r="44" spans="1:8" x14ac:dyDescent="0.35">
      <c r="A44" s="1"/>
      <c r="D44" t="s">
        <v>323</v>
      </c>
      <c r="F44" s="1" t="s">
        <v>328</v>
      </c>
      <c r="G44" t="s">
        <v>335</v>
      </c>
    </row>
    <row r="45" spans="1:8" x14ac:dyDescent="0.35">
      <c r="A45" s="1"/>
      <c r="D45" t="s">
        <v>322</v>
      </c>
      <c r="F45" s="1" t="s">
        <v>329</v>
      </c>
      <c r="G45" t="s">
        <v>336</v>
      </c>
    </row>
    <row r="46" spans="1:8" x14ac:dyDescent="0.35">
      <c r="A46" s="1"/>
      <c r="D46" t="s">
        <v>325</v>
      </c>
      <c r="F46" s="1" t="s">
        <v>330</v>
      </c>
      <c r="G46" t="s">
        <v>337</v>
      </c>
    </row>
    <row r="47" spans="1:8" x14ac:dyDescent="0.35">
      <c r="A47" s="1"/>
      <c r="D47" t="s">
        <v>343</v>
      </c>
      <c r="F47" s="1" t="s">
        <v>344</v>
      </c>
      <c r="G47" t="s">
        <v>345</v>
      </c>
    </row>
    <row r="48" spans="1:8" x14ac:dyDescent="0.35">
      <c r="A48" s="1"/>
      <c r="D48" t="s">
        <v>326</v>
      </c>
      <c r="F48" s="1" t="s">
        <v>331</v>
      </c>
      <c r="G48" t="s">
        <v>338</v>
      </c>
    </row>
    <row r="49" spans="1:7" x14ac:dyDescent="0.35">
      <c r="A49" s="1"/>
      <c r="D49" t="s">
        <v>324</v>
      </c>
      <c r="F49" s="1" t="s">
        <v>332</v>
      </c>
      <c r="G49" t="s">
        <v>339</v>
      </c>
    </row>
    <row r="50" spans="1:7" x14ac:dyDescent="0.35">
      <c r="A50" s="1"/>
      <c r="D50" t="s">
        <v>340</v>
      </c>
      <c r="F50" s="1" t="s">
        <v>341</v>
      </c>
      <c r="G50" t="s">
        <v>342</v>
      </c>
    </row>
    <row r="51" spans="1:7" x14ac:dyDescent="0.35">
      <c r="A51" s="1"/>
    </row>
    <row r="52" spans="1:7" x14ac:dyDescent="0.35">
      <c r="A52" s="1"/>
      <c r="B52" t="s">
        <v>83</v>
      </c>
    </row>
    <row r="53" spans="1:7" x14ac:dyDescent="0.35">
      <c r="A53" s="1"/>
      <c r="B53" t="s">
        <v>80</v>
      </c>
    </row>
    <row r="54" spans="1:7" x14ac:dyDescent="0.35">
      <c r="A54" s="1"/>
      <c r="C54" s="17" t="s">
        <v>77</v>
      </c>
    </row>
    <row r="55" spans="1:7" x14ac:dyDescent="0.35">
      <c r="A55" s="1"/>
      <c r="C55" s="16" t="s">
        <v>78</v>
      </c>
    </row>
    <row r="56" spans="1:7" x14ac:dyDescent="0.35">
      <c r="A56" s="1"/>
      <c r="C56" s="16" t="s">
        <v>79</v>
      </c>
    </row>
    <row r="57" spans="1:7" x14ac:dyDescent="0.35">
      <c r="A57" s="1"/>
      <c r="B57" t="s">
        <v>103</v>
      </c>
      <c r="C57" s="16"/>
    </row>
    <row r="58" spans="1:7" x14ac:dyDescent="0.35">
      <c r="A58" s="1"/>
      <c r="C58" s="16" t="s">
        <v>104</v>
      </c>
    </row>
    <row r="59" spans="1:7" x14ac:dyDescent="0.35">
      <c r="A59" s="1"/>
      <c r="C59" s="16" t="s">
        <v>105</v>
      </c>
    </row>
    <row r="60" spans="1:7" x14ac:dyDescent="0.35">
      <c r="A60" s="1"/>
      <c r="C60" s="16" t="s">
        <v>106</v>
      </c>
    </row>
    <row r="61" spans="1:7" x14ac:dyDescent="0.35">
      <c r="A61" s="1"/>
      <c r="C61" s="16" t="s">
        <v>108</v>
      </c>
    </row>
    <row r="62" spans="1:7" x14ac:dyDescent="0.35">
      <c r="A62" s="1"/>
      <c r="C62" s="16" t="s">
        <v>110</v>
      </c>
    </row>
    <row r="63" spans="1:7" x14ac:dyDescent="0.35">
      <c r="A63" s="1"/>
      <c r="C63" s="16" t="s">
        <v>109</v>
      </c>
    </row>
    <row r="64" spans="1:7" x14ac:dyDescent="0.35">
      <c r="A64" s="1"/>
      <c r="C64" s="16" t="s">
        <v>107</v>
      </c>
    </row>
    <row r="65" spans="2:14" ht="21" customHeight="1" x14ac:dyDescent="0.35">
      <c r="B65" s="19" t="s">
        <v>75</v>
      </c>
    </row>
    <row r="66" spans="2:14" ht="21" customHeight="1" x14ac:dyDescent="0.35">
      <c r="B66" s="59" t="s">
        <v>227</v>
      </c>
    </row>
    <row r="67" spans="2:14" ht="15" thickBot="1" x14ac:dyDescent="0.4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4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Pages_Inventory_CKD_ContainerIntransit = "Pages.Inventory.CKD.ContainerIntransit";
		public const string Pages_Inventory_CKD_ContainerIntransit_CreateEdit = "Pages.Inventory.CKD.ContainerIntransit.CreateEdit";
		public const string Pages_Inventory_CKD_ContainerIntransit_Delete = "Pages.Inventory.CKD.ContainerIntransit.Delete";
</v>
      </c>
      <c r="E68" s="48" t="str">
        <f>A.Backend!N7</f>
        <v xml:space="preserve">		var perInvCkdContainerIntransit = PARENTS.CreateChildPermission(AppPermissions.Pages_Inventory_CKD_ContainerIntransit, L( "InventoryCKDContainerIntransit"), multiTenancySides: MultiTenancySides.Tenant);
		perInvCkdContainerIntransit.CreateChildPermission(AppPermissions.Pages_Inventory_CKD_ContainerIntransit_CreateEdit, L( "InventoryCKDContainerIntransitCreateEdit"), multiTenancySides: MultiTenancySides.Tenant);
		perInvCkdContainerIntransit.CreateChildPermission(AppPermissions.Pages_Inventory_CKD_ContainerIntransit_Delete, L( "InventoryCKDContainerIntransitDelete"), multiTenancySides: MultiTenancySides.Tenant);</v>
      </c>
      <c r="F68" s="48" t="str">
        <f>A.Backend!K7</f>
        <v>public virtual DbSet&lt;InvCkdContainerIntransit&gt; InvCkdContainerIntransits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IInvCkdContainerIntransitAppService : IApplicationService
	{
		Task&lt;PagedResultDto&lt;InvCkdContainerIntransitDto&gt;&gt; GetAll(GetInvCkdContainerIntransitInput input);
		Task CreateOrEdit(CreateOrEditInvCkdContainerIntransitDto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IInvCkdContainerIntransitExcelExporter : IApplicationService
	{
		FileDto ExportToFile(List&lt;InvCkdContainerIntransitDto&gt; invckdcontainerintransit);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configuration.CreateMap&lt;InvCkdContainerIntransitDto, InvCkdContainerIntransit&gt;();
  configuration.CreateMap&lt;InvCkdContainerIntransit, InvCkdContainerIntransitDto&gt;();
  configuration.CreateMap&lt;CreateOrEditInvCkdContainerIntransitDto, InvCkdContainerIntransit&gt;();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70</v>
      </c>
    </row>
    <row r="73" spans="2:14" ht="21" x14ac:dyDescent="0.5">
      <c r="B73" t="str">
        <f>B.Frontend!B8</f>
        <v>containerintransit</v>
      </c>
      <c r="C73" s="66" t="str">
        <f>"create folder " &amp;B73</f>
        <v>create folder containerintransit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5">
      <c r="B74" s="56" t="s">
        <v>225</v>
      </c>
      <c r="C74" s="28" t="str">
        <f>B.Frontend!H14</f>
        <v>containerintransit.component.ts</v>
      </c>
      <c r="D74" s="28" t="str">
        <f>B.Frontend!I14</f>
        <v>containerintransit.component.html</v>
      </c>
      <c r="E74" s="28" t="str">
        <f>B.Frontend!J14</f>
        <v>containerintransit.component.less</v>
      </c>
      <c r="F74" s="28" t="str">
        <f>B.Frontend!K14</f>
        <v>create-or-edit-containerintransit-modal.component.html</v>
      </c>
      <c r="G74" s="28" t="str">
        <f>B.Frontend!L14</f>
        <v>create-or-edit-containerintransit-modal.component.ts</v>
      </c>
      <c r="H74" s="28" t="str">
        <f>B.Frontend!M14</f>
        <v>create-or-edit-containerintransit-modal.component.less</v>
      </c>
      <c r="I74" s="28" t="str">
        <f>B.Frontend!N14</f>
        <v>containerintransit.module.ts</v>
      </c>
      <c r="J74" s="28" t="str">
        <f>B.Frontend!O14</f>
        <v>containerintransit-routing.module.ts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5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ContainerIntransitRoutingModule } from './containerintransit-routing.module';
import { ContainerIntransitComponent } from './containerintransit.component';
import { CreateOrEditContainerIntransitModalComponent } from './create-or-edit-containerintransit-modal.component';
@NgModule({
    declarations: [
       ContainerIntransitComponent, 
        CreateOrEditContainerIntransitModalComponent
    ],
    imports: [
        AppSharedModule, ContainerIntransitRoutingModule]
})
export class ContainerIntransitModule {}</v>
      </c>
      <c r="J75" s="46" t="str">
        <f>B.Frontend!O10</f>
        <v>import {NgModule} from '@angular/core';
import {RouterModule, Routes} from '@angular/router';
import { ContainerIntransitComponent } from './containerintransit.component';
const routes: Routes = [{
    path: '',
    component: ContainerIntransitComponent,
    pathMatch: 'full'
}];
@NgModule({
    imports: [RouterModule.forChild(routes)],
    exports: [RouterModule],
})
export class ContainerIntransitRoutingModule {}</v>
      </c>
      <c r="K75" s="46" t="str">
        <f>B.Frontend!P10</f>
        <v xml:space="preserve"> new AppMenuItem("ContainerIntransit", "Pages.Inventory.CKD.ContainerIntransit", "flaticon-book",   "/app/main/inventory/ckd/containerintransit"),</v>
      </c>
      <c r="L75" s="47" t="str">
        <f>B.Frontend!Q10</f>
        <v>{
    path: 'inventory/ckd/containerintransit',
    loadChildren: () =&gt; import('./inventory/ckd/containerintransit/containerintransit.module').then(m =&gt; m.ContainerIntransitModule),
    data: { permission: 'Pages.Inventory.CKD.ContainerIntransit' }
},</v>
      </c>
      <c r="M75" s="45" t="str">
        <f>B.Frontend!R10</f>
        <v>ApiServiceProxies.InvCkdContainerIntransitServiceProxy,</v>
      </c>
    </row>
    <row r="77" spans="2:14" x14ac:dyDescent="0.3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0"/>
  <sheetViews>
    <sheetView tabSelected="1" workbookViewId="0">
      <pane xSplit="1" topLeftCell="B1" activePane="topRight" state="frozen"/>
      <selection pane="topRight" activeCell="C17" sqref="C17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5">
      <c r="A3" s="1" t="s">
        <v>5</v>
      </c>
      <c r="B3" s="27" t="s">
        <v>380</v>
      </c>
      <c r="C3" s="9" t="s">
        <v>41</v>
      </c>
      <c r="D3" s="9" t="s">
        <v>42</v>
      </c>
      <c r="E3" s="9" t="s">
        <v>37</v>
      </c>
      <c r="F3" s="10" t="str">
        <f>"J"&amp;COUNTA($A:$A)</f>
        <v>J38</v>
      </c>
      <c r="G3" s="4" t="s">
        <v>54</v>
      </c>
      <c r="H3" s="9" t="str">
        <f>"I"&amp;COUNTA($A:$A)</f>
        <v>I38</v>
      </c>
      <c r="I3" s="9" t="str">
        <f>REPT(CHAR(9),2)&amp;"[Required]"&amp;"
"</f>
        <v xml:space="preserve">		[Required]
</v>
      </c>
      <c r="J3" s="10" t="str">
        <f>"L"&amp;COUNTA($A:$A)</f>
        <v>L38</v>
      </c>
      <c r="K3" s="5" t="s">
        <v>53</v>
      </c>
      <c r="L3" s="10" t="str">
        <f>"M"&amp;COUNTA($A:$A)</f>
        <v>M38</v>
      </c>
      <c r="M3" s="10" t="str">
        <f>"N"&amp;COUNTA($A:$A)</f>
        <v>N38</v>
      </c>
      <c r="N3" s="10" t="str">
        <f>"O"&amp;COUNTA($A:$A)</f>
        <v>O38</v>
      </c>
      <c r="O3" s="10" t="str">
        <f>"P"&amp;COUNTA($A:$A)</f>
        <v>P38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InvCkdContainerIntransitExportInput{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T38</v>
      </c>
      <c r="V3" s="10" t="str">
        <f>"V"&amp;COUNTA($A:$A)</f>
        <v>V38</v>
      </c>
      <c r="W3" s="9" t="str">
        <f>"W"&amp;COUNTA($A:$A)</f>
        <v>W38</v>
      </c>
    </row>
    <row r="4" spans="1:23" s="10" customFormat="1" ht="33" customHeight="1" x14ac:dyDescent="0.3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234</v>
      </c>
      <c r="B5" s="65" t="s">
        <v>381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InvCkdContainerIntransit: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InvCkdContainerIntransitConsts	
	{
</v>
      </c>
      <c r="F6" s="10" t="str">
        <f>REPT(CHAR(9),1)&amp;"public class "&amp;B3&amp;"Dto"&amp;K3&amp;REPT(CHAR(9),1)&amp;"
"&amp;REPT(CHAR(9),1)&amp;C3</f>
        <v xml:space="preserve">	public class InvCkdContainerIntransitDto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CreateOrEditInvCkdContainerIntransitDto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GetInvCkdContainerIntransitInput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" customHeight="1" x14ac:dyDescent="0.35">
      <c r="A7" s="1" t="s">
        <v>13</v>
      </c>
      <c r="B7" s="9" t="str">
        <f>B3</f>
        <v>InvCkdContainerIntransit</v>
      </c>
      <c r="C7" s="10" t="str">
        <f>REPT(CHAR(9),1)&amp;"[Table("""&amp;B7&amp;""")]"&amp;"
"</f>
        <v xml:space="preserve">	[Table("InvCkdContainerIntransit")]
</v>
      </c>
      <c r="D7" s="10"/>
      <c r="E7" s="10"/>
      <c r="F7" s="10"/>
      <c r="G7" s="10"/>
      <c r="H7" s="10"/>
      <c r="I7" s="10"/>
      <c r="J7" t="e">
        <f ca="1">SUBSTITUTE(SUBSTITUTE((B1&amp;C6&amp;C7&amp;K40&amp;D6&amp;I40&amp;E3&amp;J40&amp;""&amp;REPT(CHAR(9),1)&amp;D3&amp;D3),"WorkingPattern",$Q$3),"Master",$B$4)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DbSet&lt;InvCkdContainerIntransit&gt; InvCkdContainerIntransits { get; set; }</v>
      </c>
      <c r="L7" t="e">
        <f ca="1">SUBSTITUTE(SUBSTITUTE((C6&amp;E6&amp;I40&amp;"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"&amp;B6&amp;".Dto"&amp;E3&amp;C3&amp;F6&amp;M40&amp;E3&amp;REPT(CHAR(9),1)&amp;D3&amp;G6&amp;N40&amp;REPT(CHAR(9),1)&amp;D3&amp;H6&amp;O40&amp;"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perInvCkdContainerIntransit = PARENTS.CreateChildPermission(AppPermissions.Pages_Inventory_CKD_ContainerIntransit, L( "InventoryCKDContainerIntransit"), multiTenancySides: MultiTenancySides.Tenant);
		perInvCkdContainerIntransit.CreateChildPermission(AppPermissions.Pages_Inventory_CKD_ContainerIntransit_CreateEdit, L( "InventoryCKDContainerIntransitCreateEdit"), multiTenancySides: MultiTenancySides.Tenant);
		perInvCkdContainerIntransit.CreateChildPermission(AppPermissions.Pages_Inventory_CKD_ContainerIntransit_Delete, L( "InventoryCKDContainerIntransitDelete"),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Pages_Inventory_CKD_ContainerIntransit = "Pages.Inventory.CKD.ContainerIntransit";
		public const string Pages_Inventory_CKD_ContainerIntransit_CreateEdit = "Pages.Inventory.CKD.ContainerIntransit.CreateEdit";
		public const string Pages_Inventory_CKD_ContainerIntransit_Delete = "Pages.Inventory.CKD.ContainerIntransit.Delete";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IInvCkdContainerIntransitAppService : IApplicationService
	{
		Task&lt;PagedResultDto&lt;InvCkdContainerIntransitDto&gt;&gt; GetAll(GetInvCkdContainerIntransitInput input);
		Task CreateOrEdit(CreateOrEditInvCkdContainerIntransitDto input);
		Task Delete(EntityDto input);
	}
}
</v>
      </c>
      <c r="Q7" t="e">
        <f ca="1">SUBSTITUTE(SUBSTITUTE(SUBSTITUTE(SUBSTITUTE(SUBSTITUTE(SUBSTITUTE(E1,"MstWptCalendar",$B$3),"&lt;PROPERTIES&gt;",P40),"Calendar",$B$5),"WorkingPattern",$Q$3),"Master",$B$4),"&lt;PARAMS_SEARCH&gt;",$W$40)</f>
        <v>#NAME?</v>
      </c>
      <c r="R7" t="e">
        <f ca="1">SUBSTITUTE(SUBSTITUTE((C1&amp;"namespace "&amp;B6&amp;".Dto"&amp;E3&amp;C3&amp;R3&amp;M40&amp;E3&amp;REPT(CHAR(9),1)&amp;D3&amp;D3),"WorkingPattern",$Q$3),"Master",$B$4)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IInvCkdContainerIntransitExcelExporter : IApplicationService
	{
		FileDto ExportToFile(List&lt;InvCkdContainerIntransitDto&gt; invckdcontainerintransit);
	}
}
</v>
      </c>
      <c r="T7" s="26" t="e">
        <f ca="1">SUBSTITUTE(SUBSTITUTE(SUBSTITUTE(SUBSTITUTE(SUBSTITUTE(SUBSTITUTE(SUBSTITUTE(T1,"MstWptCalendar",$B$3),"&lt;PROPERTIES1&gt;",V40),"&lt;PROPERTIES&gt;",T40),"Calendar",$B$5),"calendar",LOWER(B5)),"WorkingPattern",$Q$3),"Master",$B$4)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configuration.CreateMap&lt;InvCkdContainerIntransitDto, InvCkdContainerIntransit&gt;();
  configuration.CreateMap&lt;InvCkdContainerIntransit, InvCkdContainerIntransitDto&gt;();
  configuration.CreateMap&lt;CreateOrEditInvCkdContainerIntransitDto, InvCkdContainerIntransit&gt;();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5">
      <c r="A9" t="s">
        <v>366</v>
      </c>
      <c r="B9" t="s">
        <v>367</v>
      </c>
      <c r="C9" t="s">
        <v>1</v>
      </c>
      <c r="D9" t="str">
        <f t="shared" ref="D9" si="0">SUBSTITUTE(PROPER(A9),"_","")</f>
        <v>ContainerNo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MaxContainerNoLength = 15;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[StringLength(InvCkdContainerIntransitConsts.MaxContainerNoLength)]
		public virtual string ContainerNo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" si="9">REPT(CHAR(9),7)&amp;D9&amp;" = o." &amp;D9 &amp;","</f>
        <v xml:space="preserve">							ContainerNo = o.ContainerNo,</v>
      </c>
      <c r="T9" s="63" t="str">
        <f t="shared" ref="T9" si="10">REPT(CHAR(9),8)&amp;"("""&amp;D9&amp;"""),"</f>
        <v xml:space="preserve">								("ContainerNo"),</v>
      </c>
      <c r="V9" s="64" t="str">
        <f t="shared" ref="V9" si="11">REPT(CHAR(9),8)&amp;"_ =&gt; _."&amp;D9&amp;","</f>
        <v xml:space="preserve">								_ =&gt; _.ContainerNo,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18.75" customHeight="1" x14ac:dyDescent="0.35">
      <c r="A10" t="s">
        <v>382</v>
      </c>
      <c r="B10" t="s">
        <v>383</v>
      </c>
      <c r="C10" t="s">
        <v>1</v>
      </c>
      <c r="D10" t="str">
        <f t="shared" ref="D10:D11" si="13">SUBSTITUTE(PROPER(A10),"_","")</f>
        <v>Renban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6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MaxRenbanLength = 6;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[StringLength(MaxRenbanLength)]
		public virtual string Renban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[StringLength(InvCkdContainerIntransitConsts.MaxRenbanLength)]
		public virtual string Renban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ref="P10:P11" si="22">REPT(CHAR(9),7)&amp;D10&amp;" = o." &amp;D10 &amp;","</f>
        <v xml:space="preserve">							Renban = o.Renban,</v>
      </c>
      <c r="T10" s="63" t="str">
        <f t="shared" ref="T10:T11" si="23">REPT(CHAR(9),8)&amp;"("""&amp;D10&amp;"""),"</f>
        <v xml:space="preserve">								("Renban"),</v>
      </c>
      <c r="V10" s="64" t="str">
        <f t="shared" ref="V10:V11" si="24">REPT(CHAR(9),8)&amp;"_ =&gt; _."&amp;D10&amp;","</f>
        <v xml:space="preserve">								_ =&gt; _.Renban,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35">
      <c r="A11" t="s">
        <v>355</v>
      </c>
      <c r="B11" t="s">
        <v>365</v>
      </c>
      <c r="C11" t="s">
        <v>1</v>
      </c>
      <c r="D11" t="str">
        <f t="shared" si="13"/>
        <v>SupplierNo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MaxSupplierNoLength = 10;
</v>
      </c>
      <c r="J11" t="str">
        <f t="shared" si="17"/>
        <v xml:space="preserve">		[StringLength(MaxSupplierNoLength)]
		public virtual string SupplierNo { get; set; }
</v>
      </c>
      <c r="K11" s="6"/>
      <c r="L11" t="str">
        <f t="shared" si="18"/>
        <v/>
      </c>
      <c r="M11" t="str">
        <f t="shared" si="19"/>
        <v xml:space="preserve">		public virtual string SupplierNo { get; set; }
</v>
      </c>
      <c r="N11" t="str">
        <f t="shared" si="20"/>
        <v xml:space="preserve">		[StringLength(InvCkdContainerIntransitConsts.MaxSupplierNoLength)]
		public virtual string SupplierNo { get; set; }
</v>
      </c>
      <c r="O11" t="str">
        <f t="shared" si="21"/>
        <v xml:space="preserve">		public virtual string SupplierNo { get; set; }
</v>
      </c>
      <c r="P11" t="str">
        <f t="shared" si="22"/>
        <v xml:space="preserve">							SupplierNo = o.SupplierNo,</v>
      </c>
      <c r="T11" s="63" t="str">
        <f t="shared" si="23"/>
        <v xml:space="preserve">								("SupplierNo"),</v>
      </c>
      <c r="V11" s="64" t="str">
        <f t="shared" si="24"/>
        <v xml:space="preserve">								_ =&gt; _.SupplierNo,</v>
      </c>
      <c r="W11" s="63" t="str">
        <f t="shared" si="25"/>
        <v xml:space="preserve">				.WhereIf(!string.IsNullOrWhiteSpace(input.SupplierNo), e =&gt; e.SupplierNo.Contains(input.SupplierNo))</v>
      </c>
    </row>
    <row r="12" spans="1:23" customFormat="1" ht="18.75" customHeight="1" x14ac:dyDescent="0.35">
      <c r="A12" t="s">
        <v>384</v>
      </c>
      <c r="B12" t="s">
        <v>372</v>
      </c>
      <c r="C12" t="s">
        <v>1</v>
      </c>
      <c r="D12" t="str">
        <f t="shared" ref="D12:D15" si="26">SUBSTITUTE(PROPER(A12),"_","")</f>
        <v>ShippingDate</v>
      </c>
      <c r="E12" t="str">
        <f t="shared" ref="E12:E15" si="27">IFERROR(LEFT(B12, FIND("(",B12)-1),B12)</f>
        <v>DATE</v>
      </c>
      <c r="F12" s="6"/>
      <c r="G12" t="str">
        <f t="shared" ref="G12:G15" si="28">IFERROR(MID(B12,FIND("(",B12) +1, FIND(")",B12) - FIND("(",B12) - 1),"")</f>
        <v/>
      </c>
      <c r="H12" t="str">
        <f>+VLOOKUP(E12,'Data Type Mapping'!A:B,2,)</f>
        <v>DateTime?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DateTime? ShippingDate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DateTime? ShippingDate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ShippingDate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ShippingDate = o.ShippingDate,</v>
      </c>
      <c r="T12" s="63" t="str">
        <f t="shared" ref="T12:T15" si="36">REPT(CHAR(9),8)&amp;"("""&amp;D12&amp;"""),"</f>
        <v xml:space="preserve">								("ShippingDate"),</v>
      </c>
      <c r="V12" s="64" t="str">
        <f t="shared" ref="V12:V15" si="37">REPT(CHAR(9),8)&amp;"_ =&gt; _."&amp;D12&amp;","</f>
        <v xml:space="preserve">								_ =&gt; _.ShippingDate,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5">
      <c r="A13" t="s">
        <v>385</v>
      </c>
      <c r="B13" t="s">
        <v>372</v>
      </c>
      <c r="C13" t="s">
        <v>1</v>
      </c>
      <c r="D13" t="str">
        <f t="shared" si="26"/>
        <v>PortDate</v>
      </c>
      <c r="E13" t="str">
        <f t="shared" si="27"/>
        <v>DATE</v>
      </c>
      <c r="F13" s="6"/>
      <c r="G13" t="str">
        <f t="shared" si="28"/>
        <v/>
      </c>
      <c r="H13" t="str">
        <f>+VLOOKUP(E13,'Data Type Mapping'!A:B,2,)</f>
        <v>DateTime?</v>
      </c>
      <c r="I13" t="str">
        <f t="shared" si="29"/>
        <v/>
      </c>
      <c r="J13" t="str">
        <f t="shared" si="30"/>
        <v xml:space="preserve">		public virtual DateTime? PortDate { get; set; }
</v>
      </c>
      <c r="K13" s="6"/>
      <c r="L13" t="str">
        <f t="shared" si="31"/>
        <v/>
      </c>
      <c r="M13" t="str">
        <f t="shared" si="32"/>
        <v xml:space="preserve">		public virtual DateTime? PortDate { get; set; }
</v>
      </c>
      <c r="N13" t="str">
        <f t="shared" si="33"/>
        <v xml:space="preserve">		public virtual DateTime? PortDate { get; set; }
</v>
      </c>
      <c r="O13" t="str">
        <f t="shared" si="34"/>
        <v/>
      </c>
      <c r="P13" t="str">
        <f t="shared" si="35"/>
        <v xml:space="preserve">							PortDate = o.PortDate,</v>
      </c>
      <c r="T13" s="63" t="str">
        <f t="shared" si="36"/>
        <v xml:space="preserve">								("PortDate"),</v>
      </c>
      <c r="V13" s="64" t="str">
        <f t="shared" si="37"/>
        <v xml:space="preserve">								_ =&gt; _.PortDate,</v>
      </c>
      <c r="W13" s="63" t="str">
        <f t="shared" si="38"/>
        <v/>
      </c>
    </row>
    <row r="14" spans="1:23" customFormat="1" ht="18.75" customHeight="1" x14ac:dyDescent="0.35">
      <c r="A14" t="s">
        <v>386</v>
      </c>
      <c r="B14" t="s">
        <v>372</v>
      </c>
      <c r="C14" t="s">
        <v>1</v>
      </c>
      <c r="D14" t="str">
        <f t="shared" si="26"/>
        <v>TransDate</v>
      </c>
      <c r="E14" t="str">
        <f t="shared" si="27"/>
        <v>DATE</v>
      </c>
      <c r="F14" s="6"/>
      <c r="G14" t="str">
        <f t="shared" si="28"/>
        <v/>
      </c>
      <c r="H14" t="str">
        <f>+VLOOKUP(E14,'Data Type Mapping'!A:B,2,)</f>
        <v>DateTime?</v>
      </c>
      <c r="I14" t="str">
        <f t="shared" si="29"/>
        <v/>
      </c>
      <c r="J14" t="str">
        <f t="shared" si="30"/>
        <v xml:space="preserve">		public virtual DateTime? TransDate { get; set; }
</v>
      </c>
      <c r="K14" s="6"/>
      <c r="L14" t="str">
        <f t="shared" si="31"/>
        <v/>
      </c>
      <c r="M14" t="str">
        <f t="shared" si="32"/>
        <v xml:space="preserve">		public virtual DateTime? TransDate { get; set; }
</v>
      </c>
      <c r="N14" t="str">
        <f t="shared" si="33"/>
        <v xml:space="preserve">		public virtual DateTime? TransDate { get; set; }
</v>
      </c>
      <c r="O14" t="str">
        <f t="shared" si="34"/>
        <v/>
      </c>
      <c r="P14" t="str">
        <f t="shared" si="35"/>
        <v xml:space="preserve">							TransDate = o.TransDate,</v>
      </c>
      <c r="T14" s="63" t="str">
        <f t="shared" si="36"/>
        <v xml:space="preserve">								("TransDate"),</v>
      </c>
      <c r="V14" s="64" t="str">
        <f t="shared" si="37"/>
        <v xml:space="preserve">								_ =&gt; _.TransDate,</v>
      </c>
      <c r="W14" s="63" t="str">
        <f t="shared" si="38"/>
        <v/>
      </c>
    </row>
    <row r="15" spans="1:23" customFormat="1" ht="18.75" customHeight="1" x14ac:dyDescent="0.35">
      <c r="A15" t="s">
        <v>387</v>
      </c>
      <c r="B15" t="s">
        <v>388</v>
      </c>
      <c r="C15" t="s">
        <v>1</v>
      </c>
      <c r="D15" t="str">
        <f t="shared" si="26"/>
        <v>TmvDate</v>
      </c>
      <c r="E15" t="str">
        <f t="shared" si="27"/>
        <v>DATETIME2</v>
      </c>
      <c r="F15" s="6"/>
      <c r="G15" t="str">
        <f t="shared" si="28"/>
        <v/>
      </c>
      <c r="H15" t="str">
        <f>+VLOOKUP(E15,'Data Type Mapping'!A:B,2,)</f>
        <v>DateTime?</v>
      </c>
      <c r="I15" t="str">
        <f t="shared" si="29"/>
        <v/>
      </c>
      <c r="J15" t="str">
        <f t="shared" si="30"/>
        <v xml:space="preserve">		public virtual DateTime? TmvDate { get; set; }
</v>
      </c>
      <c r="K15" s="6"/>
      <c r="L15" t="str">
        <f t="shared" si="31"/>
        <v/>
      </c>
      <c r="M15" t="str">
        <f t="shared" si="32"/>
        <v xml:space="preserve">		public virtual DateTime? TmvDate { get; set; }
</v>
      </c>
      <c r="N15" t="str">
        <f t="shared" si="33"/>
        <v xml:space="preserve">		public virtual DateTime? TmvDate { get; set; }
</v>
      </c>
      <c r="O15" t="str">
        <f t="shared" si="34"/>
        <v/>
      </c>
      <c r="P15" t="str">
        <f t="shared" si="35"/>
        <v xml:space="preserve">							TmvDate = o.TmvDate,</v>
      </c>
      <c r="T15" s="63" t="str">
        <f t="shared" si="36"/>
        <v xml:space="preserve">								("TmvDate"),</v>
      </c>
      <c r="V15" s="64" t="str">
        <f t="shared" si="37"/>
        <v xml:space="preserve">								_ =&gt; _.TmvDate,</v>
      </c>
      <c r="W15" s="63" t="str">
        <f t="shared" si="38"/>
        <v/>
      </c>
    </row>
    <row r="16" spans="1:23" customFormat="1" ht="18.75" customHeight="1" x14ac:dyDescent="0.35">
      <c r="A16" t="s">
        <v>354</v>
      </c>
      <c r="B16" t="s">
        <v>371</v>
      </c>
      <c r="C16" t="s">
        <v>1</v>
      </c>
      <c r="D16" t="str">
        <f t="shared" ref="D16:D23" si="39">SUBSTITUTE(PROPER(A16),"_","")</f>
        <v>Cif</v>
      </c>
      <c r="E16" t="str">
        <f t="shared" ref="E16:E23" si="40">IFERROR(LEFT(B16, FIND("(",B16)-1),B16)</f>
        <v>DECIMAL</v>
      </c>
      <c r="F16" s="6"/>
      <c r="G16" t="str">
        <f t="shared" ref="G16:G23" si="41">IFERROR(MID(B16,FIND("(",B16) +1, FIND(")",B16) - FIND("(",B16) - 1),"")</f>
        <v>18,4</v>
      </c>
      <c r="H16" t="str">
        <f>+VLOOKUP(E16,'Data Type Mapping'!A:B,2,)</f>
        <v>decimal?</v>
      </c>
      <c r="I16" t="str">
        <f t="shared" ref="I16:I23" si="42">IF(H16="string",REPT(CHAR(9),2)&amp;"public const int Max"&amp;D16&amp;"Length = "&amp;G16&amp;";"&amp;$E$3,"" )</f>
        <v/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decimal? Cif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decimal? Cif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decimal? Cif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48">REPT(CHAR(9),7)&amp;D16&amp;" = o." &amp;D16 &amp;","</f>
        <v xml:space="preserve">							Cif = o.Cif,</v>
      </c>
      <c r="T16" s="63" t="str">
        <f t="shared" ref="T16:T23" si="49">REPT(CHAR(9),8)&amp;"("""&amp;D16&amp;"""),"</f>
        <v xml:space="preserve">								("Cif"),</v>
      </c>
      <c r="V16" s="64" t="str">
        <f t="shared" ref="V16:V23" si="50">REPT(CHAR(9),8)&amp;"_ =&gt; _."&amp;D16&amp;","</f>
        <v xml:space="preserve">								_ =&gt; _.Cif,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35">
      <c r="A17" t="s">
        <v>369</v>
      </c>
      <c r="B17" t="s">
        <v>371</v>
      </c>
      <c r="C17" t="s">
        <v>1</v>
      </c>
      <c r="D17" t="str">
        <f t="shared" si="39"/>
        <v>Tax</v>
      </c>
      <c r="E17" t="str">
        <f t="shared" si="40"/>
        <v>DECIMAL</v>
      </c>
      <c r="F17" s="6"/>
      <c r="G17" t="str">
        <f t="shared" si="41"/>
        <v>18,4</v>
      </c>
      <c r="H17" t="str">
        <f>+VLOOKUP(E17,'Data Type Mapping'!A:B,2,)</f>
        <v>decimal?</v>
      </c>
      <c r="I17" t="str">
        <f t="shared" si="42"/>
        <v/>
      </c>
      <c r="J17" t="str">
        <f t="shared" si="43"/>
        <v xml:space="preserve">		public virtual decimal? Tax { get; set; }
</v>
      </c>
      <c r="K17" s="6"/>
      <c r="L17" t="str">
        <f t="shared" si="44"/>
        <v/>
      </c>
      <c r="M17" t="str">
        <f t="shared" si="45"/>
        <v xml:space="preserve">		public virtual decimal? Tax { get; set; }
</v>
      </c>
      <c r="N17" t="str">
        <f t="shared" si="46"/>
        <v xml:space="preserve">		public virtual decimal? Tax { get; set; }
</v>
      </c>
      <c r="O17" t="str">
        <f t="shared" si="47"/>
        <v/>
      </c>
      <c r="P17" t="str">
        <f t="shared" si="48"/>
        <v xml:space="preserve">							Tax = o.Tax,</v>
      </c>
      <c r="T17" s="63" t="str">
        <f t="shared" si="49"/>
        <v xml:space="preserve">								("Tax"),</v>
      </c>
      <c r="V17" s="64" t="str">
        <f t="shared" si="50"/>
        <v xml:space="preserve">								_ =&gt; _.Tax,</v>
      </c>
      <c r="W17" s="63" t="str">
        <f t="shared" si="51"/>
        <v/>
      </c>
    </row>
    <row r="18" spans="1:23" customFormat="1" ht="18.75" customHeight="1" x14ac:dyDescent="0.35">
      <c r="A18" t="s">
        <v>370</v>
      </c>
      <c r="B18" t="s">
        <v>371</v>
      </c>
      <c r="C18" t="s">
        <v>1</v>
      </c>
      <c r="D18" t="str">
        <f t="shared" si="39"/>
        <v>Inland</v>
      </c>
      <c r="E18" t="str">
        <f t="shared" si="40"/>
        <v>DECIMAL</v>
      </c>
      <c r="F18" s="6"/>
      <c r="G18" t="str">
        <f t="shared" si="41"/>
        <v>18,4</v>
      </c>
      <c r="H18" t="str">
        <f>+VLOOKUP(E18,'Data Type Mapping'!A:B,2,)</f>
        <v>decimal?</v>
      </c>
      <c r="I18" t="str">
        <f t="shared" si="42"/>
        <v/>
      </c>
      <c r="J18" t="str">
        <f t="shared" si="43"/>
        <v xml:space="preserve">		public virtual decimal? Inland { get; set; }
</v>
      </c>
      <c r="K18" s="6"/>
      <c r="L18" t="str">
        <f t="shared" si="44"/>
        <v/>
      </c>
      <c r="M18" t="str">
        <f t="shared" si="45"/>
        <v xml:space="preserve">		public virtual decimal? Inland { get; set; }
</v>
      </c>
      <c r="N18" t="str">
        <f t="shared" si="46"/>
        <v xml:space="preserve">		public virtual decimal? Inland { get; set; }
</v>
      </c>
      <c r="O18" t="str">
        <f t="shared" si="47"/>
        <v/>
      </c>
      <c r="P18" t="str">
        <f t="shared" si="48"/>
        <v xml:space="preserve">							Inland = o.Inland,</v>
      </c>
      <c r="T18" s="63" t="str">
        <f t="shared" si="49"/>
        <v xml:space="preserve">								("Inland"),</v>
      </c>
      <c r="V18" s="64" t="str">
        <f t="shared" si="50"/>
        <v xml:space="preserve">								_ =&gt; _.Inland,</v>
      </c>
      <c r="W18" s="63" t="str">
        <f t="shared" si="51"/>
        <v/>
      </c>
    </row>
    <row r="19" spans="1:23" customFormat="1" ht="18.75" customHeight="1" x14ac:dyDescent="0.35">
      <c r="A19" t="s">
        <v>368</v>
      </c>
      <c r="B19" t="s">
        <v>371</v>
      </c>
      <c r="C19" t="s">
        <v>1</v>
      </c>
      <c r="D19" t="str">
        <f t="shared" si="39"/>
        <v>Thc</v>
      </c>
      <c r="E19" t="str">
        <f t="shared" si="40"/>
        <v>DECIMAL</v>
      </c>
      <c r="F19" s="6"/>
      <c r="G19" t="str">
        <f t="shared" si="41"/>
        <v>18,4</v>
      </c>
      <c r="H19" t="str">
        <f>+VLOOKUP(E19,'Data Type Mapping'!A:B,2,)</f>
        <v>decimal?</v>
      </c>
      <c r="I19" t="str">
        <f t="shared" si="42"/>
        <v/>
      </c>
      <c r="J19" t="str">
        <f t="shared" si="43"/>
        <v xml:space="preserve">		public virtual decimal? Thc { get; set; }
</v>
      </c>
      <c r="K19" s="6"/>
      <c r="L19" t="str">
        <f t="shared" si="44"/>
        <v/>
      </c>
      <c r="M19" t="str">
        <f t="shared" si="45"/>
        <v xml:space="preserve">		public virtual decimal? Thc { get; set; }
</v>
      </c>
      <c r="N19" t="str">
        <f t="shared" si="46"/>
        <v xml:space="preserve">		public virtual decimal? Thc { get; set; }
</v>
      </c>
      <c r="O19" t="str">
        <f t="shared" si="47"/>
        <v/>
      </c>
      <c r="P19" t="str">
        <f t="shared" si="48"/>
        <v xml:space="preserve">							Thc = o.Thc,</v>
      </c>
      <c r="T19" s="63" t="str">
        <f t="shared" si="49"/>
        <v xml:space="preserve">								("Thc"),</v>
      </c>
      <c r="V19" s="64" t="str">
        <f t="shared" si="50"/>
        <v xml:space="preserve">								_ =&gt; _.Thc,</v>
      </c>
      <c r="W19" s="63" t="str">
        <f t="shared" si="51"/>
        <v/>
      </c>
    </row>
    <row r="20" spans="1:23" customFormat="1" ht="18.75" customHeight="1" x14ac:dyDescent="0.35">
      <c r="A20" t="s">
        <v>351</v>
      </c>
      <c r="B20" t="s">
        <v>371</v>
      </c>
      <c r="C20" t="s">
        <v>1</v>
      </c>
      <c r="D20" t="str">
        <f t="shared" si="39"/>
        <v>Fob</v>
      </c>
      <c r="E20" t="str">
        <f t="shared" si="40"/>
        <v>DECIMAL</v>
      </c>
      <c r="F20" s="6"/>
      <c r="G20" t="str">
        <f t="shared" si="41"/>
        <v>18,4</v>
      </c>
      <c r="H20" t="str">
        <f>+VLOOKUP(E20,'Data Type Mapping'!A:B,2,)</f>
        <v>decimal?</v>
      </c>
      <c r="I20" t="str">
        <f t="shared" si="42"/>
        <v/>
      </c>
      <c r="J20" t="str">
        <f t="shared" si="43"/>
        <v xml:space="preserve">		public virtual decimal? Fob { get; set; }
</v>
      </c>
      <c r="K20" s="6"/>
      <c r="L20" t="str">
        <f t="shared" si="44"/>
        <v/>
      </c>
      <c r="M20" t="str">
        <f t="shared" si="45"/>
        <v xml:space="preserve">		public virtual decimal? Fob { get; set; }
</v>
      </c>
      <c r="N20" t="str">
        <f t="shared" si="46"/>
        <v xml:space="preserve">		public virtual decimal? Fob { get; set; }
</v>
      </c>
      <c r="O20" t="str">
        <f t="shared" si="47"/>
        <v/>
      </c>
      <c r="P20" t="str">
        <f t="shared" si="48"/>
        <v xml:space="preserve">							Fob = o.Fob,</v>
      </c>
      <c r="T20" s="63" t="str">
        <f t="shared" si="49"/>
        <v xml:space="preserve">								("Fob"),</v>
      </c>
      <c r="V20" s="64" t="str">
        <f t="shared" si="50"/>
        <v xml:space="preserve">								_ =&gt; _.Fob,</v>
      </c>
      <c r="W20" s="63" t="str">
        <f t="shared" si="51"/>
        <v/>
      </c>
    </row>
    <row r="21" spans="1:23" customFormat="1" ht="18.75" customHeight="1" x14ac:dyDescent="0.35">
      <c r="A21" t="s">
        <v>352</v>
      </c>
      <c r="B21" t="s">
        <v>371</v>
      </c>
      <c r="C21" t="s">
        <v>1</v>
      </c>
      <c r="D21" t="str">
        <f t="shared" si="39"/>
        <v>Freight</v>
      </c>
      <c r="E21" t="str">
        <f t="shared" si="40"/>
        <v>DECIMAL</v>
      </c>
      <c r="F21" s="6"/>
      <c r="G21" t="str">
        <f t="shared" si="41"/>
        <v>18,4</v>
      </c>
      <c r="H21" t="str">
        <f>+VLOOKUP(E21,'Data Type Mapping'!A:B,2,)</f>
        <v>decimal?</v>
      </c>
      <c r="I21" t="str">
        <f t="shared" si="42"/>
        <v/>
      </c>
      <c r="J21" t="str">
        <f t="shared" si="43"/>
        <v xml:space="preserve">		public virtual decimal? Freight { get; set; }
</v>
      </c>
      <c r="K21" s="6"/>
      <c r="L21" t="str">
        <f t="shared" si="44"/>
        <v/>
      </c>
      <c r="M21" t="str">
        <f t="shared" si="45"/>
        <v xml:space="preserve">		public virtual decimal? Freight { get; set; }
</v>
      </c>
      <c r="N21" t="str">
        <f t="shared" si="46"/>
        <v xml:space="preserve">		public virtual decimal? Freight { get; set; }
</v>
      </c>
      <c r="O21" t="str">
        <f t="shared" si="47"/>
        <v/>
      </c>
      <c r="P21" t="str">
        <f t="shared" si="48"/>
        <v xml:space="preserve">							Freight = o.Freight,</v>
      </c>
      <c r="T21" s="63" t="str">
        <f t="shared" si="49"/>
        <v xml:space="preserve">								("Freight"),</v>
      </c>
      <c r="V21" s="64" t="str">
        <f t="shared" si="50"/>
        <v xml:space="preserve">								_ =&gt; _.Freight,</v>
      </c>
      <c r="W21" s="63" t="str">
        <f t="shared" si="51"/>
        <v/>
      </c>
    </row>
    <row r="22" spans="1:23" customFormat="1" ht="18.75" customHeight="1" x14ac:dyDescent="0.35">
      <c r="A22" t="s">
        <v>353</v>
      </c>
      <c r="B22" t="s">
        <v>371</v>
      </c>
      <c r="C22" t="s">
        <v>1</v>
      </c>
      <c r="D22" t="str">
        <f t="shared" si="39"/>
        <v>Insurance</v>
      </c>
      <c r="E22" t="str">
        <f t="shared" si="40"/>
        <v>DECIMAL</v>
      </c>
      <c r="F22" s="6"/>
      <c r="G22" t="str">
        <f t="shared" si="41"/>
        <v>18,4</v>
      </c>
      <c r="H22" t="str">
        <f>+VLOOKUP(E22,'Data Type Mapping'!A:B,2,)</f>
        <v>decimal?</v>
      </c>
      <c r="I22" t="str">
        <f t="shared" si="42"/>
        <v/>
      </c>
      <c r="J22" t="str">
        <f t="shared" si="43"/>
        <v xml:space="preserve">		public virtual decimal? Insurance { get; set; }
</v>
      </c>
      <c r="K22" s="6"/>
      <c r="L22" t="str">
        <f t="shared" si="44"/>
        <v/>
      </c>
      <c r="M22" t="str">
        <f t="shared" si="45"/>
        <v xml:space="preserve">		public virtual decimal? Insurance { get; set; }
</v>
      </c>
      <c r="N22" t="str">
        <f t="shared" si="46"/>
        <v xml:space="preserve">		public virtual decimal? Insurance { get; set; }
</v>
      </c>
      <c r="O22" t="str">
        <f t="shared" si="47"/>
        <v/>
      </c>
      <c r="P22" t="str">
        <f t="shared" si="48"/>
        <v xml:space="preserve">							Insurance = o.Insurance,</v>
      </c>
      <c r="T22" s="63" t="str">
        <f t="shared" si="49"/>
        <v xml:space="preserve">								("Insurance"),</v>
      </c>
      <c r="V22" s="64" t="str">
        <f t="shared" si="50"/>
        <v xml:space="preserve">								_ =&gt; _.Insurance,</v>
      </c>
      <c r="W22" s="63" t="str">
        <f t="shared" si="51"/>
        <v/>
      </c>
    </row>
    <row r="23" spans="1:23" customFormat="1" ht="18.75" customHeight="1" x14ac:dyDescent="0.35">
      <c r="A23" t="s">
        <v>389</v>
      </c>
      <c r="B23" t="s">
        <v>371</v>
      </c>
      <c r="C23" t="s">
        <v>1</v>
      </c>
      <c r="D23" t="str">
        <f t="shared" si="39"/>
        <v>Amount</v>
      </c>
      <c r="E23" t="str">
        <f t="shared" si="40"/>
        <v>DECIMAL</v>
      </c>
      <c r="F23" s="6"/>
      <c r="G23" t="str">
        <f t="shared" si="41"/>
        <v>18,4</v>
      </c>
      <c r="H23" t="str">
        <f>+VLOOKUP(E23,'Data Type Mapping'!A:B,2,)</f>
        <v>decimal?</v>
      </c>
      <c r="I23" t="str">
        <f t="shared" si="42"/>
        <v/>
      </c>
      <c r="J23" t="str">
        <f t="shared" si="43"/>
        <v xml:space="preserve">		public virtual decimal? Amount { get; set; }
</v>
      </c>
      <c r="K23" s="6"/>
      <c r="L23" t="str">
        <f t="shared" si="44"/>
        <v/>
      </c>
      <c r="M23" t="str">
        <f t="shared" si="45"/>
        <v xml:space="preserve">		public virtual decimal? Amount { get; set; }
</v>
      </c>
      <c r="N23" t="str">
        <f t="shared" si="46"/>
        <v xml:space="preserve">		public virtual decimal? Amount { get; set; }
</v>
      </c>
      <c r="O23" t="str">
        <f t="shared" si="47"/>
        <v/>
      </c>
      <c r="P23" t="str">
        <f t="shared" si="48"/>
        <v xml:space="preserve">							Amount = o.Amount,</v>
      </c>
      <c r="T23" s="63" t="str">
        <f t="shared" si="49"/>
        <v xml:space="preserve">								("Amount"),</v>
      </c>
      <c r="V23" s="64" t="str">
        <f t="shared" si="50"/>
        <v xml:space="preserve">								_ =&gt; _.Amount,</v>
      </c>
      <c r="W23" s="63" t="str">
        <f t="shared" si="51"/>
        <v/>
      </c>
    </row>
    <row r="24" spans="1:23" customFormat="1" ht="18.75" customHeight="1" x14ac:dyDescent="0.35">
      <c r="A24" t="s">
        <v>350</v>
      </c>
      <c r="B24" t="s">
        <v>365</v>
      </c>
      <c r="C24" t="s">
        <v>1</v>
      </c>
      <c r="D24" t="str">
        <f t="shared" ref="D24:D38" si="52">SUBSTITUTE(PROPER(A24),"_","")</f>
        <v>Status</v>
      </c>
      <c r="E24" t="str">
        <f t="shared" ref="E24:E38" si="53">IFERROR(LEFT(B24, FIND("(",B24)-1),B24)</f>
        <v>VARCHAR</v>
      </c>
      <c r="F24" s="6"/>
      <c r="G24" t="str">
        <f t="shared" ref="G24:G38" si="54">IFERROR(MID(B24,FIND("(",B24) +1, FIND(")",B24) - FIND("(",B24) - 1),"")</f>
        <v>10</v>
      </c>
      <c r="H24" t="str">
        <f>+VLOOKUP(E24,'Data Type Mapping'!A:B,2,)</f>
        <v>string</v>
      </c>
      <c r="I24" t="str">
        <f t="shared" ref="I24:I38" si="55">IF(H24="string",REPT(CHAR(9),2)&amp;"public const int Max"&amp;D24&amp;"Length = "&amp;G24&amp;";"&amp;$E$3,"" )</f>
        <v xml:space="preserve">		public const int MaxStatusLength = 10;
</v>
      </c>
      <c r="J24" t="str">
        <f t="shared" ref="J24:J38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[StringLength(MaxStatusLength)]
		public virtual string Status { get; set; }
</v>
      </c>
      <c r="K24" s="6"/>
      <c r="L24" t="str">
        <f t="shared" ref="L24:L38" si="57">IF(K24="","",REPT(CHAR(9),1)&amp;"[Index(nameof("&amp;IF(D24="","",""&amp;D24)&amp;")"&amp;", Name="&amp;"""IX_"&amp;$B$7&amp;"_"&amp;D24&amp;""")]")</f>
        <v/>
      </c>
      <c r="M24" t="str">
        <f t="shared" ref="M24:M38" si="58">REPT(CHAR(9),2)&amp;"public virtual "&amp;IF(OR(H24="DateTime",H24="TimeSpan"),H24&amp;"?",H24)&amp;IF(C24="?","? "," ")&amp;D24&amp;" { get; set; }" &amp; "
"</f>
        <v xml:space="preserve">		public virtual string Status { get; set; }
</v>
      </c>
      <c r="N24" t="str">
        <f t="shared" ref="N24:N38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[StringLength(InvCkdContainerIntransitConsts.MaxStatusLength)]
		public virtual string Status { get; set; }
</v>
      </c>
      <c r="O24" t="str">
        <f t="shared" ref="O24:O38" si="60">IF(OR(H24="string",H24="DateTime",H24="int"),REPT(CHAR(9),2)&amp;"public virtual "&amp;IF(OR(H24="DateTime",H24="TimeSpan"),H24&amp;"?",H24)&amp;IF(C24="?","? "," ")&amp;D24&amp;" { get; set; }"&amp;$E$3,"")</f>
        <v xml:space="preserve">		public virtual string Status { get; set; }
</v>
      </c>
      <c r="P24" t="str">
        <f t="shared" ref="P24:P38" si="61">REPT(CHAR(9),7)&amp;D24&amp;" = o." &amp;D24 &amp;","</f>
        <v xml:space="preserve">							Status = o.Status,</v>
      </c>
      <c r="T24" s="63" t="str">
        <f t="shared" ref="T24:T38" si="62">REPT(CHAR(9),8)&amp;"("""&amp;D24&amp;"""),"</f>
        <v xml:space="preserve">								("Status"),</v>
      </c>
      <c r="V24" s="64" t="str">
        <f t="shared" ref="V24:V38" si="63">REPT(CHAR(9),8)&amp;"_ =&gt; _."&amp;D24&amp;","</f>
        <v xml:space="preserve">								_ =&gt; _.Status,</v>
      </c>
      <c r="W24" s="63" t="str">
        <f t="shared" ref="W24:W38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.WhereIf(!string.IsNullOrWhiteSpace(input.Status), e =&gt; e.Status.Contains(input.Status))</v>
      </c>
    </row>
    <row r="25" spans="1:23" customFormat="1" ht="18.75" customHeight="1" x14ac:dyDescent="0.35">
      <c r="A25" t="s">
        <v>378</v>
      </c>
      <c r="B25" t="s">
        <v>372</v>
      </c>
      <c r="C25" t="s">
        <v>1</v>
      </c>
      <c r="D25" t="str">
        <f t="shared" si="52"/>
        <v>PeriodDate</v>
      </c>
      <c r="E25" t="str">
        <f t="shared" si="53"/>
        <v>DATE</v>
      </c>
      <c r="F25" s="6"/>
      <c r="G25" t="str">
        <f t="shared" si="54"/>
        <v/>
      </c>
      <c r="H25" t="str">
        <f>+VLOOKUP(E25,'Data Type Mapping'!A:B,2,)</f>
        <v>DateTime?</v>
      </c>
      <c r="I25" t="str">
        <f t="shared" si="55"/>
        <v/>
      </c>
      <c r="J25" t="str">
        <f t="shared" si="56"/>
        <v xml:space="preserve">		public virtual DateTime? PeriodDate { get; set; }
</v>
      </c>
      <c r="K25" s="6"/>
      <c r="L25" t="str">
        <f t="shared" si="57"/>
        <v/>
      </c>
      <c r="M25" t="str">
        <f t="shared" si="58"/>
        <v xml:space="preserve">		public virtual DateTime? PeriodDate { get; set; }
</v>
      </c>
      <c r="N25" t="str">
        <f t="shared" si="59"/>
        <v xml:space="preserve">		public virtual DateTime? PeriodDate { get; set; }
</v>
      </c>
      <c r="O25" t="str">
        <f t="shared" si="60"/>
        <v/>
      </c>
      <c r="P25" t="str">
        <f t="shared" si="61"/>
        <v xml:space="preserve">							PeriodDate = o.PeriodDate,</v>
      </c>
      <c r="T25" s="63" t="str">
        <f t="shared" si="62"/>
        <v xml:space="preserve">								("PeriodDate"),</v>
      </c>
      <c r="V25" s="64" t="str">
        <f t="shared" si="63"/>
        <v xml:space="preserve">								_ =&gt; _.PeriodDate,</v>
      </c>
      <c r="W25" s="63" t="str">
        <f t="shared" si="64"/>
        <v/>
      </c>
    </row>
    <row r="26" spans="1:23" customFormat="1" ht="18.75" customHeight="1" x14ac:dyDescent="0.35">
      <c r="A26" t="s">
        <v>358</v>
      </c>
      <c r="B26" t="s">
        <v>0</v>
      </c>
      <c r="C26" t="s">
        <v>1</v>
      </c>
      <c r="D26" t="str">
        <f t="shared" si="52"/>
        <v>PeriodId</v>
      </c>
      <c r="E26" t="str">
        <f t="shared" si="53"/>
        <v>bigint</v>
      </c>
      <c r="F26" s="6"/>
      <c r="G26" t="str">
        <f t="shared" si="54"/>
        <v/>
      </c>
      <c r="H26" t="str">
        <f>+VLOOKUP(E26,'Data Type Mapping'!A:B,2,)</f>
        <v>long?</v>
      </c>
      <c r="I26" t="str">
        <f t="shared" si="55"/>
        <v/>
      </c>
      <c r="J26" t="str">
        <f t="shared" si="56"/>
        <v xml:space="preserve">		public virtual long? PeriodId { get; set; }
</v>
      </c>
      <c r="K26" s="6"/>
      <c r="L26" t="str">
        <f t="shared" si="57"/>
        <v/>
      </c>
      <c r="M26" t="str">
        <f t="shared" si="58"/>
        <v xml:space="preserve">		public virtual long? PeriodId { get; set; }
</v>
      </c>
      <c r="N26" t="str">
        <f t="shared" si="59"/>
        <v xml:space="preserve">		public virtual long? PeriodId { get; set; }
</v>
      </c>
      <c r="O26" t="str">
        <f t="shared" si="60"/>
        <v/>
      </c>
      <c r="P26" t="str">
        <f t="shared" si="61"/>
        <v xml:space="preserve">							PeriodId = o.PeriodId,</v>
      </c>
      <c r="T26" s="63" t="str">
        <f t="shared" si="62"/>
        <v xml:space="preserve">								("PeriodId"),</v>
      </c>
      <c r="V26" s="64" t="str">
        <f t="shared" si="63"/>
        <v xml:space="preserve">								_ =&gt; _.PeriodId,</v>
      </c>
      <c r="W26" s="63" t="str">
        <f t="shared" si="64"/>
        <v/>
      </c>
    </row>
    <row r="27" spans="1:23" customFormat="1" ht="18.75" customHeight="1" x14ac:dyDescent="0.35">
      <c r="A27" t="s">
        <v>357</v>
      </c>
      <c r="B27" t="s">
        <v>371</v>
      </c>
      <c r="C27" t="s">
        <v>1</v>
      </c>
      <c r="D27" t="str">
        <f t="shared" si="52"/>
        <v>CifVn</v>
      </c>
      <c r="E27" t="str">
        <f t="shared" si="53"/>
        <v>DECIMAL</v>
      </c>
      <c r="F27" s="6"/>
      <c r="G27" t="str">
        <f t="shared" si="54"/>
        <v>18,4</v>
      </c>
      <c r="H27" t="str">
        <f>+VLOOKUP(E27,'Data Type Mapping'!A:B,2,)</f>
        <v>decimal?</v>
      </c>
      <c r="I27" t="str">
        <f t="shared" si="55"/>
        <v/>
      </c>
      <c r="J27" t="str">
        <f t="shared" si="56"/>
        <v xml:space="preserve">		public virtual decimal? CifVn { get; set; }
</v>
      </c>
      <c r="K27" s="6"/>
      <c r="L27" t="str">
        <f t="shared" si="57"/>
        <v/>
      </c>
      <c r="M27" t="str">
        <f t="shared" si="58"/>
        <v xml:space="preserve">		public virtual decimal? CifVn { get; set; }
</v>
      </c>
      <c r="N27" t="str">
        <f t="shared" si="59"/>
        <v xml:space="preserve">		public virtual decimal? CifVn { get; set; }
</v>
      </c>
      <c r="O27" t="str">
        <f t="shared" si="60"/>
        <v/>
      </c>
      <c r="P27" t="str">
        <f t="shared" si="61"/>
        <v xml:space="preserve">							CifVn = o.CifVn,</v>
      </c>
      <c r="T27" s="63" t="str">
        <f t="shared" si="62"/>
        <v xml:space="preserve">								("CifVn"),</v>
      </c>
      <c r="V27" s="64" t="str">
        <f t="shared" si="63"/>
        <v xml:space="preserve">								_ =&gt; _.CifVn,</v>
      </c>
      <c r="W27" s="63" t="str">
        <f t="shared" si="64"/>
        <v/>
      </c>
    </row>
    <row r="28" spans="1:23" customFormat="1" ht="18.75" customHeight="1" x14ac:dyDescent="0.35">
      <c r="A28" t="s">
        <v>376</v>
      </c>
      <c r="B28" t="s">
        <v>371</v>
      </c>
      <c r="C28" t="s">
        <v>1</v>
      </c>
      <c r="D28" t="str">
        <f t="shared" si="52"/>
        <v>TaxVn</v>
      </c>
      <c r="E28" t="str">
        <f t="shared" si="53"/>
        <v>DECIMAL</v>
      </c>
      <c r="F28" s="6"/>
      <c r="G28" t="str">
        <f t="shared" si="54"/>
        <v>18,4</v>
      </c>
      <c r="H28" t="str">
        <f>+VLOOKUP(E28,'Data Type Mapping'!A:B,2,)</f>
        <v>decimal?</v>
      </c>
      <c r="I28" t="str">
        <f t="shared" si="55"/>
        <v/>
      </c>
      <c r="J28" t="str">
        <f t="shared" si="56"/>
        <v xml:space="preserve">		public virtual decimal? TaxVn { get; set; }
</v>
      </c>
      <c r="K28" s="6"/>
      <c r="L28" t="str">
        <f t="shared" si="57"/>
        <v/>
      </c>
      <c r="M28" t="str">
        <f t="shared" si="58"/>
        <v xml:space="preserve">		public virtual decimal? TaxVn { get; set; }
</v>
      </c>
      <c r="N28" t="str">
        <f t="shared" si="59"/>
        <v xml:space="preserve">		public virtual decimal? TaxVn { get; set; }
</v>
      </c>
      <c r="O28" t="str">
        <f t="shared" si="60"/>
        <v/>
      </c>
      <c r="P28" t="str">
        <f t="shared" si="61"/>
        <v xml:space="preserve">							TaxVn = o.TaxVn,</v>
      </c>
      <c r="T28" s="63" t="str">
        <f t="shared" si="62"/>
        <v xml:space="preserve">								("TaxVn"),</v>
      </c>
      <c r="V28" s="64" t="str">
        <f t="shared" si="63"/>
        <v xml:space="preserve">								_ =&gt; _.TaxVn,</v>
      </c>
      <c r="W28" s="63" t="str">
        <f t="shared" si="64"/>
        <v/>
      </c>
    </row>
    <row r="29" spans="1:23" customFormat="1" ht="18.75" customHeight="1" x14ac:dyDescent="0.35">
      <c r="A29" t="s">
        <v>377</v>
      </c>
      <c r="B29" t="s">
        <v>371</v>
      </c>
      <c r="C29" t="s">
        <v>1</v>
      </c>
      <c r="D29" t="str">
        <f t="shared" si="52"/>
        <v>InlandVn</v>
      </c>
      <c r="E29" t="str">
        <f t="shared" si="53"/>
        <v>DECIMAL</v>
      </c>
      <c r="F29" s="6"/>
      <c r="G29" t="str">
        <f t="shared" si="54"/>
        <v>18,4</v>
      </c>
      <c r="H29" t="str">
        <f>+VLOOKUP(E29,'Data Type Mapping'!A:B,2,)</f>
        <v>decimal?</v>
      </c>
      <c r="I29" t="str">
        <f t="shared" si="55"/>
        <v/>
      </c>
      <c r="J29" t="str">
        <f t="shared" si="56"/>
        <v xml:space="preserve">		public virtual decimal? InlandVn { get; set; }
</v>
      </c>
      <c r="K29" s="6"/>
      <c r="L29" t="str">
        <f t="shared" si="57"/>
        <v/>
      </c>
      <c r="M29" t="str">
        <f t="shared" si="58"/>
        <v xml:space="preserve">		public virtual decimal? InlandVn { get; set; }
</v>
      </c>
      <c r="N29" t="str">
        <f t="shared" si="59"/>
        <v xml:space="preserve">		public virtual decimal? InlandVn { get; set; }
</v>
      </c>
      <c r="O29" t="str">
        <f t="shared" si="60"/>
        <v/>
      </c>
      <c r="P29" t="str">
        <f t="shared" si="61"/>
        <v xml:space="preserve">							InlandVn = o.InlandVn,</v>
      </c>
      <c r="T29" s="63" t="str">
        <f t="shared" si="62"/>
        <v xml:space="preserve">								("InlandVn"),</v>
      </c>
      <c r="V29" s="64" t="str">
        <f t="shared" si="63"/>
        <v xml:space="preserve">								_ =&gt; _.InlandVn,</v>
      </c>
      <c r="W29" s="63" t="str">
        <f t="shared" si="64"/>
        <v/>
      </c>
    </row>
    <row r="30" spans="1:23" customFormat="1" ht="18.75" customHeight="1" x14ac:dyDescent="0.35">
      <c r="A30" t="s">
        <v>375</v>
      </c>
      <c r="B30" t="s">
        <v>371</v>
      </c>
      <c r="C30" t="s">
        <v>1</v>
      </c>
      <c r="D30" t="str">
        <f t="shared" si="52"/>
        <v>ThcVn</v>
      </c>
      <c r="E30" t="str">
        <f t="shared" si="53"/>
        <v>DECIMAL</v>
      </c>
      <c r="F30" s="6"/>
      <c r="G30" t="str">
        <f t="shared" si="54"/>
        <v>18,4</v>
      </c>
      <c r="H30" t="str">
        <f>+VLOOKUP(E30,'Data Type Mapping'!A:B,2,)</f>
        <v>decimal?</v>
      </c>
      <c r="I30" t="str">
        <f t="shared" si="55"/>
        <v/>
      </c>
      <c r="J30" t="str">
        <f t="shared" si="56"/>
        <v xml:space="preserve">		public virtual decimal? ThcVn { get; set; }
</v>
      </c>
      <c r="K30" s="6"/>
      <c r="L30" t="str">
        <f t="shared" si="57"/>
        <v/>
      </c>
      <c r="M30" t="str">
        <f t="shared" si="58"/>
        <v xml:space="preserve">		public virtual decimal? ThcVn { get; set; }
</v>
      </c>
      <c r="N30" t="str">
        <f t="shared" si="59"/>
        <v xml:space="preserve">		public virtual decimal? ThcVn { get; set; }
</v>
      </c>
      <c r="O30" t="str">
        <f t="shared" si="60"/>
        <v/>
      </c>
      <c r="P30" t="str">
        <f t="shared" si="61"/>
        <v xml:space="preserve">							ThcVn = o.ThcVn,</v>
      </c>
      <c r="T30" s="63" t="str">
        <f t="shared" si="62"/>
        <v xml:space="preserve">								("ThcVn"),</v>
      </c>
      <c r="V30" s="64" t="str">
        <f t="shared" si="63"/>
        <v xml:space="preserve">								_ =&gt; _.ThcVn,</v>
      </c>
      <c r="W30" s="63" t="str">
        <f t="shared" si="64"/>
        <v/>
      </c>
    </row>
    <row r="31" spans="1:23" customFormat="1" ht="18.75" customHeight="1" x14ac:dyDescent="0.35">
      <c r="A31" t="s">
        <v>356</v>
      </c>
      <c r="B31" t="s">
        <v>371</v>
      </c>
      <c r="C31" t="s">
        <v>1</v>
      </c>
      <c r="D31" t="str">
        <f t="shared" si="52"/>
        <v>FobVn</v>
      </c>
      <c r="E31" t="str">
        <f t="shared" si="53"/>
        <v>DECIMAL</v>
      </c>
      <c r="F31" s="6"/>
      <c r="G31" t="str">
        <f t="shared" si="54"/>
        <v>18,4</v>
      </c>
      <c r="H31" t="str">
        <f>+VLOOKUP(E31,'Data Type Mapping'!A:B,2,)</f>
        <v>decimal?</v>
      </c>
      <c r="I31" t="str">
        <f t="shared" si="55"/>
        <v/>
      </c>
      <c r="J31" t="str">
        <f t="shared" si="56"/>
        <v xml:space="preserve">		public virtual decimal? FobVn { get; set; }
</v>
      </c>
      <c r="K31" s="6"/>
      <c r="L31" t="str">
        <f t="shared" si="57"/>
        <v/>
      </c>
      <c r="M31" t="str">
        <f t="shared" si="58"/>
        <v xml:space="preserve">		public virtual decimal? FobVn { get; set; }
</v>
      </c>
      <c r="N31" t="str">
        <f t="shared" si="59"/>
        <v xml:space="preserve">		public virtual decimal? FobVn { get; set; }
</v>
      </c>
      <c r="O31" t="str">
        <f t="shared" si="60"/>
        <v/>
      </c>
      <c r="P31" t="str">
        <f t="shared" si="61"/>
        <v xml:space="preserve">							FobVn = o.FobVn,</v>
      </c>
      <c r="T31" s="63" t="str">
        <f t="shared" si="62"/>
        <v xml:space="preserve">								("FobVn"),</v>
      </c>
      <c r="V31" s="64" t="str">
        <f t="shared" si="63"/>
        <v xml:space="preserve">								_ =&gt; _.FobVn,</v>
      </c>
      <c r="W31" s="63" t="str">
        <f t="shared" si="64"/>
        <v/>
      </c>
    </row>
    <row r="32" spans="1:23" customFormat="1" ht="18.75" customHeight="1" x14ac:dyDescent="0.35">
      <c r="A32" t="s">
        <v>373</v>
      </c>
      <c r="B32" t="s">
        <v>371</v>
      </c>
      <c r="C32" t="s">
        <v>1</v>
      </c>
      <c r="D32" t="str">
        <f t="shared" si="52"/>
        <v>FreightVn</v>
      </c>
      <c r="E32" t="str">
        <f t="shared" si="53"/>
        <v>DECIMAL</v>
      </c>
      <c r="F32" s="6"/>
      <c r="G32" t="str">
        <f t="shared" si="54"/>
        <v>18,4</v>
      </c>
      <c r="H32" t="str">
        <f>+VLOOKUP(E32,'Data Type Mapping'!A:B,2,)</f>
        <v>decimal?</v>
      </c>
      <c r="I32" t="str">
        <f t="shared" si="55"/>
        <v/>
      </c>
      <c r="J32" t="str">
        <f t="shared" si="56"/>
        <v xml:space="preserve">		public virtual decimal? FreightVn { get; set; }
</v>
      </c>
      <c r="K32" s="6"/>
      <c r="L32" t="str">
        <f t="shared" si="57"/>
        <v/>
      </c>
      <c r="M32" t="str">
        <f t="shared" si="58"/>
        <v xml:space="preserve">		public virtual decimal? FreightVn { get; set; }
</v>
      </c>
      <c r="N32" t="str">
        <f t="shared" si="59"/>
        <v xml:space="preserve">		public virtual decimal? FreightVn { get; set; }
</v>
      </c>
      <c r="O32" t="str">
        <f t="shared" si="60"/>
        <v/>
      </c>
      <c r="P32" t="str">
        <f t="shared" si="61"/>
        <v xml:space="preserve">							FreightVn = o.FreightVn,</v>
      </c>
      <c r="T32" s="63" t="str">
        <f t="shared" si="62"/>
        <v xml:space="preserve">								("FreightVn"),</v>
      </c>
      <c r="V32" s="64" t="str">
        <f t="shared" si="63"/>
        <v xml:space="preserve">								_ =&gt; _.FreightVn,</v>
      </c>
      <c r="W32" s="63" t="str">
        <f t="shared" si="64"/>
        <v/>
      </c>
    </row>
    <row r="33" spans="1:23" customFormat="1" ht="18.75" customHeight="1" x14ac:dyDescent="0.35">
      <c r="A33" t="s">
        <v>374</v>
      </c>
      <c r="B33" t="s">
        <v>371</v>
      </c>
      <c r="C33" t="s">
        <v>1</v>
      </c>
      <c r="D33" t="str">
        <f t="shared" si="52"/>
        <v>InsuranceVn</v>
      </c>
      <c r="E33" t="str">
        <f t="shared" si="53"/>
        <v>DECIMAL</v>
      </c>
      <c r="F33" s="6"/>
      <c r="G33" t="str">
        <f t="shared" si="54"/>
        <v>18,4</v>
      </c>
      <c r="H33" t="str">
        <f>+VLOOKUP(E33,'Data Type Mapping'!A:B,2,)</f>
        <v>decimal?</v>
      </c>
      <c r="I33" t="str">
        <f t="shared" si="55"/>
        <v/>
      </c>
      <c r="J33" t="str">
        <f t="shared" si="56"/>
        <v xml:space="preserve">		public virtual decimal? InsuranceVn { get; set; }
</v>
      </c>
      <c r="K33" s="6"/>
      <c r="L33" t="str">
        <f t="shared" si="57"/>
        <v/>
      </c>
      <c r="M33" t="str">
        <f t="shared" si="58"/>
        <v xml:space="preserve">		public virtual decimal? InsuranceVn { get; set; }
</v>
      </c>
      <c r="N33" t="str">
        <f t="shared" si="59"/>
        <v xml:space="preserve">		public virtual decimal? InsuranceVn { get; set; }
</v>
      </c>
      <c r="O33" t="str">
        <f t="shared" si="60"/>
        <v/>
      </c>
      <c r="P33" t="str">
        <f t="shared" si="61"/>
        <v xml:space="preserve">							InsuranceVn = o.InsuranceVn,</v>
      </c>
      <c r="T33" s="63" t="str">
        <f t="shared" si="62"/>
        <v xml:space="preserve">								("InsuranceVn"),</v>
      </c>
      <c r="V33" s="64" t="str">
        <f t="shared" si="63"/>
        <v xml:space="preserve">								_ =&gt; _.InsuranceVn,</v>
      </c>
      <c r="W33" s="63" t="str">
        <f t="shared" si="64"/>
        <v/>
      </c>
    </row>
    <row r="34" spans="1:23" customFormat="1" ht="18.75" customHeight="1" x14ac:dyDescent="0.35">
      <c r="A34" t="s">
        <v>390</v>
      </c>
      <c r="B34" t="s">
        <v>371</v>
      </c>
      <c r="C34" t="s">
        <v>1</v>
      </c>
      <c r="D34" t="str">
        <f t="shared" si="52"/>
        <v>AmountVn</v>
      </c>
      <c r="E34" t="str">
        <f t="shared" si="53"/>
        <v>DECIMAL</v>
      </c>
      <c r="F34" s="6"/>
      <c r="G34" t="str">
        <f t="shared" si="54"/>
        <v>18,4</v>
      </c>
      <c r="H34" t="str">
        <f>+VLOOKUP(E34,'Data Type Mapping'!A:B,2,)</f>
        <v>decimal?</v>
      </c>
      <c r="I34" t="str">
        <f t="shared" si="55"/>
        <v/>
      </c>
      <c r="J34" t="str">
        <f t="shared" si="56"/>
        <v xml:space="preserve">		public virtual decimal? AmountVn { get; set; }
</v>
      </c>
      <c r="K34" s="6"/>
      <c r="L34" t="str">
        <f t="shared" si="57"/>
        <v/>
      </c>
      <c r="M34" t="str">
        <f t="shared" si="58"/>
        <v xml:space="preserve">		public virtual decimal? AmountVn { get; set; }
</v>
      </c>
      <c r="N34" t="str">
        <f t="shared" si="59"/>
        <v xml:space="preserve">		public virtual decimal? AmountVn { get; set; }
</v>
      </c>
      <c r="O34" t="str">
        <f t="shared" si="60"/>
        <v/>
      </c>
      <c r="P34" t="str">
        <f t="shared" si="61"/>
        <v xml:space="preserve">							AmountVn = o.AmountVn,</v>
      </c>
      <c r="T34" s="63" t="str">
        <f t="shared" si="62"/>
        <v xml:space="preserve">								("AmountVn"),</v>
      </c>
      <c r="V34" s="64" t="str">
        <f t="shared" si="63"/>
        <v xml:space="preserve">								_ =&gt; _.AmountVn,</v>
      </c>
      <c r="W34" s="63" t="str">
        <f t="shared" si="64"/>
        <v/>
      </c>
    </row>
    <row r="35" spans="1:23" customFormat="1" ht="18.75" customHeight="1" x14ac:dyDescent="0.35">
      <c r="A35" t="s">
        <v>391</v>
      </c>
      <c r="B35" t="s">
        <v>365</v>
      </c>
      <c r="C35" t="s">
        <v>1</v>
      </c>
      <c r="D35" t="str">
        <f t="shared" si="52"/>
        <v>Forwarder</v>
      </c>
      <c r="E35" t="str">
        <f t="shared" si="53"/>
        <v>VARCHAR</v>
      </c>
      <c r="F35" s="6"/>
      <c r="G35" t="str">
        <f t="shared" si="54"/>
        <v>10</v>
      </c>
      <c r="H35" t="str">
        <f>+VLOOKUP(E35,'Data Type Mapping'!A:B,2,)</f>
        <v>string</v>
      </c>
      <c r="I35" t="str">
        <f t="shared" si="55"/>
        <v xml:space="preserve">		public const int MaxForwarderLength = 10;
</v>
      </c>
      <c r="J35" t="str">
        <f t="shared" si="56"/>
        <v xml:space="preserve">		[StringLength(MaxForwarderLength)]
		public virtual string Forwarder { get; set; }
</v>
      </c>
      <c r="K35" s="6"/>
      <c r="L35" t="str">
        <f t="shared" si="57"/>
        <v/>
      </c>
      <c r="M35" t="str">
        <f t="shared" si="58"/>
        <v xml:space="preserve">		public virtual string Forwarder { get; set; }
</v>
      </c>
      <c r="N35" t="str">
        <f t="shared" si="59"/>
        <v xml:space="preserve">		[StringLength(InvCkdContainerIntransitConsts.MaxForwarderLength)]
		public virtual string Forwarder { get; set; }
</v>
      </c>
      <c r="O35" t="str">
        <f t="shared" si="60"/>
        <v xml:space="preserve">		public virtual string Forwarder { get; set; }
</v>
      </c>
      <c r="P35" t="str">
        <f t="shared" si="61"/>
        <v xml:space="preserve">							Forwarder = o.Forwarder,</v>
      </c>
      <c r="T35" s="63" t="str">
        <f t="shared" si="62"/>
        <v xml:space="preserve">								("Forwarder"),</v>
      </c>
      <c r="V35" s="64" t="str">
        <f t="shared" si="63"/>
        <v xml:space="preserve">								_ =&gt; _.Forwarder,</v>
      </c>
      <c r="W35" s="63" t="str">
        <f t="shared" si="64"/>
        <v xml:space="preserve">				.WhereIf(!string.IsNullOrWhiteSpace(input.Forwarder), e =&gt; e.Forwarder.Contains(input.Forwarder))</v>
      </c>
    </row>
    <row r="36" spans="1:23" customFormat="1" ht="18.75" customHeight="1" x14ac:dyDescent="0.35">
      <c r="A36" t="s">
        <v>392</v>
      </c>
      <c r="B36" t="s">
        <v>379</v>
      </c>
      <c r="C36" t="s">
        <v>1</v>
      </c>
      <c r="D36" t="str">
        <f t="shared" si="52"/>
        <v>Generated</v>
      </c>
      <c r="E36" t="str">
        <f t="shared" si="53"/>
        <v>VARCHAR</v>
      </c>
      <c r="F36" s="6"/>
      <c r="G36" t="str">
        <f t="shared" si="54"/>
        <v>1</v>
      </c>
      <c r="H36" t="str">
        <f>+VLOOKUP(E36,'Data Type Mapping'!A:B,2,)</f>
        <v>string</v>
      </c>
      <c r="I36" t="str">
        <f t="shared" si="55"/>
        <v xml:space="preserve">		public const int MaxGeneratedLength = 1;
</v>
      </c>
      <c r="J36" t="str">
        <f t="shared" si="56"/>
        <v xml:space="preserve">		[StringLength(MaxGeneratedLength)]
		public virtual string Generated { get; set; }
</v>
      </c>
      <c r="K36" s="6"/>
      <c r="L36" t="str">
        <f t="shared" si="57"/>
        <v/>
      </c>
      <c r="M36" t="str">
        <f t="shared" si="58"/>
        <v xml:space="preserve">		public virtual string Generated { get; set; }
</v>
      </c>
      <c r="N36" t="str">
        <f t="shared" si="59"/>
        <v xml:space="preserve">		[StringLength(InvCkdContainerIntransitConsts.MaxGeneratedLength)]
		public virtual string Generated { get; set; }
</v>
      </c>
      <c r="O36" t="str">
        <f t="shared" si="60"/>
        <v xml:space="preserve">		public virtual string Generated { get; set; }
</v>
      </c>
      <c r="P36" t="str">
        <f t="shared" si="61"/>
        <v xml:space="preserve">							Generated = o.Generated,</v>
      </c>
      <c r="T36" s="63" t="str">
        <f t="shared" si="62"/>
        <v xml:space="preserve">								("Generated"),</v>
      </c>
      <c r="V36" s="64" t="str">
        <f t="shared" si="63"/>
        <v xml:space="preserve">								_ =&gt; _.Generated,</v>
      </c>
      <c r="W36" s="63" t="str">
        <f t="shared" si="64"/>
        <v xml:space="preserve">				.WhereIf(!string.IsNullOrWhiteSpace(input.Generated), e =&gt; e.Generated.Contains(input.Generated))</v>
      </c>
    </row>
    <row r="37" spans="1:23" customFormat="1" ht="18.75" customHeight="1" x14ac:dyDescent="0.35">
      <c r="A37" t="s">
        <v>393</v>
      </c>
      <c r="B37" t="s">
        <v>365</v>
      </c>
      <c r="C37" t="s">
        <v>1</v>
      </c>
      <c r="D37" t="str">
        <f t="shared" si="52"/>
        <v>Shop</v>
      </c>
      <c r="E37" t="str">
        <f t="shared" si="53"/>
        <v>VARCHAR</v>
      </c>
      <c r="F37" s="6"/>
      <c r="G37" t="str">
        <f t="shared" si="54"/>
        <v>10</v>
      </c>
      <c r="H37" t="str">
        <f>+VLOOKUP(E37,'Data Type Mapping'!A:B,2,)</f>
        <v>string</v>
      </c>
      <c r="I37" t="str">
        <f t="shared" si="55"/>
        <v xml:space="preserve">		public const int MaxShopLength = 10;
</v>
      </c>
      <c r="J37" t="str">
        <f t="shared" si="56"/>
        <v xml:space="preserve">		[StringLength(MaxShopLength)]
		public virtual string Shop { get; set; }
</v>
      </c>
      <c r="K37" s="6"/>
      <c r="L37" t="str">
        <f t="shared" si="57"/>
        <v/>
      </c>
      <c r="M37" t="str">
        <f t="shared" si="58"/>
        <v xml:space="preserve">		public virtual string Shop { get; set; }
</v>
      </c>
      <c r="N37" t="str">
        <f t="shared" si="59"/>
        <v xml:space="preserve">		[StringLength(InvCkdContainerIntransitConsts.MaxShopLength)]
		public virtual string Shop { get; set; }
</v>
      </c>
      <c r="O37" t="str">
        <f t="shared" si="60"/>
        <v xml:space="preserve">		public virtual string Shop { get; set; }
</v>
      </c>
      <c r="P37" t="str">
        <f t="shared" si="61"/>
        <v xml:space="preserve">							Shop = o.Shop,</v>
      </c>
      <c r="T37" s="63" t="str">
        <f t="shared" si="62"/>
        <v xml:space="preserve">								("Shop"),</v>
      </c>
      <c r="V37" s="64" t="str">
        <f t="shared" si="63"/>
        <v xml:space="preserve">								_ =&gt; _.Shop,</v>
      </c>
      <c r="W37" s="63" t="str">
        <f t="shared" si="64"/>
        <v xml:space="preserve">				.WhereIf(!string.IsNullOrWhiteSpace(input.Shop), e =&gt; e.Shop.Contains(input.Shop))</v>
      </c>
    </row>
    <row r="38" spans="1:23" customFormat="1" ht="18.75" customHeight="1" x14ac:dyDescent="0.35">
      <c r="A38" t="s">
        <v>319</v>
      </c>
      <c r="B38" t="s">
        <v>379</v>
      </c>
      <c r="C38" t="s">
        <v>1</v>
      </c>
      <c r="D38" t="str">
        <f t="shared" si="52"/>
        <v>IsActive</v>
      </c>
      <c r="E38" t="str">
        <f t="shared" si="53"/>
        <v>VARCHAR</v>
      </c>
      <c r="F38" s="6"/>
      <c r="G38" t="str">
        <f t="shared" si="54"/>
        <v>1</v>
      </c>
      <c r="H38" t="str">
        <f>+VLOOKUP(E38,'Data Type Mapping'!A:B,2,)</f>
        <v>string</v>
      </c>
      <c r="I38" t="str">
        <f t="shared" si="55"/>
        <v xml:space="preserve">		public const int MaxIsActiveLength = 1;
</v>
      </c>
      <c r="J38" t="str">
        <f t="shared" si="56"/>
        <v xml:space="preserve">		[StringLength(MaxIsActiveLength)]
		public virtual string IsActive { get; set; }
</v>
      </c>
      <c r="K38" s="6"/>
      <c r="L38" t="str">
        <f t="shared" si="57"/>
        <v/>
      </c>
      <c r="M38" t="str">
        <f t="shared" si="58"/>
        <v xml:space="preserve">		public virtual string IsActive { get; set; }
</v>
      </c>
      <c r="N38" t="str">
        <f t="shared" si="59"/>
        <v xml:space="preserve">		[StringLength(InvCkdContainerIntransitConsts.MaxIsActiveLength)]
		public virtual string IsActive { get; set; }
</v>
      </c>
      <c r="O38" t="str">
        <f t="shared" si="60"/>
        <v xml:space="preserve">		public virtual string IsActive { get; set; }
</v>
      </c>
      <c r="P38" t="str">
        <f t="shared" si="61"/>
        <v xml:space="preserve">							IsActive = o.IsActive,</v>
      </c>
      <c r="T38" s="63" t="str">
        <f t="shared" si="62"/>
        <v xml:space="preserve">								("IsActive"),</v>
      </c>
      <c r="V38" s="64" t="str">
        <f t="shared" si="63"/>
        <v xml:space="preserve">								_ =&gt; _.IsActive,</v>
      </c>
      <c r="W38" s="63" t="str">
        <f t="shared" si="64"/>
        <v xml:space="preserve">				.WhereIf(!string.IsNullOrWhiteSpace(input.IsActive), e =&gt; e.IsActive.Contains(input.IsActive))</v>
      </c>
    </row>
    <row r="40" spans="1:23" ht="45.75" customHeight="1" x14ac:dyDescent="0.35">
      <c r="H40" s="11"/>
      <c r="I40" s="31" t="e">
        <f ca="1">TEXTJOIN2("
", TRUE,INDIRECT( $H$1):INDIRECT( $H$3))</f>
        <v>#NAME?</v>
      </c>
      <c r="J40" s="30" t="e">
        <f ca="1">TEXTJOIN2("
", TRUE,INDIRECT( $F$1):INDIRECT( $F$3))</f>
        <v>#NAME?</v>
      </c>
      <c r="K40" s="32" t="e">
        <f ca="1">TEXTJOIN2("
", TRUE,INDIRECT( $J$1):INDIRECT( $J$3))</f>
        <v>#NAME?</v>
      </c>
      <c r="L40" s="12" t="s">
        <v>57</v>
      </c>
      <c r="M40" s="33" t="e">
        <f ca="1">TEXTJOIN2("
",TRUE,INDIRECT( $L$1):INDIRECT($L$3))</f>
        <v>#NAME?</v>
      </c>
      <c r="N40" s="30" t="e">
        <f ca="1">TEXTJOIN2("
",TRUE,INDIRECT( $M$1):INDIRECT($M$3))</f>
        <v>#NAME?</v>
      </c>
      <c r="O40" s="30" t="e">
        <f ca="1">TEXTJOIN2("
",TRUE,INDIRECT( $N$1):INDIRECT($N$3))</f>
        <v>#NAME?</v>
      </c>
      <c r="P40" s="8" t="e">
        <f ca="1">TEXTJOIN2("
",TRUE,INDIRECT( $O$1):INDIRECT($O$3))</f>
        <v>#NAME?</v>
      </c>
      <c r="T40" s="8" t="e">
        <f ca="1">TEXTJOIN2("
",TRUE,INDIRECT( $T$2):INDIRECT($T$3))</f>
        <v>#NAME?</v>
      </c>
      <c r="V40" s="8" t="e">
        <f ca="1">TEXTJOIN2("
",TRUE,INDIRECT( $V$2):INDIRECT($V$3))</f>
        <v>#NAME?</v>
      </c>
      <c r="W40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6"/>
  <sheetViews>
    <sheetView workbookViewId="0">
      <selection activeCell="B16" sqref="B15:B16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29" x14ac:dyDescent="0.35">
      <c r="A1" s="38" t="s">
        <v>208</v>
      </c>
      <c r="B1" s="39" t="s">
        <v>394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220</v>
      </c>
      <c r="B6" s="41" t="str">
        <f>A.Backend!B3</f>
        <v>InvCkdContainerIntransit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211</v>
      </c>
      <c r="B7" s="40" t="str">
        <f>A.Backend!B5</f>
        <v>ContainerIntransit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209</v>
      </c>
      <c r="B8" s="40" t="str">
        <f>LOWER(B7)</f>
        <v>containerintransit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5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ContainerIntransitRoutingModule } from './containerintransit-routing.module';
import { ContainerIntransitComponent } from './containerintransit.component';
import { CreateOrEditContainerIntransitModalComponent } from './create-or-edit-containerintransit-modal.component';
@NgModule({
    declarations: [
       ContainerIntransitComponent, 
        CreateOrEditContainerIntransitModalComponent
    ],
    imports: [
        AppSharedModule, ContainerIntransitRoutingModule]
})
export class ContainerIntransitModule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ContainerIntransitComponent } from './containerintransit.component';
const routes: Routes = [{
    path: '',
    component: ContainerIntransitComponent,
    pathMatch: 'full'
}];
@NgModule({
    imports: [RouterModule.forChild(routes)],
    exports: [RouterModule],
})
export class ContainerIntransitRoutingModule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AppMenuItem("ContainerIntransit", "Pages.Inventory.CKD.ContainerIntransit", "flaticon-book",   "/app/main/inventory/ckd/containerintransit"),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'inventory/ckd/containerintransit',
    loadChildren: () =&gt; import('./inventory/ckd/containerintransit/containerintransit.module').then(m =&gt; m.ContainerIntransitModule),
    data: { permission: 'Pages.Inventory.CKD.ContainerIntransit' }
},</v>
      </c>
      <c r="R10" s="47" t="str">
        <f>SUBSTITUTE(R9,"MstWptCalendar",$B$6)</f>
        <v>ApiServiceProxies.InvCkdContainerIntransitServiceProxy,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H44</v>
      </c>
      <c r="I12" s="28" t="str">
        <f>"I"&amp;COUNTA($A:$A)</f>
        <v>I44</v>
      </c>
      <c r="J12" s="28"/>
      <c r="K12" s="28" t="str">
        <f>"K"&amp;COUNTA($A:$A)</f>
        <v>K44</v>
      </c>
      <c r="L12" s="28" t="str">
        <f>"L"&amp;COUNTA($A:$A)</f>
        <v>L44</v>
      </c>
      <c r="M12" s="28"/>
      <c r="N12" s="28"/>
      <c r="O12" s="28"/>
      <c r="P12" s="28"/>
      <c r="Q12" s="28"/>
      <c r="R12" s="28"/>
      <c r="S12" s="28" t="str">
        <f>"S"&amp;COUNTA($A:$A)</f>
        <v>S44</v>
      </c>
      <c r="T12" s="28" t="str">
        <f>"T"&amp;COUNTA($A:$A)</f>
        <v>T44</v>
      </c>
      <c r="U12" s="28" t="str">
        <f>"U"&amp;COUNTA($A:$A)</f>
        <v>U44</v>
      </c>
      <c r="V12" s="28" t="str">
        <f>"V"&amp;COUNTA($A:$A)</f>
        <v>V44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containerintransit.component.ts</v>
      </c>
      <c r="I14" s="37" t="str">
        <f>B8&amp;".component.html"</f>
        <v>containerintransit.component.html</v>
      </c>
      <c r="J14" s="36" t="str">
        <f>B8&amp;".component.less"</f>
        <v>containerintransit.component.less</v>
      </c>
      <c r="K14" s="37" t="str">
        <f>"create-or-edit-"&amp;B8&amp;"-modal.component.html"</f>
        <v>create-or-edit-containerintransit-modal.component.html</v>
      </c>
      <c r="L14" s="37" t="str">
        <f>"create-or-edit-"&amp;B8&amp;"-modal.component.ts"</f>
        <v>create-or-edit-containerintransit-modal.component.ts</v>
      </c>
      <c r="M14" s="37" t="str">
        <f>"create-or-edit-"&amp;B8&amp;"-modal.component.less"</f>
        <v>create-or-edit-containerintransit-modal.component.less</v>
      </c>
      <c r="N14" s="37" t="str">
        <f>B8&amp;".module.ts"</f>
        <v>containerintransit.module.ts</v>
      </c>
      <c r="O14" s="37" t="str">
        <f>B8&amp;"-routing.module.ts"</f>
        <v>containerintransit-routing.module.ts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5">
      <c r="A15" t="s">
        <v>366</v>
      </c>
      <c r="B15" s="28" t="str">
        <f t="shared" ref="B15:B32" si="0">SUBSTITUTE(PROPER(A15),"_","")</f>
        <v>ContainerNo</v>
      </c>
      <c r="C15" s="28" t="str">
        <f t="shared" ref="C15:C32" si="1">SUBSTITUTE(PROPER(A15),"_"," ")</f>
        <v>Container No</v>
      </c>
      <c r="D15" s="28" t="str">
        <f t="shared" ref="D15:D32" si="2">LOWER(LEFT(B15,1))&amp;RIGHT(B15,LEN(B15) - 1)</f>
        <v>containerNo</v>
      </c>
      <c r="E15" s="28" t="str">
        <f>A.Backend!H9</f>
        <v>string</v>
      </c>
      <c r="F15" s="28" t="str">
        <f>A.Backend!G9</f>
        <v>15</v>
      </c>
      <c r="G15" s="28" t="str">
        <f t="shared" ref="G15:G44" si="3">IF(E15="string"," : string = '' ; ",IF(OR(E15="DateTime",E15="TimeSpan")," : any ;",IF(E15="int"," : number = 0 ;","")))</f>
        <v xml:space="preserve"> : string = '' ; </v>
      </c>
      <c r="H15" s="35" t="str">
        <f t="shared" ref="H15:H4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5" t="str">
        <f t="shared" ref="I15:I4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28"/>
      <c r="K15" s="35" t="str">
        <f t="shared" ref="K15:K4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containerNo : string = '' ; </v>
      </c>
      <c r="T15" s="28" t="str">
        <f>REPT(CHAR(9),3)&amp;"this."&amp;D15&amp;","</f>
        <v xml:space="preserve">			this.containerNo,</v>
      </c>
      <c r="U15" s="28" t="str">
        <f>IF(E15="int",REPT(CHAR(9),2)&amp;"this."&amp;D15&amp;" = 0,",REPT(CHAR(9),2)&amp;"this."&amp;D15&amp;" = '',")</f>
        <v xml:space="preserve">		this.containerNo = '',</v>
      </c>
      <c r="V15" s="28" t="str">
        <f t="shared" ref="V15:V44" si="8">IF(AND(E15="string",F15="1"),D15,"")</f>
        <v/>
      </c>
    </row>
    <row r="16" spans="1:22" ht="18" customHeight="1" x14ac:dyDescent="0.35">
      <c r="A16" t="s">
        <v>382</v>
      </c>
      <c r="B16" s="28" t="str">
        <f t="shared" ref="B16" si="9">SUBSTITUTE(PROPER(A16),"_","")</f>
        <v>Renban</v>
      </c>
      <c r="C16" s="28" t="str">
        <f t="shared" ref="C16" si="10">SUBSTITUTE(PROPER(A16),"_"," ")</f>
        <v>Renban</v>
      </c>
      <c r="D16" s="28" t="str">
        <f t="shared" ref="D16" si="11">LOWER(LEFT(B16,1))&amp;RIGHT(B16,LEN(B16) - 1)</f>
        <v>renban</v>
      </c>
      <c r="E16" s="28" t="str">
        <f>A.Backend!H10</f>
        <v>string</v>
      </c>
      <c r="F16" s="28" t="str">
        <f>A.Backend!G10</f>
        <v>6</v>
      </c>
      <c r="G16" s="28" t="str">
        <f t="shared" si="3"/>
        <v xml:space="preserve"> : string = '' ; </v>
      </c>
      <c r="H16" s="35" t="str">
        <f t="shared" si="4"/>
        <v xml:space="preserve">			{headerName: this.l('Renban'),headerTooltip: this.l('Renban'),field: 'renban',flex: 1},</v>
      </c>
      <c r="I16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4" si="13">REPT(CHAR(9),1)&amp;D16&amp;G16</f>
        <v xml:space="preserve">	renban : string = '' ; </v>
      </c>
      <c r="T16" s="28" t="str">
        <f t="shared" ref="T16:T44" si="14">REPT(CHAR(9),3)&amp;"this."&amp;D16&amp;","</f>
        <v xml:space="preserve">			this.renban,</v>
      </c>
      <c r="U16" s="28" t="str">
        <f t="shared" ref="U16:U44" si="15">IF(E16="int",REPT(CHAR(9),2)&amp;"this."&amp;D16&amp;" = 0,",REPT(CHAR(9),2)&amp;"this."&amp;D16&amp;" = '',")</f>
        <v xml:space="preserve">		this.renban = '',</v>
      </c>
      <c r="V16" s="28" t="str">
        <f t="shared" si="8"/>
        <v/>
      </c>
    </row>
    <row r="17" spans="1:22" ht="18" customHeight="1" x14ac:dyDescent="0.35">
      <c r="A17" t="s">
        <v>355</v>
      </c>
      <c r="B17" s="28" t="str">
        <f>SUBSTITUTE(PROPER(A17),"_","")</f>
        <v>SupplierNo</v>
      </c>
      <c r="C17" s="28" t="str">
        <f>SUBSTITUTE(PROPER(A17),"_"," ")</f>
        <v>Supplier No</v>
      </c>
      <c r="D17" s="28" t="str">
        <f>LOWER(LEFT(B17,1))&amp;RIGHT(B17,LEN(B17) - 1)</f>
        <v>supplierNo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this.l('Supplier No'),headerTooltip: this.l('Supplier No'),field: 'supplierNo',flex: 1},</v>
      </c>
      <c r="I17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supplierNo : string = '' ; </v>
      </c>
      <c r="T17" s="28" t="str">
        <f t="shared" si="14"/>
        <v xml:space="preserve">			this.supplierNo,</v>
      </c>
      <c r="U17" s="28" t="str">
        <f t="shared" si="15"/>
        <v xml:space="preserve">		this.supplierNo = '',</v>
      </c>
      <c r="V17" s="28" t="str">
        <f t="shared" si="8"/>
        <v/>
      </c>
    </row>
    <row r="18" spans="1:22" ht="15" customHeight="1" x14ac:dyDescent="0.35">
      <c r="A18" t="s">
        <v>384</v>
      </c>
      <c r="B18" s="28" t="str">
        <f t="shared" ref="B18:B21" si="16">SUBSTITUTE(PROPER(A18),"_","")</f>
        <v>ShippingDate</v>
      </c>
      <c r="C18" s="28" t="str">
        <f t="shared" ref="C18:C21" si="17">SUBSTITUTE(PROPER(A18),"_"," ")</f>
        <v>Shipping Date</v>
      </c>
      <c r="D18" s="28" t="str">
        <f t="shared" ref="D18:D21" si="18">LOWER(LEFT(B18,1))&amp;RIGHT(B18,LEN(B18) - 1)</f>
        <v>shippingDate</v>
      </c>
      <c r="E18" s="28" t="str">
        <f>A.Backend!H12</f>
        <v>DateTime?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this.l('Shipping Date'),headerTooltip: this.l('Shipping Date'),field: 'shippingDate',flex: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shippingDate</v>
      </c>
      <c r="T18" s="28" t="str">
        <f t="shared" si="14"/>
        <v xml:space="preserve">			this.shippingDate,</v>
      </c>
      <c r="U18" s="28" t="str">
        <f t="shared" si="15"/>
        <v xml:space="preserve">		this.shippingDate = '',</v>
      </c>
      <c r="V18" s="28" t="str">
        <f t="shared" si="8"/>
        <v/>
      </c>
    </row>
    <row r="19" spans="1:22" ht="18" customHeight="1" x14ac:dyDescent="0.35">
      <c r="A19" t="s">
        <v>385</v>
      </c>
      <c r="B19" s="28" t="str">
        <f t="shared" si="16"/>
        <v>PortDate</v>
      </c>
      <c r="C19" s="28" t="str">
        <f t="shared" si="17"/>
        <v>Port Date</v>
      </c>
      <c r="D19" s="28" t="str">
        <f t="shared" si="18"/>
        <v>portDate</v>
      </c>
      <c r="E19" s="28" t="str">
        <f>A.Backend!H13</f>
        <v>DateTime?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this.l('Port Date'),headerTooltip: this.l('Port Date'),field: 'portDate',flex: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portDate</v>
      </c>
      <c r="T19" s="28" t="str">
        <f t="shared" si="14"/>
        <v xml:space="preserve">			this.portDate,</v>
      </c>
      <c r="U19" s="28" t="str">
        <f t="shared" si="15"/>
        <v xml:space="preserve">		this.portDate = '',</v>
      </c>
      <c r="V19" s="28" t="str">
        <f t="shared" si="8"/>
        <v/>
      </c>
    </row>
    <row r="20" spans="1:22" ht="15" customHeight="1" x14ac:dyDescent="0.35">
      <c r="A20" t="s">
        <v>386</v>
      </c>
      <c r="B20" s="28" t="str">
        <f t="shared" si="16"/>
        <v>TransDate</v>
      </c>
      <c r="C20" s="28" t="str">
        <f t="shared" si="17"/>
        <v>Trans Date</v>
      </c>
      <c r="D20" s="28" t="str">
        <f t="shared" si="18"/>
        <v>transDate</v>
      </c>
      <c r="E20" s="28" t="str">
        <f>A.Backend!H14</f>
        <v>DateTime?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this.l('Trans Date'),headerTooltip: this.l('Trans Date'),field: 'transDate',flex: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transDate</v>
      </c>
      <c r="T20" s="28" t="str">
        <f t="shared" si="14"/>
        <v xml:space="preserve">			this.transDate,</v>
      </c>
      <c r="U20" s="28" t="str">
        <f t="shared" si="15"/>
        <v xml:space="preserve">		this.transDate = '',</v>
      </c>
      <c r="V20" s="28" t="str">
        <f t="shared" si="8"/>
        <v/>
      </c>
    </row>
    <row r="21" spans="1:22" ht="18" customHeight="1" x14ac:dyDescent="0.35">
      <c r="A21" t="s">
        <v>387</v>
      </c>
      <c r="B21" s="28" t="str">
        <f t="shared" si="16"/>
        <v>TmvDate</v>
      </c>
      <c r="C21" s="28" t="str">
        <f t="shared" si="17"/>
        <v>Tmv Date</v>
      </c>
      <c r="D21" s="28" t="str">
        <f t="shared" si="18"/>
        <v>tmvDate</v>
      </c>
      <c r="E21" s="28" t="str">
        <f>A.Backend!H15</f>
        <v>DateTime?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this.l('Tmv Date'),headerTooltip: this.l('Tmv Date'),field: 'tmvDate',flex: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tmvDate</v>
      </c>
      <c r="T21" s="28" t="str">
        <f t="shared" si="14"/>
        <v xml:space="preserve">			this.tmvDate,</v>
      </c>
      <c r="U21" s="28" t="str">
        <f t="shared" si="15"/>
        <v xml:space="preserve">		this.tmvDate = '',</v>
      </c>
      <c r="V21" s="28" t="str">
        <f t="shared" si="8"/>
        <v/>
      </c>
    </row>
    <row r="22" spans="1:22" ht="18" customHeight="1" x14ac:dyDescent="0.35">
      <c r="A22" t="s">
        <v>354</v>
      </c>
      <c r="B22" s="28" t="str">
        <f>SUBSTITUTE(PROPER(A22),"_","")</f>
        <v>Cif</v>
      </c>
      <c r="C22" s="28" t="str">
        <f>SUBSTITUTE(PROPER(A22),"_"," ")</f>
        <v>Cif</v>
      </c>
      <c r="D22" s="28" t="str">
        <f>LOWER(LEFT(B22,1))&amp;RIGHT(B22,LEN(B22) - 1)</f>
        <v>cif</v>
      </c>
      <c r="E22" s="28" t="str">
        <f>A.Backend!H16</f>
        <v>decimal?</v>
      </c>
      <c r="F22" s="28" t="str">
        <f>A.Backend!G16</f>
        <v>18,4</v>
      </c>
      <c r="G22" s="28" t="str">
        <f t="shared" si="3"/>
        <v/>
      </c>
      <c r="H22" s="35" t="str">
        <f t="shared" si="4"/>
        <v xml:space="preserve">			{headerName: this.l('Cif'),headerTooltip: this.l('Cif'),field: 'cif',flex: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cif</v>
      </c>
      <c r="T22" s="28" t="str">
        <f t="shared" si="14"/>
        <v xml:space="preserve">			this.cif,</v>
      </c>
      <c r="U22" s="28" t="str">
        <f t="shared" si="15"/>
        <v xml:space="preserve">		this.cif = '',</v>
      </c>
      <c r="V22" s="28" t="str">
        <f t="shared" si="8"/>
        <v/>
      </c>
    </row>
    <row r="23" spans="1:22" ht="15" customHeight="1" x14ac:dyDescent="0.35">
      <c r="A23" t="s">
        <v>369</v>
      </c>
      <c r="B23" s="28" t="str">
        <f t="shared" ref="B23:B26" si="20">SUBSTITUTE(PROPER(A23),"_","")</f>
        <v>Tax</v>
      </c>
      <c r="C23" s="28" t="str">
        <f t="shared" ref="C23:C26" si="21">SUBSTITUTE(PROPER(A23),"_"," ")</f>
        <v>Tax</v>
      </c>
      <c r="D23" s="28" t="str">
        <f t="shared" ref="D23:D26" si="22">LOWER(LEFT(B23,1))&amp;RIGHT(B23,LEN(B23) - 1)</f>
        <v>tax</v>
      </c>
      <c r="E23" s="28" t="str">
        <f>A.Backend!H17</f>
        <v>decimal?</v>
      </c>
      <c r="F23" s="28" t="str">
        <f>A.Backend!G17</f>
        <v>18,4</v>
      </c>
      <c r="G23" s="28" t="str">
        <f t="shared" si="3"/>
        <v/>
      </c>
      <c r="H23" s="35" t="str">
        <f t="shared" si="4"/>
        <v xml:space="preserve">			{headerName: this.l('Tax'),headerTooltip: this.l('Tax'),field: 'tax',flex: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tax</v>
      </c>
      <c r="T23" s="28" t="str">
        <f t="shared" si="14"/>
        <v xml:space="preserve">			this.tax,</v>
      </c>
      <c r="U23" s="28" t="str">
        <f t="shared" si="15"/>
        <v xml:space="preserve">		this.tax = '',</v>
      </c>
      <c r="V23" s="28" t="str">
        <f t="shared" si="8"/>
        <v/>
      </c>
    </row>
    <row r="24" spans="1:22" ht="18" customHeight="1" x14ac:dyDescent="0.35">
      <c r="A24" t="s">
        <v>370</v>
      </c>
      <c r="B24" s="28" t="str">
        <f t="shared" si="20"/>
        <v>Inland</v>
      </c>
      <c r="C24" s="28" t="str">
        <f t="shared" si="21"/>
        <v>Inland</v>
      </c>
      <c r="D24" s="28" t="str">
        <f t="shared" si="22"/>
        <v>inland</v>
      </c>
      <c r="E24" s="28" t="str">
        <f>A.Backend!H18</f>
        <v>decimal?</v>
      </c>
      <c r="F24" s="28" t="str">
        <f>A.Backend!G18</f>
        <v>18,4</v>
      </c>
      <c r="G24" s="28" t="str">
        <f t="shared" si="3"/>
        <v/>
      </c>
      <c r="H24" s="35" t="str">
        <f t="shared" si="4"/>
        <v xml:space="preserve">			{headerName: this.l('Inland'),headerTooltip: this.l('Inland'),field: 'inland',flex: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inland</v>
      </c>
      <c r="T24" s="28" t="str">
        <f t="shared" si="14"/>
        <v xml:space="preserve">			this.inland,</v>
      </c>
      <c r="U24" s="28" t="str">
        <f t="shared" si="15"/>
        <v xml:space="preserve">		this.inland = '',</v>
      </c>
      <c r="V24" s="28" t="str">
        <f t="shared" si="8"/>
        <v/>
      </c>
    </row>
    <row r="25" spans="1:22" ht="15" customHeight="1" x14ac:dyDescent="0.35">
      <c r="A25" t="s">
        <v>368</v>
      </c>
      <c r="B25" s="28" t="str">
        <f t="shared" si="20"/>
        <v>Thc</v>
      </c>
      <c r="C25" s="28" t="str">
        <f t="shared" si="21"/>
        <v>Thc</v>
      </c>
      <c r="D25" s="28" t="str">
        <f t="shared" si="22"/>
        <v>thc</v>
      </c>
      <c r="E25" s="28" t="str">
        <f>A.Backend!H19</f>
        <v>decimal?</v>
      </c>
      <c r="F25" s="28" t="str">
        <f>A.Backend!G19</f>
        <v>18,4</v>
      </c>
      <c r="G25" s="28" t="str">
        <f t="shared" si="3"/>
        <v/>
      </c>
      <c r="H25" s="35" t="str">
        <f t="shared" si="4"/>
        <v xml:space="preserve">			{headerName: this.l('Thc'),headerTooltip: this.l('Thc'),field: 'thc',flex: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thc</v>
      </c>
      <c r="T25" s="28" t="str">
        <f t="shared" si="14"/>
        <v xml:space="preserve">			this.thc,</v>
      </c>
      <c r="U25" s="28" t="str">
        <f t="shared" si="15"/>
        <v xml:space="preserve">		this.thc = '',</v>
      </c>
      <c r="V25" s="28" t="str">
        <f t="shared" si="8"/>
        <v/>
      </c>
    </row>
    <row r="26" spans="1:22" ht="18" customHeight="1" x14ac:dyDescent="0.35">
      <c r="A26" t="s">
        <v>351</v>
      </c>
      <c r="B26" s="28" t="str">
        <f t="shared" si="20"/>
        <v>Fob</v>
      </c>
      <c r="C26" s="28" t="str">
        <f t="shared" si="21"/>
        <v>Fob</v>
      </c>
      <c r="D26" s="28" t="str">
        <f t="shared" si="22"/>
        <v>fob</v>
      </c>
      <c r="E26" s="28" t="str">
        <f>A.Backend!H20</f>
        <v>decimal?</v>
      </c>
      <c r="F26" s="28" t="str">
        <f>A.Backend!G20</f>
        <v>18,4</v>
      </c>
      <c r="G26" s="28" t="str">
        <f t="shared" si="3"/>
        <v/>
      </c>
      <c r="H26" s="35" t="str">
        <f t="shared" si="4"/>
        <v xml:space="preserve">			{headerName: this.l('Fob'),headerTooltip: this.l('Fob'),field: 'fob',flex: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fob</v>
      </c>
      <c r="T26" s="28" t="str">
        <f t="shared" si="14"/>
        <v xml:space="preserve">			this.fob,</v>
      </c>
      <c r="U26" s="28" t="str">
        <f t="shared" si="15"/>
        <v xml:space="preserve">		this.fob = '',</v>
      </c>
      <c r="V26" s="28" t="str">
        <f t="shared" si="8"/>
        <v/>
      </c>
    </row>
    <row r="27" spans="1:22" ht="18" customHeight="1" x14ac:dyDescent="0.35">
      <c r="A27" t="s">
        <v>352</v>
      </c>
      <c r="B27" s="28" t="str">
        <f>SUBSTITUTE(PROPER(A27),"_","")</f>
        <v>Freight</v>
      </c>
      <c r="C27" s="28" t="str">
        <f>SUBSTITUTE(PROPER(A27),"_"," ")</f>
        <v>Freight</v>
      </c>
      <c r="D27" s="28" t="str">
        <f>LOWER(LEFT(B27,1))&amp;RIGHT(B27,LEN(B27) - 1)</f>
        <v>freight</v>
      </c>
      <c r="E27" s="28" t="str">
        <f>A.Backend!H21</f>
        <v>decimal?</v>
      </c>
      <c r="F27" s="28" t="str">
        <f>A.Backend!G21</f>
        <v>18,4</v>
      </c>
      <c r="G27" s="28" t="str">
        <f t="shared" si="3"/>
        <v/>
      </c>
      <c r="H27" s="35" t="str">
        <f t="shared" si="4"/>
        <v xml:space="preserve">			{headerName: this.l('Freight'),headerTooltip: this.l('Freight'),field: 'freight',flex: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freight</v>
      </c>
      <c r="T27" s="28" t="str">
        <f t="shared" si="14"/>
        <v xml:space="preserve">			this.freight,</v>
      </c>
      <c r="U27" s="28" t="str">
        <f t="shared" si="15"/>
        <v xml:space="preserve">		this.freight = '',</v>
      </c>
      <c r="V27" s="28" t="str">
        <f t="shared" si="8"/>
        <v/>
      </c>
    </row>
    <row r="28" spans="1:22" ht="15" customHeight="1" x14ac:dyDescent="0.35">
      <c r="A28" t="s">
        <v>353</v>
      </c>
      <c r="B28" s="28" t="str">
        <f t="shared" ref="B28:B30" si="24">SUBSTITUTE(PROPER(A28),"_","")</f>
        <v>Insurance</v>
      </c>
      <c r="C28" s="28" t="str">
        <f t="shared" ref="C28:C30" si="25">SUBSTITUTE(PROPER(A28),"_"," ")</f>
        <v>Insurance</v>
      </c>
      <c r="D28" s="28" t="str">
        <f t="shared" ref="D28:D30" si="26">LOWER(LEFT(B28,1))&amp;RIGHT(B28,LEN(B28) - 1)</f>
        <v>insurance</v>
      </c>
      <c r="E28" s="28" t="str">
        <f>A.Backend!H22</f>
        <v>decimal?</v>
      </c>
      <c r="F28" s="28" t="str">
        <f>A.Backend!G22</f>
        <v>18,4</v>
      </c>
      <c r="G28" s="28" t="str">
        <f t="shared" si="3"/>
        <v/>
      </c>
      <c r="H28" s="35" t="str">
        <f t="shared" si="4"/>
        <v xml:space="preserve">			{headerName: this.l('Insurance'),headerTooltip: this.l('Insurance'),field: 'insurance',flex: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insurance</v>
      </c>
      <c r="T28" s="28" t="str">
        <f t="shared" si="14"/>
        <v xml:space="preserve">			this.insurance,</v>
      </c>
      <c r="U28" s="28" t="str">
        <f t="shared" si="15"/>
        <v xml:space="preserve">		this.insurance = '',</v>
      </c>
      <c r="V28" s="28" t="str">
        <f t="shared" si="8"/>
        <v/>
      </c>
    </row>
    <row r="29" spans="1:22" ht="18" customHeight="1" x14ac:dyDescent="0.35">
      <c r="A29" t="s">
        <v>389</v>
      </c>
      <c r="B29" s="28" t="str">
        <f t="shared" si="24"/>
        <v>Amount</v>
      </c>
      <c r="C29" s="28" t="str">
        <f t="shared" si="25"/>
        <v>Amount</v>
      </c>
      <c r="D29" s="28" t="str">
        <f t="shared" si="26"/>
        <v>amount</v>
      </c>
      <c r="E29" s="28" t="str">
        <f>A.Backend!H23</f>
        <v>decimal?</v>
      </c>
      <c r="F29" s="28" t="str">
        <f>A.Backend!G23</f>
        <v>18,4</v>
      </c>
      <c r="G29" s="28" t="str">
        <f t="shared" si="3"/>
        <v/>
      </c>
      <c r="H29" s="35" t="str">
        <f t="shared" si="4"/>
        <v xml:space="preserve">			{headerName: this.l('Amount'),headerTooltip: this.l('Amount'),field: 'amount',flex: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amount</v>
      </c>
      <c r="T29" s="28" t="str">
        <f t="shared" si="14"/>
        <v xml:space="preserve">			this.amount,</v>
      </c>
      <c r="U29" s="28" t="str">
        <f t="shared" si="15"/>
        <v xml:space="preserve">		this.amount = '',</v>
      </c>
      <c r="V29" s="28" t="str">
        <f t="shared" si="8"/>
        <v/>
      </c>
    </row>
    <row r="30" spans="1:22" ht="15" customHeight="1" x14ac:dyDescent="0.35">
      <c r="A30" t="s">
        <v>350</v>
      </c>
      <c r="B30" s="28" t="str">
        <f t="shared" si="24"/>
        <v>Status</v>
      </c>
      <c r="C30" s="28" t="str">
        <f t="shared" si="25"/>
        <v>Status</v>
      </c>
      <c r="D30" s="28" t="str">
        <f t="shared" si="26"/>
        <v>status</v>
      </c>
      <c r="E30" s="28" t="str">
        <f>A.Backend!H24</f>
        <v>string</v>
      </c>
      <c r="F30" s="28" t="str">
        <f>A.Backend!G24</f>
        <v>10</v>
      </c>
      <c r="G30" s="28" t="str">
        <f t="shared" si="3"/>
        <v xml:space="preserve"> : string = '' ; </v>
      </c>
      <c r="H30" s="35" t="str">
        <f t="shared" si="4"/>
        <v xml:space="preserve">			{headerName: this.l('Status'),headerTooltip: this.l('Status'),field: 'status',flex: 1},</v>
      </c>
      <c r="I30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status : string = '' ; </v>
      </c>
      <c r="T30" s="28" t="str">
        <f t="shared" si="14"/>
        <v xml:space="preserve">			this.status,</v>
      </c>
      <c r="U30" s="28" t="str">
        <f t="shared" si="15"/>
        <v xml:space="preserve">		this.status = '',</v>
      </c>
      <c r="V30" s="28" t="str">
        <f t="shared" si="8"/>
        <v/>
      </c>
    </row>
    <row r="31" spans="1:22" ht="15" customHeight="1" x14ac:dyDescent="0.35">
      <c r="A31" t="s">
        <v>378</v>
      </c>
      <c r="B31" s="28" t="str">
        <f t="shared" ref="B31" si="28">SUBSTITUTE(PROPER(A31),"_","")</f>
        <v>PeriodDate</v>
      </c>
      <c r="C31" s="28" t="str">
        <f t="shared" ref="C31" si="29">SUBSTITUTE(PROPER(A31),"_"," ")</f>
        <v>Period Date</v>
      </c>
      <c r="D31" s="28" t="str">
        <f t="shared" ref="D31" si="30">LOWER(LEFT(B31,1))&amp;RIGHT(B31,LEN(B31) - 1)</f>
        <v>periodDate</v>
      </c>
      <c r="E31" s="28" t="str">
        <f>A.Backend!H25</f>
        <v>DateTime?</v>
      </c>
      <c r="F31" s="28" t="str">
        <f>A.Backend!G25</f>
        <v/>
      </c>
      <c r="G31" s="28" t="str">
        <f t="shared" si="3"/>
        <v/>
      </c>
      <c r="H31" s="35" t="str">
        <f t="shared" si="4"/>
        <v xml:space="preserve">			{headerName: this.l('Period Date'),headerTooltip: this.l('Period Date'),field: 'periodDate',flex: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periodDate</v>
      </c>
      <c r="T31" s="28" t="str">
        <f t="shared" si="14"/>
        <v xml:space="preserve">			this.periodDate,</v>
      </c>
      <c r="U31" s="28" t="str">
        <f t="shared" si="15"/>
        <v xml:space="preserve">		this.periodDate = '',</v>
      </c>
      <c r="V31" s="28" t="str">
        <f t="shared" si="8"/>
        <v/>
      </c>
    </row>
    <row r="32" spans="1:22" ht="18" customHeight="1" x14ac:dyDescent="0.35">
      <c r="A32" t="s">
        <v>358</v>
      </c>
      <c r="B32" s="28" t="str">
        <f t="shared" si="0"/>
        <v>PeriodId</v>
      </c>
      <c r="C32" s="28" t="str">
        <f t="shared" si="1"/>
        <v>Period Id</v>
      </c>
      <c r="D32" s="28" t="str">
        <f t="shared" si="2"/>
        <v>periodId</v>
      </c>
      <c r="E32" s="28" t="str">
        <f>A.Backend!H26</f>
        <v>long?</v>
      </c>
      <c r="F32" s="28" t="str">
        <f>A.Backend!G26</f>
        <v/>
      </c>
      <c r="G32" s="28" t="str">
        <f t="shared" si="3"/>
        <v/>
      </c>
      <c r="H32" s="35" t="str">
        <f t="shared" si="4"/>
        <v xml:space="preserve">			{headerName: this.l('Period Id'),headerTooltip: this.l('Period Id'),field: 'periodId',flex: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periodId</v>
      </c>
      <c r="T32" s="28" t="str">
        <f t="shared" si="14"/>
        <v xml:space="preserve">			this.periodId,</v>
      </c>
      <c r="U32" s="28" t="str">
        <f t="shared" si="15"/>
        <v xml:space="preserve">		this.periodId = '',</v>
      </c>
      <c r="V32" s="28" t="str">
        <f t="shared" si="8"/>
        <v/>
      </c>
    </row>
    <row r="33" spans="1:22" ht="15" customHeight="1" x14ac:dyDescent="0.35">
      <c r="A33" t="s">
        <v>357</v>
      </c>
      <c r="B33" s="28" t="str">
        <f t="shared" ref="B33:B34" si="32">SUBSTITUTE(PROPER(A33),"_","")</f>
        <v>CifVn</v>
      </c>
      <c r="C33" s="28" t="str">
        <f t="shared" ref="C33:C34" si="33">SUBSTITUTE(PROPER(A33),"_"," ")</f>
        <v>Cif Vn</v>
      </c>
      <c r="D33" s="28" t="str">
        <f t="shared" ref="D33:D34" si="34">LOWER(LEFT(B33,1))&amp;RIGHT(B33,LEN(B33) - 1)</f>
        <v>cifVn</v>
      </c>
      <c r="E33" s="28" t="str">
        <f>A.Backend!H27</f>
        <v>decimal?</v>
      </c>
      <c r="F33" s="28" t="str">
        <f>A.Backend!G27</f>
        <v>18,4</v>
      </c>
      <c r="G33" s="28" t="str">
        <f t="shared" si="3"/>
        <v/>
      </c>
      <c r="H33" s="35" t="str">
        <f t="shared" si="4"/>
        <v xml:space="preserve">			{headerName: this.l('Cif Vn'),headerTooltip: this.l('Cif Vn'),field: 'cifVn',flex: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cifVn</v>
      </c>
      <c r="T33" s="28" t="str">
        <f t="shared" si="14"/>
        <v xml:space="preserve">			this.cifVn,</v>
      </c>
      <c r="U33" s="28" t="str">
        <f t="shared" si="15"/>
        <v xml:space="preserve">		this.cifVn = '',</v>
      </c>
      <c r="V33" s="28" t="str">
        <f t="shared" si="8"/>
        <v/>
      </c>
    </row>
    <row r="34" spans="1:22" ht="18" customHeight="1" x14ac:dyDescent="0.35">
      <c r="A34" t="s">
        <v>376</v>
      </c>
      <c r="B34" s="28" t="str">
        <f t="shared" si="32"/>
        <v>TaxVn</v>
      </c>
      <c r="C34" s="28" t="str">
        <f t="shared" si="33"/>
        <v>Tax Vn</v>
      </c>
      <c r="D34" s="28" t="str">
        <f t="shared" si="34"/>
        <v>taxVn</v>
      </c>
      <c r="E34" s="28" t="str">
        <f>A.Backend!H28</f>
        <v>decimal?</v>
      </c>
      <c r="F34" s="28" t="str">
        <f>A.Backend!G28</f>
        <v>18,4</v>
      </c>
      <c r="G34" s="28" t="str">
        <f t="shared" si="3"/>
        <v/>
      </c>
      <c r="H34" s="35" t="str">
        <f t="shared" si="4"/>
        <v xml:space="preserve">			{headerName: this.l('Tax Vn'),headerTooltip: this.l('Tax Vn'),field: 'taxVn',flex: 1},</v>
      </c>
      <c r="I34" s="35" t="str">
        <f t="shared" si="5"/>
        <v/>
      </c>
      <c r="J34" s="28"/>
      <c r="K34" s="35" t="str">
        <f t="shared" si="6"/>
        <v/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taxVn</v>
      </c>
      <c r="T34" s="28" t="str">
        <f t="shared" si="14"/>
        <v xml:space="preserve">			this.taxVn,</v>
      </c>
      <c r="U34" s="28" t="str">
        <f t="shared" si="15"/>
        <v xml:space="preserve">		this.taxVn = '',</v>
      </c>
      <c r="V34" s="28" t="str">
        <f t="shared" si="8"/>
        <v/>
      </c>
    </row>
    <row r="35" spans="1:22" ht="18" customHeight="1" x14ac:dyDescent="0.35">
      <c r="A35" t="s">
        <v>377</v>
      </c>
      <c r="B35" s="28" t="str">
        <f>SUBSTITUTE(PROPER(A35),"_","")</f>
        <v>InlandVn</v>
      </c>
      <c r="C35" s="28" t="str">
        <f>SUBSTITUTE(PROPER(A35),"_"," ")</f>
        <v>Inland Vn</v>
      </c>
      <c r="D35" s="28" t="str">
        <f>LOWER(LEFT(B35,1))&amp;RIGHT(B35,LEN(B35) - 1)</f>
        <v>inlandVn</v>
      </c>
      <c r="E35" s="28" t="str">
        <f>A.Backend!H29</f>
        <v>decimal?</v>
      </c>
      <c r="F35" s="28" t="str">
        <f>A.Backend!G29</f>
        <v>18,4</v>
      </c>
      <c r="G35" s="28" t="str">
        <f t="shared" si="3"/>
        <v/>
      </c>
      <c r="H35" s="35" t="str">
        <f t="shared" si="4"/>
        <v xml:space="preserve">			{headerName: this.l('Inland Vn'),headerTooltip: this.l('Inland Vn'),field: 'inlandVn',flex: 1},</v>
      </c>
      <c r="I35" s="35" t="str">
        <f t="shared" si="5"/>
        <v/>
      </c>
      <c r="J35" s="28"/>
      <c r="K35" s="35" t="str">
        <f t="shared" si="6"/>
        <v/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inlandVn</v>
      </c>
      <c r="T35" s="28" t="str">
        <f t="shared" si="14"/>
        <v xml:space="preserve">			this.inlandVn,</v>
      </c>
      <c r="U35" s="28" t="str">
        <f t="shared" si="15"/>
        <v xml:space="preserve">		this.inlandVn = '',</v>
      </c>
      <c r="V35" s="28" t="str">
        <f t="shared" si="8"/>
        <v/>
      </c>
    </row>
    <row r="36" spans="1:22" ht="15" customHeight="1" x14ac:dyDescent="0.35">
      <c r="A36" t="s">
        <v>375</v>
      </c>
      <c r="B36" s="28" t="str">
        <f t="shared" ref="B36:B39" si="36">SUBSTITUTE(PROPER(A36),"_","")</f>
        <v>ThcVn</v>
      </c>
      <c r="C36" s="28" t="str">
        <f t="shared" ref="C36:C39" si="37">SUBSTITUTE(PROPER(A36),"_"," ")</f>
        <v>Thc Vn</v>
      </c>
      <c r="D36" s="28" t="str">
        <f t="shared" ref="D36:D39" si="38">LOWER(LEFT(B36,1))&amp;RIGHT(B36,LEN(B36) - 1)</f>
        <v>thcVn</v>
      </c>
      <c r="E36" s="28" t="str">
        <f>A.Backend!H30</f>
        <v>decimal?</v>
      </c>
      <c r="F36" s="28" t="str">
        <f>A.Backend!G30</f>
        <v>18,4</v>
      </c>
      <c r="G36" s="28" t="str">
        <f t="shared" si="3"/>
        <v/>
      </c>
      <c r="H36" s="35" t="str">
        <f t="shared" si="4"/>
        <v xml:space="preserve">			{headerName: this.l('Thc Vn'),headerTooltip: this.l('Thc Vn'),field: 'thcVn',flex: 1},</v>
      </c>
      <c r="I36" s="35" t="str">
        <f t="shared" si="5"/>
        <v/>
      </c>
      <c r="J36" s="28"/>
      <c r="K36" s="35" t="str">
        <f t="shared" si="6"/>
        <v/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thcVn</v>
      </c>
      <c r="T36" s="28" t="str">
        <f t="shared" si="14"/>
        <v xml:space="preserve">			this.thcVn,</v>
      </c>
      <c r="U36" s="28" t="str">
        <f t="shared" si="15"/>
        <v xml:space="preserve">		this.thcVn = '',</v>
      </c>
      <c r="V36" s="28" t="str">
        <f t="shared" si="8"/>
        <v/>
      </c>
    </row>
    <row r="37" spans="1:22" ht="18" customHeight="1" x14ac:dyDescent="0.35">
      <c r="A37" t="s">
        <v>356</v>
      </c>
      <c r="B37" s="28" t="str">
        <f t="shared" si="36"/>
        <v>FobVn</v>
      </c>
      <c r="C37" s="28" t="str">
        <f t="shared" si="37"/>
        <v>Fob Vn</v>
      </c>
      <c r="D37" s="28" t="str">
        <f t="shared" si="38"/>
        <v>fobVn</v>
      </c>
      <c r="E37" s="28" t="str">
        <f>A.Backend!H31</f>
        <v>decimal?</v>
      </c>
      <c r="F37" s="28" t="str">
        <f>A.Backend!G31</f>
        <v>18,4</v>
      </c>
      <c r="G37" s="28" t="str">
        <f t="shared" si="3"/>
        <v/>
      </c>
      <c r="H37" s="35" t="str">
        <f t="shared" si="4"/>
        <v xml:space="preserve">			{headerName: this.l('Fob Vn'),headerTooltip: this.l('Fob Vn'),field: 'fobVn',flex: 1},</v>
      </c>
      <c r="I37" s="35" t="str">
        <f t="shared" si="5"/>
        <v/>
      </c>
      <c r="J37" s="28"/>
      <c r="K37" s="35" t="str">
        <f t="shared" si="6"/>
        <v/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fobVn</v>
      </c>
      <c r="T37" s="28" t="str">
        <f t="shared" si="14"/>
        <v xml:space="preserve">			this.fobVn,</v>
      </c>
      <c r="U37" s="28" t="str">
        <f t="shared" si="15"/>
        <v xml:space="preserve">		this.fobVn = '',</v>
      </c>
      <c r="V37" s="28" t="str">
        <f t="shared" si="8"/>
        <v/>
      </c>
    </row>
    <row r="38" spans="1:22" ht="15" customHeight="1" x14ac:dyDescent="0.35">
      <c r="A38" t="s">
        <v>373</v>
      </c>
      <c r="B38" s="28" t="str">
        <f t="shared" si="36"/>
        <v>FreightVn</v>
      </c>
      <c r="C38" s="28" t="str">
        <f t="shared" si="37"/>
        <v>Freight Vn</v>
      </c>
      <c r="D38" s="28" t="str">
        <f t="shared" si="38"/>
        <v>freightVn</v>
      </c>
      <c r="E38" s="28" t="str">
        <f>A.Backend!H32</f>
        <v>decimal?</v>
      </c>
      <c r="F38" s="28" t="str">
        <f>A.Backend!G32</f>
        <v>18,4</v>
      </c>
      <c r="G38" s="28" t="str">
        <f t="shared" si="3"/>
        <v/>
      </c>
      <c r="H38" s="35" t="str">
        <f t="shared" si="4"/>
        <v xml:space="preserve">			{headerName: this.l('Freight Vn'),headerTooltip: this.l('Freight Vn'),field: 'freightVn',flex: 1},</v>
      </c>
      <c r="I38" s="35" t="str">
        <f t="shared" si="5"/>
        <v/>
      </c>
      <c r="J38" s="28"/>
      <c r="K38" s="35" t="str">
        <f t="shared" si="6"/>
        <v/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freightVn</v>
      </c>
      <c r="T38" s="28" t="str">
        <f t="shared" si="14"/>
        <v xml:space="preserve">			this.freightVn,</v>
      </c>
      <c r="U38" s="28" t="str">
        <f t="shared" si="15"/>
        <v xml:space="preserve">		this.freightVn = '',</v>
      </c>
      <c r="V38" s="28" t="str">
        <f t="shared" si="8"/>
        <v/>
      </c>
    </row>
    <row r="39" spans="1:22" ht="18" customHeight="1" x14ac:dyDescent="0.35">
      <c r="A39" t="s">
        <v>374</v>
      </c>
      <c r="B39" s="28" t="str">
        <f t="shared" si="36"/>
        <v>InsuranceVn</v>
      </c>
      <c r="C39" s="28" t="str">
        <f t="shared" si="37"/>
        <v>Insurance Vn</v>
      </c>
      <c r="D39" s="28" t="str">
        <f t="shared" si="38"/>
        <v>insuranceVn</v>
      </c>
      <c r="E39" s="28" t="str">
        <f>A.Backend!H33</f>
        <v>decimal?</v>
      </c>
      <c r="F39" s="28" t="str">
        <f>A.Backend!G33</f>
        <v>18,4</v>
      </c>
      <c r="G39" s="28" t="str">
        <f t="shared" si="3"/>
        <v/>
      </c>
      <c r="H39" s="35" t="str">
        <f t="shared" si="4"/>
        <v xml:space="preserve">			{headerName: this.l('Insurance Vn'),headerTooltip: this.l('Insurance Vn'),field: 'insuranceVn',flex: 1},</v>
      </c>
      <c r="I39" s="35" t="str">
        <f t="shared" si="5"/>
        <v/>
      </c>
      <c r="J39" s="28"/>
      <c r="K39" s="35" t="str">
        <f t="shared" si="6"/>
        <v/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insuranceVn</v>
      </c>
      <c r="T39" s="28" t="str">
        <f t="shared" si="14"/>
        <v xml:space="preserve">			this.insuranceVn,</v>
      </c>
      <c r="U39" s="28" t="str">
        <f t="shared" si="15"/>
        <v xml:space="preserve">		this.insuranceVn = '',</v>
      </c>
      <c r="V39" s="28" t="str">
        <f t="shared" si="8"/>
        <v/>
      </c>
    </row>
    <row r="40" spans="1:22" ht="18" customHeight="1" x14ac:dyDescent="0.35">
      <c r="A40" t="s">
        <v>390</v>
      </c>
      <c r="B40" s="28" t="str">
        <f>SUBSTITUTE(PROPER(A40),"_","")</f>
        <v>AmountVn</v>
      </c>
      <c r="C40" s="28" t="str">
        <f>SUBSTITUTE(PROPER(A40),"_"," ")</f>
        <v>Amount Vn</v>
      </c>
      <c r="D40" s="28" t="str">
        <f>LOWER(LEFT(B40,1))&amp;RIGHT(B40,LEN(B40) - 1)</f>
        <v>amountVn</v>
      </c>
      <c r="E40" s="28" t="str">
        <f>A.Backend!H34</f>
        <v>decimal?</v>
      </c>
      <c r="F40" s="28" t="str">
        <f>A.Backend!G34</f>
        <v>18,4</v>
      </c>
      <c r="G40" s="28" t="str">
        <f t="shared" si="3"/>
        <v/>
      </c>
      <c r="H40" s="35" t="str">
        <f t="shared" si="4"/>
        <v xml:space="preserve">			{headerName: this.l('Amount Vn'),headerTooltip: this.l('Amount Vn'),field: 'amountVn',flex: 1},</v>
      </c>
      <c r="I40" s="35" t="str">
        <f t="shared" si="5"/>
        <v/>
      </c>
      <c r="J40" s="28"/>
      <c r="K40" s="35" t="str">
        <f t="shared" si="6"/>
        <v/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amountVn</v>
      </c>
      <c r="T40" s="28" t="str">
        <f t="shared" si="14"/>
        <v xml:space="preserve">			this.amountVn,</v>
      </c>
      <c r="U40" s="28" t="str">
        <f t="shared" si="15"/>
        <v xml:space="preserve">		this.amountVn = '',</v>
      </c>
      <c r="V40" s="28" t="str">
        <f t="shared" si="8"/>
        <v/>
      </c>
    </row>
    <row r="41" spans="1:22" ht="15" customHeight="1" x14ac:dyDescent="0.35">
      <c r="A41" t="s">
        <v>391</v>
      </c>
      <c r="B41" s="28" t="str">
        <f t="shared" ref="B41:B44" si="40">SUBSTITUTE(PROPER(A41),"_","")</f>
        <v>Forwarder</v>
      </c>
      <c r="C41" s="28" t="str">
        <f t="shared" ref="C41:C44" si="41">SUBSTITUTE(PROPER(A41),"_"," ")</f>
        <v>Forwarder</v>
      </c>
      <c r="D41" s="28" t="str">
        <f t="shared" ref="D41:D44" si="42">LOWER(LEFT(B41,1))&amp;RIGHT(B41,LEN(B41) - 1)</f>
        <v>forwarder</v>
      </c>
      <c r="E41" s="28" t="str">
        <f>A.Backend!H35</f>
        <v>string</v>
      </c>
      <c r="F41" s="28" t="str">
        <f>A.Backend!G35</f>
        <v>10</v>
      </c>
      <c r="G41" s="28" t="str">
        <f t="shared" si="3"/>
        <v xml:space="preserve"> : string = '' ; </v>
      </c>
      <c r="H41" s="35" t="str">
        <f t="shared" si="4"/>
        <v xml:space="preserve">			{headerName: this.l('Forwarder'),headerTooltip: this.l('Forwarder'),field: 'forwarder',flex: 1},</v>
      </c>
      <c r="I41" s="35" t="str">
        <f t="shared" si="5"/>
        <v xml:space="preserve">								&lt;div class='input-search'&gt;
									&lt;input [(ngModel)]='forwarder' name='forwarder'
									class='form-control' [placeholder]="l('Forwarder')"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title'&gt;Forwarder&lt;/label&gt;
						&lt;input type='text' class='col-md-10 form-control input-text' name='Forwarder' [(ngModel)]='rowdata.forwarder'&gt;
					&lt;/div&gt;</v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forwarder : string = '' ; </v>
      </c>
      <c r="T41" s="28" t="str">
        <f t="shared" si="14"/>
        <v xml:space="preserve">			this.forwarder,</v>
      </c>
      <c r="U41" s="28" t="str">
        <f t="shared" si="15"/>
        <v xml:space="preserve">		this.forwarder = '',</v>
      </c>
      <c r="V41" s="28" t="str">
        <f t="shared" si="8"/>
        <v/>
      </c>
    </row>
    <row r="42" spans="1:22" ht="18" customHeight="1" x14ac:dyDescent="0.35">
      <c r="A42" t="s">
        <v>392</v>
      </c>
      <c r="B42" s="28" t="str">
        <f t="shared" si="40"/>
        <v>Generated</v>
      </c>
      <c r="C42" s="28" t="str">
        <f t="shared" si="41"/>
        <v>Generated</v>
      </c>
      <c r="D42" s="28" t="str">
        <f t="shared" si="42"/>
        <v>generated</v>
      </c>
      <c r="E42" s="28" t="str">
        <f>A.Backend!H36</f>
        <v>string</v>
      </c>
      <c r="F42" s="28" t="str">
        <f>A.Backend!G36</f>
        <v>1</v>
      </c>
      <c r="G42" s="28" t="str">
        <f t="shared" si="3"/>
        <v xml:space="preserve"> : string = '' ; </v>
      </c>
      <c r="H42" s="35" t="str">
        <f t="shared" si="4"/>
        <v xml:space="preserve">			{headerName: this.l('Generated'),headerTooltip: this.l('Generated'),field:  'generated', cellClass: ['text-center'], width: 120, cellRenderer: 'agCellButtonComponent',
buttonDefTwo: { text: params =&gt; (params.data?.'generated' == 'Y') ? 'Active' : 'Inactive',iconName: 'fa fa-circle',className: params =&gt; (params.data?.'generated' == 'Y') ? 'btnActive' : 'btnInActive',},}</v>
      </c>
      <c r="I42" s="35" t="str">
        <f t="shared" si="5"/>
        <v xml:space="preserve">								&lt;div class='input-search'&gt;
									&lt;input [(ngModel)]='generated' name='generated'
									class='form-control' [placeholder]="l('Generated')"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title'&gt;Generated&lt;/label&gt;
						&lt;new-checkbox [(ngModel)]='_generated' name='generated' className='col-md-10' &gt; &lt;/new-checkbox&gt;
					&lt;/div&gt;</v>
      </c>
      <c r="L42" s="56" t="str">
        <f t="shared" si="43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generated : string = '' ; </v>
      </c>
      <c r="T42" s="28" t="str">
        <f t="shared" si="14"/>
        <v xml:space="preserve">			this.generated,</v>
      </c>
      <c r="U42" s="28" t="str">
        <f t="shared" si="15"/>
        <v xml:space="preserve">		this.generated = '',</v>
      </c>
      <c r="V42" s="28" t="str">
        <f t="shared" si="8"/>
        <v>generated</v>
      </c>
    </row>
    <row r="43" spans="1:22" ht="15" customHeight="1" x14ac:dyDescent="0.35">
      <c r="A43" t="s">
        <v>393</v>
      </c>
      <c r="B43" s="28" t="str">
        <f t="shared" si="40"/>
        <v>Shop</v>
      </c>
      <c r="C43" s="28" t="str">
        <f t="shared" si="41"/>
        <v>Shop</v>
      </c>
      <c r="D43" s="28" t="str">
        <f t="shared" si="42"/>
        <v>shop</v>
      </c>
      <c r="E43" s="28" t="str">
        <f>A.Backend!H37</f>
        <v>string</v>
      </c>
      <c r="F43" s="28" t="str">
        <f>A.Backend!G37</f>
        <v>10</v>
      </c>
      <c r="G43" s="28" t="str">
        <f t="shared" si="3"/>
        <v xml:space="preserve"> : string = '' ; </v>
      </c>
      <c r="H43" s="35" t="str">
        <f t="shared" si="4"/>
        <v xml:space="preserve">			{headerName: this.l('Shop'),headerTooltip: this.l('Shop'),field: 'shop',flex: 1},</v>
      </c>
      <c r="I43" s="35" t="str">
        <f t="shared" si="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shop : string = '' ; </v>
      </c>
      <c r="T43" s="28" t="str">
        <f t="shared" si="14"/>
        <v xml:space="preserve">			this.shop,</v>
      </c>
      <c r="U43" s="28" t="str">
        <f t="shared" si="15"/>
        <v xml:space="preserve">		this.shop = '',</v>
      </c>
      <c r="V43" s="28" t="str">
        <f t="shared" si="8"/>
        <v/>
      </c>
    </row>
    <row r="44" spans="1:22" ht="18" customHeight="1" x14ac:dyDescent="0.35">
      <c r="A44" t="s">
        <v>319</v>
      </c>
      <c r="B44" s="28" t="str">
        <f t="shared" si="40"/>
        <v>IsActive</v>
      </c>
      <c r="C44" s="28" t="str">
        <f t="shared" si="41"/>
        <v>Is Active</v>
      </c>
      <c r="D44" s="28" t="str">
        <f t="shared" si="42"/>
        <v>isActive</v>
      </c>
      <c r="E44" s="28" t="str">
        <f>A.Backend!H38</f>
        <v>string</v>
      </c>
      <c r="F44" s="28" t="str">
        <f>A.Backend!G38</f>
        <v>1</v>
      </c>
      <c r="G44" s="28" t="str">
        <f t="shared" si="3"/>
        <v xml:space="preserve"> : string = '' ; </v>
      </c>
      <c r="H44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4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isActive : string = '' ; </v>
      </c>
      <c r="T44" s="28" t="str">
        <f t="shared" si="14"/>
        <v xml:space="preserve">			this.isActive,</v>
      </c>
      <c r="U44" s="28" t="str">
        <f t="shared" si="15"/>
        <v xml:space="preserve">		this.isActive = '',</v>
      </c>
      <c r="V44" s="28" t="str">
        <f t="shared" si="8"/>
        <v>isActive</v>
      </c>
    </row>
    <row r="46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34</v>
      </c>
    </row>
    <row r="6" spans="1:2" x14ac:dyDescent="0.35">
      <c r="A6" t="s">
        <v>23</v>
      </c>
      <c r="B6" t="s">
        <v>364</v>
      </c>
    </row>
    <row r="7" spans="1:2" x14ac:dyDescent="0.35">
      <c r="A7" t="s">
        <v>24</v>
      </c>
      <c r="B7" t="s">
        <v>359</v>
      </c>
    </row>
    <row r="8" spans="1:2" x14ac:dyDescent="0.35">
      <c r="A8" t="s">
        <v>4</v>
      </c>
      <c r="B8" t="s">
        <v>359</v>
      </c>
    </row>
    <row r="9" spans="1:2" x14ac:dyDescent="0.35">
      <c r="A9" t="s">
        <v>0</v>
      </c>
      <c r="B9" t="s">
        <v>360</v>
      </c>
    </row>
    <row r="10" spans="1:2" x14ac:dyDescent="0.35">
      <c r="A10" t="s">
        <v>25</v>
      </c>
      <c r="B10" t="s">
        <v>363</v>
      </c>
    </row>
    <row r="11" spans="1:2" x14ac:dyDescent="0.35">
      <c r="A11" t="s">
        <v>26</v>
      </c>
      <c r="B11" t="s">
        <v>363</v>
      </c>
    </row>
    <row r="12" spans="1:2" x14ac:dyDescent="0.35">
      <c r="A12" t="s">
        <v>27</v>
      </c>
      <c r="B12" t="s">
        <v>363</v>
      </c>
    </row>
    <row r="13" spans="1:2" x14ac:dyDescent="0.35">
      <c r="A13" t="s">
        <v>28</v>
      </c>
      <c r="B13" t="s">
        <v>363</v>
      </c>
    </row>
    <row r="14" spans="1:2" x14ac:dyDescent="0.35">
      <c r="A14" t="s">
        <v>29</v>
      </c>
      <c r="B14" t="s">
        <v>363</v>
      </c>
    </row>
    <row r="15" spans="1:2" x14ac:dyDescent="0.35">
      <c r="A15" t="s">
        <v>30</v>
      </c>
      <c r="B15" t="s">
        <v>363</v>
      </c>
    </row>
    <row r="16" spans="1:2" x14ac:dyDescent="0.35">
      <c r="A16" t="s">
        <v>31</v>
      </c>
      <c r="B16" t="s">
        <v>361</v>
      </c>
    </row>
    <row r="17" spans="1:2" x14ac:dyDescent="0.35">
      <c r="A17" t="s">
        <v>3</v>
      </c>
      <c r="B17" t="s">
        <v>361</v>
      </c>
    </row>
    <row r="18" spans="1:2" x14ac:dyDescent="0.35">
      <c r="A18" t="s">
        <v>33</v>
      </c>
      <c r="B18" t="s">
        <v>361</v>
      </c>
    </row>
    <row r="19" spans="1:2" x14ac:dyDescent="0.35">
      <c r="A19" t="s">
        <v>2</v>
      </c>
      <c r="B19" t="s">
        <v>361</v>
      </c>
    </row>
    <row r="20" spans="1:2" x14ac:dyDescent="0.35">
      <c r="A20" t="s">
        <v>263</v>
      </c>
      <c r="B20" t="s">
        <v>362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190</v>
      </c>
      <c r="B2" s="23" t="s">
        <v>187</v>
      </c>
    </row>
    <row r="3" spans="1:2" x14ac:dyDescent="0.35">
      <c r="B3" s="20" t="s">
        <v>112</v>
      </c>
    </row>
    <row r="4" spans="1:2" x14ac:dyDescent="0.35">
      <c r="B4" s="20" t="s">
        <v>113</v>
      </c>
    </row>
    <row r="5" spans="1:2" x14ac:dyDescent="0.35">
      <c r="B5" s="20" t="s">
        <v>114</v>
      </c>
    </row>
    <row r="6" spans="1:2" x14ac:dyDescent="0.35">
      <c r="B6" s="20" t="s">
        <v>115</v>
      </c>
    </row>
    <row r="7" spans="1:2" x14ac:dyDescent="0.35">
      <c r="B7" s="20" t="s">
        <v>116</v>
      </c>
    </row>
    <row r="8" spans="1:2" x14ac:dyDescent="0.35">
      <c r="B8" s="20" t="s">
        <v>117</v>
      </c>
    </row>
    <row r="9" spans="1:2" x14ac:dyDescent="0.35">
      <c r="B9" s="20" t="s">
        <v>118</v>
      </c>
    </row>
    <row r="10" spans="1:2" x14ac:dyDescent="0.35">
      <c r="B10" s="20" t="s">
        <v>119</v>
      </c>
    </row>
    <row r="11" spans="1:2" x14ac:dyDescent="0.35">
      <c r="B11" s="20" t="s">
        <v>120</v>
      </c>
    </row>
    <row r="12" spans="1:2" x14ac:dyDescent="0.35">
      <c r="B12" s="20" t="s">
        <v>121</v>
      </c>
    </row>
    <row r="13" spans="1:2" x14ac:dyDescent="0.35">
      <c r="B13" s="20" t="s">
        <v>122</v>
      </c>
    </row>
    <row r="14" spans="1:2" x14ac:dyDescent="0.35">
      <c r="B14" s="20" t="s">
        <v>123</v>
      </c>
    </row>
    <row r="15" spans="1:2" x14ac:dyDescent="0.35">
      <c r="B15" s="20" t="s">
        <v>124</v>
      </c>
    </row>
    <row r="16" spans="1:2" x14ac:dyDescent="0.35">
      <c r="B16" s="20" t="s">
        <v>125</v>
      </c>
    </row>
    <row r="17" spans="1:3" x14ac:dyDescent="0.35">
      <c r="B17" s="20" t="s">
        <v>126</v>
      </c>
    </row>
    <row r="18" spans="1:3" x14ac:dyDescent="0.35">
      <c r="B18" s="20" t="s">
        <v>127</v>
      </c>
      <c r="C18" t="s">
        <v>189</v>
      </c>
    </row>
    <row r="19" spans="1:3" x14ac:dyDescent="0.35">
      <c r="B19" s="20" t="s">
        <v>128</v>
      </c>
    </row>
    <row r="20" spans="1:3" x14ac:dyDescent="0.35">
      <c r="B20" s="20" t="s">
        <v>129</v>
      </c>
    </row>
    <row r="21" spans="1:3" x14ac:dyDescent="0.35">
      <c r="B21" s="20" t="s">
        <v>130</v>
      </c>
    </row>
    <row r="22" spans="1:3" x14ac:dyDescent="0.35">
      <c r="B22" s="20" t="s">
        <v>131</v>
      </c>
      <c r="C22" t="s">
        <v>194</v>
      </c>
    </row>
    <row r="23" spans="1:3" x14ac:dyDescent="0.35">
      <c r="B23" s="20" t="s">
        <v>132</v>
      </c>
    </row>
    <row r="24" spans="1:3" x14ac:dyDescent="0.35">
      <c r="B24" s="20" t="s">
        <v>133</v>
      </c>
    </row>
    <row r="25" spans="1:3" x14ac:dyDescent="0.35">
      <c r="B25" s="20" t="s">
        <v>134</v>
      </c>
    </row>
    <row r="26" spans="1:3" x14ac:dyDescent="0.35">
      <c r="A26" s="22" t="s">
        <v>191</v>
      </c>
      <c r="B26" s="23" t="s">
        <v>188</v>
      </c>
    </row>
    <row r="27" spans="1:3" x14ac:dyDescent="0.35">
      <c r="B27" s="20" t="s">
        <v>135</v>
      </c>
    </row>
    <row r="28" spans="1:3" x14ac:dyDescent="0.35">
      <c r="B28" s="21" t="s">
        <v>136</v>
      </c>
    </row>
    <row r="29" spans="1:3" x14ac:dyDescent="0.35">
      <c r="B29" s="20" t="s">
        <v>137</v>
      </c>
    </row>
    <row r="30" spans="1:3" x14ac:dyDescent="0.35">
      <c r="B30" s="20" t="s">
        <v>138</v>
      </c>
    </row>
    <row r="31" spans="1:3" x14ac:dyDescent="0.35">
      <c r="B31" s="20" t="s">
        <v>139</v>
      </c>
    </row>
    <row r="32" spans="1:3" x14ac:dyDescent="0.35">
      <c r="B32" s="20" t="s">
        <v>140</v>
      </c>
    </row>
    <row r="33" spans="2:2" x14ac:dyDescent="0.35">
      <c r="B33" s="20" t="s">
        <v>141</v>
      </c>
    </row>
    <row r="34" spans="2:2" x14ac:dyDescent="0.35">
      <c r="B34" s="20" t="s">
        <v>142</v>
      </c>
    </row>
    <row r="35" spans="2:2" x14ac:dyDescent="0.35">
      <c r="B35" s="20" t="s">
        <v>143</v>
      </c>
    </row>
    <row r="36" spans="2:2" x14ac:dyDescent="0.35">
      <c r="B36" s="20" t="s">
        <v>144</v>
      </c>
    </row>
    <row r="37" spans="2:2" x14ac:dyDescent="0.35">
      <c r="B37" s="20" t="s">
        <v>145</v>
      </c>
    </row>
    <row r="38" spans="2:2" x14ac:dyDescent="0.35">
      <c r="B38" s="20" t="s">
        <v>146</v>
      </c>
    </row>
    <row r="39" spans="2:2" x14ac:dyDescent="0.35">
      <c r="B39" s="20" t="s">
        <v>147</v>
      </c>
    </row>
    <row r="40" spans="2:2" x14ac:dyDescent="0.35">
      <c r="B40" s="20" t="s">
        <v>148</v>
      </c>
    </row>
    <row r="41" spans="2:2" x14ac:dyDescent="0.35">
      <c r="B41" s="20" t="s">
        <v>149</v>
      </c>
    </row>
    <row r="42" spans="2:2" x14ac:dyDescent="0.35">
      <c r="B42" s="20" t="s">
        <v>150</v>
      </c>
    </row>
    <row r="43" spans="2:2" x14ac:dyDescent="0.35">
      <c r="B43" s="21" t="s">
        <v>151</v>
      </c>
    </row>
    <row r="44" spans="2:2" x14ac:dyDescent="0.35">
      <c r="B44" s="20" t="s">
        <v>137</v>
      </c>
    </row>
    <row r="45" spans="2:2" x14ac:dyDescent="0.35">
      <c r="B45" s="20" t="s">
        <v>152</v>
      </c>
    </row>
    <row r="46" spans="2:2" x14ac:dyDescent="0.35">
      <c r="B46" s="20" t="s">
        <v>153</v>
      </c>
    </row>
    <row r="47" spans="2:2" x14ac:dyDescent="0.35">
      <c r="B47" s="20" t="s">
        <v>154</v>
      </c>
    </row>
    <row r="48" spans="2:2" x14ac:dyDescent="0.35">
      <c r="B48" s="20" t="s">
        <v>155</v>
      </c>
    </row>
    <row r="49" spans="2:2" x14ac:dyDescent="0.35">
      <c r="B49" s="20" t="s">
        <v>138</v>
      </c>
    </row>
    <row r="50" spans="2:2" x14ac:dyDescent="0.35">
      <c r="B50" s="20" t="s">
        <v>139</v>
      </c>
    </row>
    <row r="51" spans="2:2" x14ac:dyDescent="0.35">
      <c r="B51" s="20" t="s">
        <v>140</v>
      </c>
    </row>
    <row r="52" spans="2:2" x14ac:dyDescent="0.35">
      <c r="B52" s="20" t="s">
        <v>141</v>
      </c>
    </row>
    <row r="53" spans="2:2" x14ac:dyDescent="0.35">
      <c r="B53" s="20" t="s">
        <v>142</v>
      </c>
    </row>
    <row r="54" spans="2:2" x14ac:dyDescent="0.35">
      <c r="B54" s="20" t="s">
        <v>143</v>
      </c>
    </row>
    <row r="55" spans="2:2" x14ac:dyDescent="0.35">
      <c r="B55" s="20" t="s">
        <v>144</v>
      </c>
    </row>
    <row r="56" spans="2:2" x14ac:dyDescent="0.35">
      <c r="B56" s="20" t="s">
        <v>156</v>
      </c>
    </row>
    <row r="57" spans="2:2" x14ac:dyDescent="0.35">
      <c r="B57" s="20" t="s">
        <v>157</v>
      </c>
    </row>
    <row r="58" spans="2:2" x14ac:dyDescent="0.35">
      <c r="B58" s="20" t="s">
        <v>145</v>
      </c>
    </row>
    <row r="59" spans="2:2" x14ac:dyDescent="0.35">
      <c r="B59" s="20" t="s">
        <v>146</v>
      </c>
    </row>
    <row r="60" spans="2:2" x14ac:dyDescent="0.35">
      <c r="B60" s="20" t="s">
        <v>158</v>
      </c>
    </row>
    <row r="61" spans="2:2" x14ac:dyDescent="0.35">
      <c r="B61" s="20" t="s">
        <v>159</v>
      </c>
    </row>
    <row r="62" spans="2:2" x14ac:dyDescent="0.35">
      <c r="B62" s="20" t="s">
        <v>160</v>
      </c>
    </row>
    <row r="63" spans="2:2" x14ac:dyDescent="0.35">
      <c r="B63" s="20" t="s">
        <v>155</v>
      </c>
    </row>
    <row r="64" spans="2:2" x14ac:dyDescent="0.35">
      <c r="B64" s="20" t="s">
        <v>147</v>
      </c>
    </row>
    <row r="65" spans="2:2" x14ac:dyDescent="0.35">
      <c r="B65" s="20" t="s">
        <v>148</v>
      </c>
    </row>
    <row r="66" spans="2:2" x14ac:dyDescent="0.35">
      <c r="B66" s="20" t="s">
        <v>161</v>
      </c>
    </row>
    <row r="67" spans="2:2" x14ac:dyDescent="0.35">
      <c r="B67" s="20" t="s">
        <v>155</v>
      </c>
    </row>
    <row r="68" spans="2:2" x14ac:dyDescent="0.35">
      <c r="B68" s="20" t="s">
        <v>149</v>
      </c>
    </row>
    <row r="69" spans="2:2" x14ac:dyDescent="0.35">
      <c r="B69" s="20" t="s">
        <v>162</v>
      </c>
    </row>
    <row r="70" spans="2:2" x14ac:dyDescent="0.35">
      <c r="B70" s="21" t="s">
        <v>163</v>
      </c>
    </row>
    <row r="71" spans="2:2" x14ac:dyDescent="0.35">
      <c r="B71" s="20" t="s">
        <v>137</v>
      </c>
    </row>
    <row r="72" spans="2:2" x14ac:dyDescent="0.35">
      <c r="B72" s="20" t="s">
        <v>138</v>
      </c>
    </row>
    <row r="73" spans="2:2" x14ac:dyDescent="0.35">
      <c r="B73" s="20" t="s">
        <v>139</v>
      </c>
    </row>
    <row r="74" spans="2:2" x14ac:dyDescent="0.35">
      <c r="B74" s="20" t="s">
        <v>140</v>
      </c>
    </row>
    <row r="75" spans="2:2" x14ac:dyDescent="0.35">
      <c r="B75" s="20" t="s">
        <v>144</v>
      </c>
    </row>
    <row r="76" spans="2:2" x14ac:dyDescent="0.35">
      <c r="B76" s="20" t="s">
        <v>146</v>
      </c>
    </row>
    <row r="77" spans="2:2" x14ac:dyDescent="0.35">
      <c r="B77" s="20" t="s">
        <v>147</v>
      </c>
    </row>
    <row r="78" spans="2:2" x14ac:dyDescent="0.35">
      <c r="B78" s="20" t="s">
        <v>148</v>
      </c>
    </row>
    <row r="79" spans="2:2" x14ac:dyDescent="0.35">
      <c r="B79" s="20" t="s">
        <v>149</v>
      </c>
    </row>
    <row r="80" spans="2:2" x14ac:dyDescent="0.35">
      <c r="B80" s="20" t="s">
        <v>162</v>
      </c>
    </row>
    <row r="81" spans="1:2" x14ac:dyDescent="0.35">
      <c r="B81" s="21" t="s">
        <v>164</v>
      </c>
    </row>
    <row r="82" spans="1:2" x14ac:dyDescent="0.35">
      <c r="B82" s="21" t="s">
        <v>165</v>
      </c>
    </row>
    <row r="83" spans="1:2" x14ac:dyDescent="0.35">
      <c r="B83" s="21" t="s">
        <v>166</v>
      </c>
    </row>
    <row r="84" spans="1:2" x14ac:dyDescent="0.35">
      <c r="B84" s="21" t="s">
        <v>167</v>
      </c>
    </row>
    <row r="85" spans="1:2" x14ac:dyDescent="0.35">
      <c r="B85" s="21" t="s">
        <v>168</v>
      </c>
    </row>
    <row r="86" spans="1:2" x14ac:dyDescent="0.35">
      <c r="B86" s="21" t="s">
        <v>169</v>
      </c>
    </row>
    <row r="87" spans="1:2" x14ac:dyDescent="0.35">
      <c r="B87" s="21" t="s">
        <v>170</v>
      </c>
    </row>
    <row r="88" spans="1:2" x14ac:dyDescent="0.35">
      <c r="A88" s="22" t="s">
        <v>192</v>
      </c>
      <c r="B88" s="24" t="s">
        <v>171</v>
      </c>
    </row>
    <row r="89" spans="1:2" x14ac:dyDescent="0.35">
      <c r="B89" s="20" t="s">
        <v>172</v>
      </c>
    </row>
    <row r="90" spans="1:2" x14ac:dyDescent="0.35">
      <c r="B90" s="20" t="s">
        <v>173</v>
      </c>
    </row>
    <row r="91" spans="1:2" x14ac:dyDescent="0.35">
      <c r="B91" s="20" t="s">
        <v>174</v>
      </c>
    </row>
    <row r="92" spans="1:2" x14ac:dyDescent="0.35">
      <c r="B92" s="20" t="s">
        <v>175</v>
      </c>
    </row>
    <row r="93" spans="1:2" x14ac:dyDescent="0.35">
      <c r="B93" s="20" t="s">
        <v>176</v>
      </c>
    </row>
    <row r="94" spans="1:2" x14ac:dyDescent="0.35">
      <c r="B94" s="20" t="s">
        <v>177</v>
      </c>
    </row>
    <row r="95" spans="1:2" x14ac:dyDescent="0.35">
      <c r="B95" s="20" t="s">
        <v>178</v>
      </c>
    </row>
    <row r="96" spans="1:2" x14ac:dyDescent="0.35">
      <c r="B96" s="20" t="s">
        <v>179</v>
      </c>
    </row>
    <row r="97" spans="2:2" x14ac:dyDescent="0.35">
      <c r="B97" s="20" t="s">
        <v>180</v>
      </c>
    </row>
    <row r="98" spans="2:2" x14ac:dyDescent="0.35">
      <c r="B98" s="20" t="s">
        <v>181</v>
      </c>
    </row>
    <row r="99" spans="2:2" x14ac:dyDescent="0.35">
      <c r="B99" s="20" t="s">
        <v>182</v>
      </c>
    </row>
    <row r="100" spans="2:2" x14ac:dyDescent="0.35">
      <c r="B100" s="20" t="s">
        <v>183</v>
      </c>
    </row>
    <row r="101" spans="2:2" x14ac:dyDescent="0.35">
      <c r="B101" s="20" t="s">
        <v>184</v>
      </c>
    </row>
    <row r="102" spans="2:2" x14ac:dyDescent="0.35">
      <c r="B102" s="20" t="s">
        <v>185</v>
      </c>
    </row>
    <row r="103" spans="2:2" x14ac:dyDescent="0.3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2023-04-13T09:13:57Z</dcterms:modified>
</cp:coreProperties>
</file>
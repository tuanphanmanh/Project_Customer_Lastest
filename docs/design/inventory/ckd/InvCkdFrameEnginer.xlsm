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inventory\ckd\"/>
    </mc:Choice>
  </mc:AlternateContent>
  <xr:revisionPtr revIDLastSave="0" documentId="13_ncr:1_{9E9653A8-5474-474D-B589-4B4A4D51A363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5" l="1"/>
  <c r="K17" i="5"/>
  <c r="K18" i="5"/>
  <c r="K19" i="5"/>
  <c r="K20" i="5"/>
  <c r="K21" i="5"/>
  <c r="K15" i="5"/>
  <c r="U16" i="5"/>
  <c r="U17" i="5"/>
  <c r="U18" i="5"/>
  <c r="U19" i="5"/>
  <c r="U20" i="5"/>
  <c r="U21" i="5"/>
  <c r="U15" i="5"/>
  <c r="S16" i="5"/>
  <c r="S17" i="5"/>
  <c r="S18" i="5"/>
  <c r="S19" i="5"/>
  <c r="S20" i="5"/>
  <c r="S21" i="5"/>
  <c r="S15" i="5"/>
  <c r="T15" i="5"/>
  <c r="T17" i="5"/>
  <c r="T18" i="5"/>
  <c r="T19" i="5"/>
  <c r="T20" i="5"/>
  <c r="T21" i="5"/>
  <c r="T16" i="5"/>
  <c r="I16" i="5"/>
  <c r="I20" i="5"/>
  <c r="I21" i="5"/>
  <c r="I15" i="5"/>
  <c r="I17" i="5"/>
  <c r="I18" i="5"/>
  <c r="I19" i="5"/>
  <c r="V16" i="5"/>
  <c r="V17" i="5"/>
  <c r="V18" i="5"/>
  <c r="V19" i="5"/>
  <c r="V20" i="5"/>
  <c r="V21" i="5"/>
  <c r="B16" i="5"/>
  <c r="D16" i="5" s="1"/>
  <c r="C16" i="5"/>
  <c r="E16" i="5"/>
  <c r="H16" i="5" s="1"/>
  <c r="F16" i="5"/>
  <c r="G16" i="5"/>
  <c r="B17" i="5"/>
  <c r="D17" i="5" s="1"/>
  <c r="C17" i="5"/>
  <c r="E17" i="5"/>
  <c r="G17" i="5" s="1"/>
  <c r="F17" i="5"/>
  <c r="B18" i="5"/>
  <c r="D18" i="5" s="1"/>
  <c r="C18" i="5"/>
  <c r="E18" i="5"/>
  <c r="G18" i="5" s="1"/>
  <c r="F18" i="5"/>
  <c r="B19" i="5"/>
  <c r="D19" i="5" s="1"/>
  <c r="C19" i="5"/>
  <c r="E19" i="5"/>
  <c r="G19" i="5" s="1"/>
  <c r="F19" i="5"/>
  <c r="B20" i="5"/>
  <c r="D20" i="5" s="1"/>
  <c r="C20" i="5"/>
  <c r="E20" i="5"/>
  <c r="G20" i="5" s="1"/>
  <c r="F20" i="5"/>
  <c r="B21" i="5"/>
  <c r="D21" i="5" s="1"/>
  <c r="C21" i="5"/>
  <c r="E21" i="5"/>
  <c r="G21" i="5" s="1"/>
  <c r="F21" i="5"/>
  <c r="V13" i="5"/>
  <c r="H21" i="5" l="1"/>
  <c r="H20" i="5"/>
  <c r="H19" i="5"/>
  <c r="H18" i="5"/>
  <c r="H17" i="5"/>
  <c r="L15" i="1"/>
  <c r="G15" i="1"/>
  <c r="E15" i="1"/>
  <c r="H15" i="1" s="1"/>
  <c r="W15" i="1" s="1"/>
  <c r="D15" i="1"/>
  <c r="V15" i="1" s="1"/>
  <c r="P15" i="1" l="1"/>
  <c r="T15" i="1"/>
  <c r="I15" i="1"/>
  <c r="N15" i="1"/>
  <c r="M15" i="1"/>
  <c r="J15" i="1"/>
  <c r="O15" i="1"/>
  <c r="B7" i="5"/>
  <c r="B6" i="5"/>
  <c r="B2" i="5"/>
  <c r="B8" i="5" l="1"/>
  <c r="B3" i="5"/>
  <c r="L14" i="1"/>
  <c r="G14" i="1"/>
  <c r="E14" i="1"/>
  <c r="H14" i="1" s="1"/>
  <c r="D14" i="1"/>
  <c r="T14" i="1" s="1"/>
  <c r="L21" i="5" l="1"/>
  <c r="L20" i="5"/>
  <c r="M14" i="1"/>
  <c r="I14" i="1"/>
  <c r="N14" i="1"/>
  <c r="V14" i="1"/>
  <c r="J14" i="1"/>
  <c r="O14" i="1"/>
  <c r="W14" i="1"/>
  <c r="P14" i="1"/>
  <c r="B6" i="1" l="1"/>
  <c r="G13" i="1"/>
  <c r="E13" i="1"/>
  <c r="H13" i="1" s="1"/>
  <c r="D13" i="1"/>
  <c r="V13" i="1" s="1"/>
  <c r="L19" i="5" l="1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L18" i="5" l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H15" i="5" l="1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L16" i="5" l="1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7" i="1"/>
  <c r="T7" i="1" l="1"/>
  <c r="W17" i="1"/>
  <c r="G6" i="1" l="1"/>
  <c r="U13" i="5"/>
  <c r="H13" i="5"/>
  <c r="S13" i="5"/>
  <c r="L13" i="5"/>
  <c r="K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J17" i="1"/>
  <c r="I17" i="1"/>
  <c r="N17" i="1"/>
  <c r="P17" i="1"/>
  <c r="O17" i="1"/>
  <c r="Q7" i="1" l="1"/>
  <c r="M68" i="3" s="1"/>
  <c r="L7" i="1"/>
  <c r="G68" i="3" s="1"/>
  <c r="K68" i="3"/>
  <c r="J68" i="3"/>
  <c r="M17" i="1"/>
  <c r="K1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<sst xmlns="http://schemas.openxmlformats.org/spreadsheetml/2006/main" count="459" uniqueCount="369">
  <si>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</si>
  <si>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</si>
  <si>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</si>
  <si>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</si>
  <si>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</si>
  <si>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</si>
  <si>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</si>
  <si>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</si>
  <si>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</si>
  <si>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</si>
  <si>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</si>
  <si>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</si>
  <si>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</si>
  <si>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</si>
  <si>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</si>
  <si>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</si>
  <si>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</si>
  <si>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</si>
  <si>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</si>
  <si>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</si>
  <si>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</si>
  <si>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</si>
  <si>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</si>
  <si>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</si>
  <si>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</si>
  <si>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</si>
  <si>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</si>
  <si>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</si>
  <si>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</si>
  <si>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</si>
  <si>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</si>
  <si>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</si>
  <si>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</si>
  <si>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</si>
  <si>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</si>
  <si>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</si>
  <si>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</si>
  <si>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</si>
  <si>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</si>
  <si>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</si>
  <si>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</si>
  <si>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</si>
  <si>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</si>
  <si>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</si>
  <si>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</si>
  <si>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</si>
  <si>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</si>
  <si>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</si>
  <si>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</si>
  <si>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</si>
  <si>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</si>
  <si>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</si>
  <si>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</si>
  <si>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</si>
  <si>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</si>
  <si>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</si>
  <si>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</si>
  <si>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</si>
  <si>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</si>
  <si>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</si>
  <si>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</si>
  <si>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</si>
  <si>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</si>
  <si>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</si>
  <si>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</si>
  <si>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</si>
  <si>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</si>
  <si>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</si>
  <si>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</si>
  <si>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</si>
  <si>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</si>
  <si>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</si>
  <si>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</si>
  <si>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</si>
  <si>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</si>
  <si>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</si>
  <si>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</si>
  <si>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</si>
  <si>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</si>
  <si>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</si>
  <si>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</si>
  <si>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</si>
  <si>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</si>
  <si>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</si>
  <si>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</si>
  <si>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</si>
  <si>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</si>
  <si>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</si>
  <si>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</si>
  <si>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</si>
  <si>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</si>
  <si>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</si>
  <si>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</si>
  <si>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</si>
  <si>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</si>
  <si>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</si>
  <si>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</si>
  <si>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</si>
  <si>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</si>
  <si>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</si>
  <si>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</si>
  <si>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</si>
  <si>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</si>
  <si>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</si>
  <si>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</si>
  <si>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</si>
  <si>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</si>
  <si>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</si>
  <si>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</si>
  <si>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</si>
  <si>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</si>
  <si>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</si>
  <si>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</si>
  <si>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</si>
  <si>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</si>
  <si>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</si>
  <si>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</si>
  <si>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</si>
  <si>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</si>
  <si>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</si>
  <si>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</si>
  <si>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</si>
  <si>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</si>
  <si>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</si>
  <si>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</si>
  <si>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</si>
  <si>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</si>
  <si>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</si>
  <si>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</si>
  <si>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</si>
  <si>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</si>
  <si>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</si>
  <si>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</si>
  <si>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</si>
  <si>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</si>
  <si>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</si>
  <si>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</si>
  <si>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</si>
  <si>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</si>
  <si>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</si>
  <si>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</si>
  <si>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</si>
  <si>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</si>
  <si>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</si>
  <si>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</si>
  <si>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</si>
  <si>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</si>
  <si>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</si>
  <si>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</si>
  <si>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</si>
  <si>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</si>
  <si>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</si>
  <si>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</si>
  <si>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</si>
  <si>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</si>
  <si>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</si>
  <si>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</si>
  <si>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</si>
  <si>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</si>
  <si>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</si>
  <si>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</si>
  <si>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</si>
  <si>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</si>
  <si>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</si>
  <si>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</si>
  <si>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</si>
  <si>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</si>
  <si>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</si>
  <si>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</si>
  <si>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</si>
  <si>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</si>
  <si>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</si>
  <si>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</si>
  <si>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</si>
  <si>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</si>
  <si>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</si>
  <si>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</si>
  <si>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</si>
  <si>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</si>
  <si>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</si>
  <si>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</si>
  <si>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</si>
  <si>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</si>
  <si>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</si>
  <si>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</si>
  <si>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</si>
  <si>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</si>
  <si>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</si>
  <si>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</si>
  <si>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</si>
  <si>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</si>
  <si>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</si>
  <si>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</si>
  <si>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</si>
  <si>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</si>
  <si>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</si>
  <si>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</si>
  <si>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</si>
  <si>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</si>
  <si>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</si>
  <si>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</si>
  <si>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</si>
  <si>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</si>
  <si>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</si>
  <si>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</si>
  <si>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</si>
  <si>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</si>
  <si>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</si>
  <si>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</si>
  <si>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</si>
  <si>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</si>
  <si>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</si>
  <si>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</si>
  <si>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</si>
  <si>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</si>
  <si>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</si>
  <si>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</si>
  <si>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</si>
  <si>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</si>
  <si>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</si>
  <si>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</si>
  <si>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</si>
  <si>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</si>
  <si>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</si>
  <si>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</si>
  <si>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</si>
  <si>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</si>
  <si>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</si>
  <si>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</si>
  <si>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</si>
  <si>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</si>
  <si>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</si>
  <si>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</si>
  <si>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</si>
  <si>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</si>
  <si>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</si>
  <si>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</si>
  <si>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</si>
  <si>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</si>
  <si>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</si>
  <si>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</si>
  <si>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</si>
  <si>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</si>
  <si>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</si>
  <si>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</si>
  <si>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</si>
  <si>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</si>
  <si>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</si>
  <si>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</si>
  <si>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</si>
  <si>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</si>
  <si>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</si>
  <si>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</si>
  <si>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</si>
  <si>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</si>
  <si>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</si>
  <si>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</si>
  <si>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</si>
  <si>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</si>
  <si>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</si>
  <si>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</si>
  <si>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</si>
  <si>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</si>
  <si>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</si>
  <si>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</si>
  <si>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</si>
  <si>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</si>
  <si>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</si>
  <si>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</si>
  <si>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</si>
  <si>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</si>
  <si>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</si>
  <si>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</si>
  <si>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</si>
  <si>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</si>
  <si>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</si>
  <si>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</si>
  <si>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</si>
  <si>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</si>
  <si>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</si>
  <si>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</si>
  <si>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</si>
  <si>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</si>
  <si>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</si>
  <si>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</si>
  <si>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</si>
  <si>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</si>
  <si>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</si>
  <si>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</si>
  <si>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</si>
  <si>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</si>
  <si>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</si>
  <si>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</si>
  <si>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</si>
  <si>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</si>
  <si>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</si>
  <si>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</si>
  <si>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</si>
  <si>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</si>
  <si>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</si>
  <si>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</si>
  <si>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</si>
  <si>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</si>
  <si>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</si>
  <si>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</si>
  <si>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</si>
  <si>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</si>
  <si>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</si>
  <si>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</si>
  <si>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</si>
  <si>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</si>
  <si>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</si>
  <si>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</si>
  <si>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</si>
  <si>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</si>
  <si>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</si>
  <si>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</si>
  <si>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</si>
  <si>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</si>
  <si>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</si>
  <si>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</si>
  <si>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</si>
  <si>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</si>
  <si>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</si>
  <si>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</si>
  <si>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</si>
  <si>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</si>
  <si>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</si>
  <si>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</si>
  <si>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</si>
  <si>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</si>
  <si>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</si>
  <si>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</si>
  <si>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</si>
  <si>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</si>
  <si>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</si>
  <si>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</si>
  <si>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</si>
  <si>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</si>
  <si>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</si>
  <si>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</si>
  <si>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</si>
  <si>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</si>
  <si>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</si>
  <si>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</si>
  <si>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</si>
  <si>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</si>
  <si>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</si>
  <si>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</si>
  <si>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</si>
  <si>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</si>
  <si>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</si>
  <si>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</si>
  <si>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</si>
  <si>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</si>
  <si>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</si>
  <si>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SUPPLIER_ID</t>
  </si>
  <si>
    <t>PIC_NAME</t>
  </si>
  <si>
    <t>nvarchar(40)</t>
  </si>
  <si>
    <t>PIC_TELEPHONE</t>
  </si>
  <si>
    <t>nvarchar(100)</t>
  </si>
  <si>
    <t>PIC_EMAIL</t>
  </si>
  <si>
    <t>IS_MAIN_PIC</t>
  </si>
  <si>
    <t>varchar(50)</t>
  </si>
  <si>
    <t>varchar(1)</t>
  </si>
  <si>
    <t>IS_SEND_EMAIL</t>
  </si>
  <si>
    <t>Master.Inv</t>
  </si>
  <si>
    <t>MstInvGpsSupplierPic</t>
  </si>
  <si>
    <t>GpsSupplierPic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</si>
</sst>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D64" zoomScaleNormal="100" workbookViewId="0">
      <selection activeCell="E77" sqref="E7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[Table("MstInvGpsSupplierPic")]
	public class MstInvGpsSupplierPic: FullAuditedEntity&lt;long&gt;, IEntity&lt;long&gt;	
	{
		public const int MaxPicNameLength = 40;
		public const int MaxPicTelephoneLength = 100;
		public const int MaxPicEmailLength = 100;
		public const int MaxIsMainPicLength = 50;
		public const int MaxIsSendEmailLength = 1;
		public const int MaxIsActiveLength = 1;
		public virtual long? SupplierId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[StringLength(MaxIsSendEmailLength)]
		public virtual string IsSendEmail { get; set; }
		[StringLength(MaxIsActiveLength)]
		public virtual string IsActive { get; set; }
	}
}
</v>
      </c>
      <c r="D68" s="48" t="str">
        <f>A.Backend!O7</f>
        <v xml:space="preserve">		public const string Pages_Master_Inv_GpsSupplierPic = "Pages.Master.Inv.GpsSupplierPic";
		public const string Pages_Master_Inv_GpsSupplierPic_CreateEdit = "Pages.Master.Inv.GpsSupplierPic.CreateEdit";
		public const string Pages_Master_Inv_GpsSupplierPic_Delete = "Pages.Master.Inv.GpsSupplierPic.Delete";
</v>
      </c>
      <c r="E68" s="48" t="str">
        <f>A.Backend!N7</f>
        <v xml:space="preserve">		var perMstInvGpsSupplierPic = PARENTS.CreateChildPermission(AppPermissions.Pages_Master_Inv_GpsSupplierPic, L( "MasterInvGpsSupplierPic"), multiTenancySides: MultiTenancySides.Tenant);
		perMstInvGpsSupplierPic.CreateChildPermission(AppPermissions.Pages_Master_Inv_GpsSupplierPic_CreateEdit, L( "MasterInvGpsSupplierPicCreateEdit"), multiTenancySides: MultiTenancySides.Tenant);
		perMstInvGpsSupplierPic.CreateChildPermission(AppPermissions.Pages_Master_Inv_GpsSupplierPic_Delete, L( "MasterInvGpsSupplierPicDelete"), multiTenancySides: MultiTenancySides.Tenant);</v>
      </c>
      <c r="F68" s="48" t="str">
        <f>A.Backend!K7</f>
        <v>public virtual DbSet&lt;MstInvGpsSupplierPic&gt; MstInvGpsSupplierPics { get; set; }</v>
      </c>
      <c r="G68" s="48" t="str">
        <f ca="1">A.Backend!L7</f>
        <v xml:space="preserve">namespace prod.Master.Inv
{
	public class MstInvGpsSupplierPicConsts	
	{
		public const int MaxPicNameLength = 40;
		public const int MaxPicTelephoneLength = 100;
		public const int MaxPicEmailLength = 100;
		public const int MaxIsMainPicLength = 50;
		public const int MaxIsSendEmailLength = 1;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MstInvGpsSupplierPicDto : EntityDto&lt;long?&gt;	
	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	public class CreateOrEditMstInvGpsSupplierPicDto : EntityDto&lt;long?&gt;	
	{
		public virtual long? SupplierId { get; set; }
		[StringLength(MstInvGpsSupplierPicConsts.MaxPicNameLength)]
		public virtual string PicName { get; set; }
		[StringLength(MstInvGpsSupplierPicConsts.MaxPicTelephoneLength)]
		public virtual string PicTelephone { get; set; }
		[StringLength(MstInvGpsSupplierPicConsts.MaxPicEmailLength)]
		public virtual string PicEmail { get; set; }
		[StringLength(MstInvGpsSupplierPicConsts.MaxIsMainPicLength)]
		public virtual string IsMainPic { get; set; }
		[StringLength(MstInvGpsSupplierPicConsts.MaxIsSendEmailLength)]
		public virtual string IsSendEmail { get; set; }
		[StringLength(MstInvGpsSupplierPicConsts.MaxIsActiveLength)]
		public virtual string IsActive { get; set; }
	}
	public class GetMstInvGpsSupplierPicInput : PagedAndSortedResultRequestDto	
	{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MstInvGpsSupplierPicExportInput{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IMstInvGpsSupplierPicAppService : IApplicationService
	{
		Task&lt;PagedResultDto&lt;MstInvGpsSupplierPicDto&gt;&gt; GetAll(GetMstInvGpsSupplierPicInput input);
		Task CreateOrEdit(CreateOrEditMstInvGpsSupplierPicDto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IMstInvGpsSupplierPicExcelExporter : IApplicationService
	{
		FileDto ExportToFile(List&lt;MstInvGpsSupplierPicDto&gt; mstinvgpssupplierpic);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MstInvGpsSupplierPicExcelExporter : NpoiExcelExporterBase, IMstInvGpsSupplierPicExcelExporter
    {
        public MstInvGpsSupplierPicExcelExporter(ITempFileCacheManager tempFileCacheManager) : base(tempFileCacheManager) { }
        public FileDto ExportToFile(List&lt;MstInvGpsSupplierPicDto&gt; gpssupplierpic)
        {
            return CreateExcelPackage(
				"MasterInvGpsSupplierPic.xlsx",
				excelPackage =&gt;
				 {
					var sheet = excelPackage.CreateSheet("GpsSupplierPic");
					AddHeader(
								sheet,
								("SupplierId"),
								("PicName"),
								("PicTelephone"),
								("PicEmail"),
								("IsMainPic"),
								("IsSendEmail"),
								("IsActive"),
							   );
					AddObjects(
						 sheet, 1, gpssupplierpic,                                       
								_ =&gt; _.SupplierId,
								_ =&gt; _.PicName,
								_ =&gt; _.PicTelephone,
								_ =&gt; _.PicEmail,
								_ =&gt; _.IsMainPic,
								_ =&gt; _.IsSendEmail,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[AbpAuthorize(AppPermissions.Pages_Master_Inv_GpsSupplierPic)]
    public class MstInvGpsSupplierPicAppService : vovinaAppServiceBase, IMstInvGpsSupplierPicAppService
    {
        private readonly IDapperRepository&lt;MstInvGpsSupplierPic, long&gt; _dapperRepo;
        private readonly IRepository&lt;MstInvGpsSupplierPic, long&gt; _repo;
        private readonly IMstInvGpsSupplierPicExcelExporter _calendarListExcelExporter;
        public MstInvGpsSupplierPicAppService(IRepository&lt;MstInvGpsSupplierPic,long&gt; repo, 
                                         IDapperRepository&lt;MstInvGpsSupplierPic,long&gt; dapperRepo,
                                        IMstInvGpsSupplierPicExcelExporter calendarListExcelExporter
            )
        {
            _repo = repo;
            _dapperRepo = dapperRepo;
            _calendarListExcelExporter = calendarListExcelExporter;
        }
        [AbpAuthorize(AppPermissions.Pages_Master_Inv_GpsSupplierPic_CreateEdit)]
        public async Task CreateOrEdit(CreateOrEditMstInvGpsSupplierPicDto input)
        {
            if (input.Id == null) await Create(input);
            else await Update(input);
        }
        //CREATE
        private async Task Create(CreateOrEditMstInvGpsSupplierPicDto input)
        {          
            var mainObj = ObjectMapper.Map&lt;MstInvGpsSupplierPic&gt;(input);
            await CurrentUnitOfWork.GetDbContext&lt;vovinaDbContext&gt;().AddAsync(mainObj);
        }
        // EDIT
        private async Task Update(CreateOrEditMstInvGpsSupplierPicDto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[AbpAuthorize(AppPermissions.Pages_Master_Inv_GpsSupplierPic_Delete)]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Task&lt;PagedResultDto&lt;MstInvGpsSupplierPicDto&gt;&gt; GetAll(GetMstInvGpsSupplierPicInput input)
        {
            var filtered = _repo.GetAll()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.WhereIf(!string.IsNullOrWhiteSpace(input.IsSendEmail), e =&gt; e.IsSendEmail.Contains(input.IsSendEmail))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totalCount = await filtered.CountAsync();
			var paged = system.PageBy(input);
            return new PagedResultDto&lt;MstInvGpsSupplierPicDto&gt;(
                totalCount,
                 await paged.ToListAsync()
            );
        }
        public async Task&lt;FileDto&gt; GetGpsSupplierPicToExcel(MstInvGpsSupplierPicExportInput input)
        {
            var query = from o in _repo.GetAll()
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_dapperRepo.ExecuteAsync(MstInvGpsSupplierPicConsts.SP_MST_WPT_CALENDAR_GENERATE);
       // }
    }
}</v>
      </c>
      <c r="N68" s="58" t="str">
        <f>A.Backend!U7</f>
        <v xml:space="preserve">  configuration.CreateMap&lt;MstInvGpsSupplierPicDto, MstInvGpsSupplierPic&gt;();
  configuration.CreateMap&lt;MstInvGpsSupplierPic, MstInvGpsSupplierPicDto&gt;();
  configuration.CreateMap&lt;CreateOrEditMstInvGpsSupplierPicDto, MstInvGpsSupplierPic&gt;();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gpssupplierpic</v>
      </c>
      <c r="C73" s="66" t="str">
        <f>"create folder " &amp;B73</f>
        <v>create folder gpssupplierpic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gpssupplierpic.component.ts</v>
      </c>
      <c r="D74" s="28" t="str">
        <f>B.Frontend!I14</f>
        <v>gpssupplierpic.component.html</v>
      </c>
      <c r="E74" s="28" t="str">
        <f>B.Frontend!J14</f>
        <v>gpssupplierpic.component.less</v>
      </c>
      <c r="F74" s="28" t="str">
        <f>B.Frontend!K14</f>
        <v>create-or-edit-gpssupplierpic-modal.component.html</v>
      </c>
      <c r="G74" s="28" t="str">
        <f>B.Frontend!L14</f>
        <v>create-or-edit-gpssupplierpic-modal.component.ts</v>
      </c>
      <c r="H74" s="28" t="str">
        <f>B.Frontend!M14</f>
        <v>create-or-edit-gpssupplierpic-modal.component.less</v>
      </c>
      <c r="I74" s="28" t="str">
        <f>B.Frontend!N14</f>
        <v>gpssupplierpic.module.ts</v>
      </c>
      <c r="J74" s="28" t="str">
        <f>B.Frontend!O14</f>
        <v>gpssupplierpic-routing.module.ts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MstInvGpsSupplierPicDto, MstInvGpsSupplierPicServiceProxy } from '@shared/service-proxies/service-proxies';
import { finalize } from 'rxjs/internal/operators/finalize';
import { CreateOrEditGpsSupplierPicModalComponent } from './create-or-edit-gpssupplierpic-modal.component';
import { DatePipe } from '@angular/common';
import { FileDownloadService } from '@shared/utils/file-download.service';
import ceil from 'lodash-es/ceil';
import { Paginator } from 'primeng/paginator';
@Component({
    templateUrl: './gpssupplierpic.component.html',
    styleUrls: ['./gpssupplierpic.component.less'],
})
export class GpsSupplierPicComponent extends AppComponentBase implements OnInit {
    @ViewChild('createOrEditModalGpsSupplierPic', { static: true }) createOrEditModalGpsSupplierPic:| CreateOrEditGpsSupplierPicModalComponent|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MstInvGpsSupplierPicDto = new MstInvGpsSupplierPicDto();
    saveSelectedRow: MstInvGpsSupplierPicDto = new MstInvGpsSupplierPicDto();
    datas: MstInvGpsSupplierPicDto = new MstInvGpsSupplierPicDto();
    isLoading: boolean = false;
    dataParams: GridParams | undefined;
    rowData: any[] = [];
    gridApi!: GridApi;
    rowSelection = 'multiple';
    filter: string = '';
	pipe = new DatePipe('en-US');
	frameworkComponents: FrameworkComponent;
    	picName : string = '' ; 
	picTelephone : string = '' ; 
	picEmail : string = '' ; 
	isMainPic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MstInvGpsSupplierPicServiceProxy,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this.supplierId,
			this.picName,
			this.picTelephone,
			this.picEmail,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picName : string = '' ; 
	picTelephone : string = '' ; 
	picEmail : string = '' ; 
	isMainPic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this.supplierId,
			this.picName,
			this.picTelephone,
			this.picEmail,
			'',
            this.paginationParams.skipCount,
            this.paginationParams.pageSize
        );
    }
    onChangeRowSelection(params: { api: { getSelectedRows: () =&gt; MstInvGpsSupplierPicDto[] } }) {
        this.saveSelectedRow = params.api.getSelectedRows()[0] ?? new MstInvGpsSupplierPicDto();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MstInvGpsSupplierPicDto):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this._service.getGpsSupplierPicToExcel(
			this.supplierId,
			this.picName,
			this.picTelephone,
			this.picEmail,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(click)="createOrEditModalGpsSupplierPic.show()"&gt;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(click)="createOrEditModalGpsSupplierPic.show(selectedRow)"&gt;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&lt;create-or-edit-gpssupplierpic-modal
    #createOrEditModalGpsSupplierPic
    (modalSave)="callBackDataGrid(dataParams)"
    (modalClose)="onChangeRowSelection(dataParams)"
&gt;
&lt;/create-or-edit-gpssupplierpic-modal&gt;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#createOrEditModalGpsSupplierPic="bs-modal"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GpsSupplierPic')}}&lt;/h3&gt;
                    &lt;h3 *ngIf="!rowdata.id"&gt;{{('Create New GpsSupplierPic')}}&lt;/h3&gt;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title'&gt;Is Send Email&lt;/label&gt;
						&lt;new-checkbox [(ngModel)]='_isSendEmail' name='isSendEmail'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CreateOrEditMstInvGpsSupplierPicDto, MstInvGpsSupplierPicServiceProxy } from '@shared/service-proxies/service-proxies';
import { BsDatepickerDirective } from 'ngx-bootstrap/datepicker';
@Component({
    selector: 'create-or-edit-gpssupplierpic-modal',
    templateUrl: './create-or-edit-gpssupplierpic-modal.component.html',
    styleUrls: ['./create-or-edit-gpssupplierpic-modal.component.less']
    })
export class CreateOrEditGpsSupplierPicModalComponent extends AppComponentBase {
    @ViewChild('createOrEditModalGpsSupplierPic',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CreateOrEditMstInvGpsSupplierPicDto = new CreateOrEditMstInvGpsSupplierPicDto();
    active: boolean = false;
    saving: boolean = false;
    _isSendEmail
isActive: boolean;
    constructor(
        injector: Injector,
        private _mstwptGpsSupplierPicService: MstInvGpsSupplierPicServiceProxy,
    ) 
    {
        super(injector);
    }
    show(rowdata?: CreateOrEditMstInvGpsSupplierPicDto): void {
        if (!rowdata) this.rowdata = new CreateOrEditMstInvGpsSupplierPicDto();
        else this.rowdata = rowdata;
        this._isSendEmail
isActive = (this.rowdata.isSendEmail
isActive == "N")? false: true;
        this.active = true;
        this.modal.show();
    } 
    changeActive(event){
        this._isSendEmail
isActive = event.target.checked;
    }
    save(): void {
    this.saving = true; 
    this.rowdata.isSendEmail
isActive = (this._isSendEmail
isActive == true) ? 'Y' : 'N'
    this._mstwptGpsSupplierPicService.createOrEdit(this.rowdata)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GpsSupplierPicRoutingModule } from './gpssupplierpic-routing.module';
import { GpsSupplierPicComponent } from './gpssupplierpic.component';
import { CreateOrEditGpsSupplierPicModalComponent } from './create-or-edit-gpssupplierpic-modal.component';
@NgModule({
    declarations: [
       GpsSupplierPicComponent, 
        CreateOrEditGpsSupplierPicModalComponent
    ],
    imports: [
        AppSharedModule, GpsSupplierPicRoutingModule]
})
export class GpsSupplierPicModule {}</v>
      </c>
      <c r="J75" s="46" t="str">
        <f>B.Frontend!O10</f>
        <v>import {NgModule} from '@angular/core';
import {RouterModule, Routes} from '@angular/router';
import { GpsSupplierPicComponent } from './gpssupplierpic.component';
const routes: Routes = [{
    path: '',
    component: GpsSupplierPicComponent,
    pathMatch: 'full'
}];
@NgModule({
    imports: [RouterModule.forChild(routes)],
    exports: [RouterModule],
})
export class GpsSupplierPicRoutingModule {}</v>
      </c>
      <c r="K75" s="46" t="str">
        <f>B.Frontend!P10</f>
        <v xml:space="preserve"> new AppMenuItem("GpsSupplierPic", "Pages.Master.Inv.GpsSupplierPic", "flaticon-book",   "/app/main/master/inv/gpssupplierpic"),</v>
      </c>
      <c r="L75" s="47" t="str">
        <f>B.Frontend!Q10</f>
        <v>{
    path: 'master/inv/gpssupplierpic',
    loadChildren: () =&gt; import('./master/inv/gpssupplierpic/gpssupplierpic.module').then(m =&gt; m.GpsSupplierPicModule),
    data: { permission: 'Pages.Master.Inv.GpsSupplierPic' }
},</v>
      </c>
      <c r="M75" s="45" t="str">
        <f>B.Frontend!R10</f>
        <v>ApiServiceProxies.MstInvGpsSupplierPicServiceProxy,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7"/>
  <sheetViews>
    <sheetView topLeftCell="A13" workbookViewId="0">
      <pane xSplit="1" topLeftCell="B1" activePane="topRight" state="frozen"/>
      <selection pane="topRight" activeCell="B6" sqref="B6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366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367</v>
      </c>
      <c r="C3" s="9" t="s">
        <v>40</v>
      </c>
      <c r="D3" s="9" t="s">
        <v>41</v>
      </c>
      <c r="E3" s="9" t="s">
        <v>36</v>
      </c>
      <c r="F3" s="10" t="str">
        <f>"J"&amp;COUNTA($A:$A)</f>
        <v>J15</v>
      </c>
      <c r="G3" s="4" t="s">
        <v>53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52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MstInvGpsSupplierPicExportInput{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MstInvGpsSupplierPic: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MstInvGpsSupplierPicConsts	
	{
</v>
      </c>
      <c r="F6" s="10" t="str">
        <f>REPT(CHAR(9),1)&amp;"public class "&amp;B3&amp;"Dto"&amp;K3&amp;REPT(CHAR(9),1)&amp;"
"&amp;REPT(CHAR(9),1)&amp;C3</f>
        <v xml:space="preserve">	public class MstInvGpsSupplierPicDto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CreateOrEditMstInvGpsSupplierPicDto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GetMstInvGpsSupplierPicInput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MstInvGpsSupplierPic</v>
      </c>
      <c r="C7" s="10" t="str">
        <f>REPT(CHAR(9),1)&amp;"[Table("""&amp;B7&amp;""")]"&amp;"
"</f>
        <v xml:space="preserve">	[Table("MstInvGpsSupplierPic")]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[Table("MstInvGpsSupplierPic")]
	public class MstInvGpsSupplierPic: FullAuditedEntity&lt;long&gt;, IEntity&lt;long&gt;	
	{
		public const int MaxPicNameLength = 40;
		public const int MaxPicTelephoneLength = 100;
		public const int MaxPicEmailLength = 100;
		public const int MaxIsMainPicLength = 50;
		public const int MaxIsSendEmailLength = 1;
		public const int MaxIsActiveLength = 1;
		public virtual long? SupplierId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[StringLength(MaxIsSendEmailLength)]
		public virtual string IsSendEmail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DbSet&lt;MstInvGpsSupplierPic&gt; MstInvGpsSupplierPics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prod.Master.Inv
{
	public class MstInvGpsSupplierPicConsts	
	{
		public const int MaxPicNameLength = 40;
		public const int MaxPicTelephoneLength = 100;
		public const int MaxPicEmailLength = 100;
		public const int MaxIsMainPicLength = 50;
		public const int MaxIsSendEmailLength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prod.Master.Inv.Dto
{
	public class MstInvGpsSupplierPicDto : EntityDto&lt;long?&gt;	
	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	public class CreateOrEditMstInvGpsSupplierPicDto : EntityDto&lt;long?&gt;	
	{
		public virtual long? SupplierId { get; set; }
		[StringLength(MstInvGpsSupplierPicConsts.MaxPicNameLength)]
		public virtual string PicName { get; set; }
		[StringLength(MstInvGpsSupplierPicConsts.MaxPicTelephoneLength)]
		public virtual string PicTelephone { get; set; }
		[StringLength(MstInvGpsSupplierPicConsts.MaxPicEmailLength)]
		public virtual string PicEmail { get; set; }
		[StringLength(MstInvGpsSupplierPicConsts.MaxIsMainPicLength)]
		public virtual string IsMainPic { get; set; }
		[StringLength(MstInvGpsSupplierPicConsts.MaxIsSendEmailLength)]
		public virtual string IsSendEmail { get; set; }
		[StringLength(MstInvGpsSupplierPicConsts.MaxIsActiveLength)]
		public virtual string IsActive { get; set; }
	}
	public class GetMstInvGpsSupplierPicInput : PagedAndSortedResultRequestDto	
	{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perMstInvGpsSupplierPic = PARENTS.CreateChildPermission(AppPermissions.Pages_Master_Inv_GpsSupplierPic, L( "MasterInvGpsSupplierPic"), multiTenancySides: MultiTenancySides.Tenant);
		perMstInvGpsSupplierPic.CreateChildPermission(AppPermissions.Pages_Master_Inv_GpsSupplierPic_CreateEdit, L( "MasterInvGpsSupplierPicCreateEdit"), multiTenancySides: MultiTenancySides.Tenant);
		perMstInvGpsSupplierPic.CreateChildPermission(AppPermissions.Pages_Master_Inv_GpsSupplierPic_Delete, L( "MasterInvGpsSupplierPicDelete"),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Pages_Master_Inv_GpsSupplierPic = "Pages.Master.Inv.GpsSupplierPic";
		public const string Pages_Master_Inv_GpsSupplierPic_CreateEdit = "Pages.Master.Inv.GpsSupplierPic.CreateEdit";
		public const string Pages_Master_Inv_GpsSupplierPic_Delete = "Pages.Master.Inv.GpsSupplierPic.Delete";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IMstInvGpsSupplierPicAppService : IApplicationService
	{
		Task&lt;PagedResultDto&lt;MstInvGpsSupplierPicDto&gt;&gt; GetAll(GetMstInvGpsSupplierPicInput input);
		Task CreateOrEdit(CreateOrEditMstInvGpsSupplierPicDto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[AbpAuthorize(AppPermissions.Pages_Master_Inv_GpsSupplierPic)]
    public class MstInvGpsSupplierPicAppService : vovinaAppServiceBase, IMstInvGpsSupplierPicAppService
    {
        private readonly IDapperRepository&lt;MstInvGpsSupplierPic, long&gt; _dapperRepo;
        private readonly IRepository&lt;MstInvGpsSupplierPic, long&gt; _repo;
        private readonly IMstInvGpsSupplierPicExcelExporter _calendarListExcelExporter;
        public MstInvGpsSupplierPicAppService(IRepository&lt;MstInvGpsSupplierPic,long&gt; repo, 
                                         IDapperRepository&lt;MstInvGpsSupplierPic,long&gt; dapperRepo,
                                        IMstInvGpsSupplierPicExcelExporter calendarListExcelExporter
            )
        {
            _repo = repo;
            _dapperRepo = dapperRepo;
            _calendarListExcelExporter = calendarListExcelExporter;
        }
        [AbpAuthorize(AppPermissions.Pages_Master_Inv_GpsSupplierPic_CreateEdit)]
        public async Task CreateOrEdit(CreateOrEditMstInvGpsSupplierPicDto input)
        {
            if (input.Id == null) await Create(input);
            else await Update(input);
        }
        //CREATE
        private async Task Create(CreateOrEditMstInvGpsSupplierPicDto input)
        {          
            var mainObj = ObjectMapper.Map&lt;MstInvGpsSupplierPic&gt;(input);
            await CurrentUnitOfWork.GetDbContext&lt;vovinaDbContext&gt;().AddAsync(mainObj);
        }
        // EDIT
        private async Task Update(CreateOrEditMstInvGpsSupplierPicDto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[AbpAuthorize(AppPermissions.Pages_Master_Inv_GpsSupplierPic_Delete)]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Task&lt;PagedResultDto&lt;MstInvGpsSupplierPicDto&gt;&gt; GetAll(GetMstInvGpsSupplierPicInput input)
        {
            var filtered = _repo.GetAll()
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.WhereIf(!string.IsNullOrWhiteSpace(input.IsSendEmail), e =&gt; e.IsSendEmail.Contains(input.IsSendEmail))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totalCount = await filtered.CountAsync();
			var paged = system.PageBy(input);
            return new PagedResultDto&lt;MstInvGpsSupplierPicDto&gt;(
                totalCount,
                 await paged.ToListAsync()
            );
        }
        public async Task&lt;FileDto&gt; GetGpsSupplierPicToExcel(MstInvGpsSupplierPicExportInput input)
        {
            var query = from o in _repo.GetAll()
                        select new MstInvGpsSupplierPicDto
                        {
							Id = o.Id,
							SupplierId = o.SupplierId,
							PicName = o.PicName,
							PicTelephone = o.PicTelephone,
							PicEmail = o.PicEmail,
							IsMainPic = o.IsMainPic,
							IsSendEmail = o.IsSendEmail,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_dapperRepo.ExecuteAsync(MstInvGpsSupplierPicConsts.SP_MST_WPT_CALENDAR_GENERATE);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prod.Master.Inv.Dto
{
	public class MstInvGpsSupplierPicExportInput{
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IMstInvGpsSupplierPicExcelExporter : IApplicationService
	{
		FileDto ExportToFile(List&lt;MstInvGpsSupplierPicDto&gt; mstinvgpssupplierpic);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MstInvGpsSupplierPicExcelExporter : NpoiExcelExporterBase, IMstInvGpsSupplierPicExcelExporter
    {
        public MstInvGpsSupplierPicExcelExporter(ITempFileCacheManager tempFileCacheManager) : base(tempFileCacheManager) { }
        public FileDto ExportToFile(List&lt;MstInvGpsSupplierPicDto&gt; gpssupplierpic)
        {
            return CreateExcelPackage(
				"MasterInvGpsSupplierPic.xlsx",
				excelPackage =&gt;
				 {
					var sheet = excelPackage.CreateSheet("GpsSupplierPic");
					AddHeader(
								sheet,
								("SupplierId"),
								("PicName"),
								("PicTelephone"),
								("PicEmail"),
								("IsMainPic"),
								("IsSendEmail"),
								("IsActive"),
							   );
					AddObjects(
						 sheet, 1, gpssupplierpic,                                       
								_ =&gt; _.SupplierId,
								_ =&gt; _.PicName,
								_ =&gt; _.PicTelephone,
								_ =&gt; _.PicEmail,
								_ =&gt; _.IsMainPic,
								_ =&gt; _.IsSendEmail,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configuration.CreateMap&lt;MstInvGpsSupplierPicDto, MstInvGpsSupplierPic&gt;();
  configuration.CreateMap&lt;MstInvGpsSupplierPic, MstInvGpsSupplierPicDto&gt;();
  configuration.CreateMap&lt;CreateOrEditMstInvGpsSupplierPicDto, MstInvGpsSupplierPic&gt;();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356</v>
      </c>
      <c r="B9" s="28" t="s">
        <v>0</v>
      </c>
      <c r="C9" t="s">
        <v>1</v>
      </c>
      <c r="D9" t="str">
        <f t="shared" ref="D9" si="0">SUBSTITUTE(PROPER(A9),"_","")</f>
        <v>SupplierId</v>
      </c>
      <c r="E9" t="str">
        <f t="shared" ref="E9" si="1">IFERROR(LEFT(B9, FIND("(",B9)-1),B9)</f>
        <v>bigint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long?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SupplierId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long? SupplierId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SupplierId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SupplierId = o.SupplierId,</v>
      </c>
      <c r="T9" s="63" t="str">
        <f t="shared" ref="T9" si="10">REPT(CHAR(9),8)&amp;"("""&amp;D9&amp;"""),"</f>
        <v xml:space="preserve">								("SupplierId"),</v>
      </c>
      <c r="V9" s="64" t="str">
        <f t="shared" ref="V9" si="11">REPT(CHAR(9),8)&amp;"_ =&gt; _."&amp;D9&amp;","</f>
        <v xml:space="preserve">								_ =&gt; _.SupplierId,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357</v>
      </c>
      <c r="B10" s="28" t="s">
        <v>358</v>
      </c>
      <c r="C10" t="s">
        <v>1</v>
      </c>
      <c r="D10" t="str">
        <f t="shared" ref="D10:D11" si="13">SUBSTITUTE(PROPER(A10),"_","")</f>
        <v>PicName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MaxPicNameLength = 40;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[StringLength(MaxPicNameLength)]
		public virtual string PicName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PicName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[StringLength(MstInvGpsSupplierPicConsts.MaxPicNameLength)]
		public virtual string PicName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PicName { get; set; }
</v>
      </c>
      <c r="P10" t="str">
        <f t="shared" ref="P10:P11" si="22">REPT(CHAR(9),7)&amp;D10&amp;" = o." &amp;D10 &amp;","</f>
        <v xml:space="preserve">							PicName = o.PicName,</v>
      </c>
      <c r="T10" s="63" t="str">
        <f t="shared" ref="T10:T11" si="23">REPT(CHAR(9),8)&amp;"("""&amp;D10&amp;"""),"</f>
        <v xml:space="preserve">								("PicName"),</v>
      </c>
      <c r="V10" s="64" t="str">
        <f t="shared" ref="V10:V11" si="24">REPT(CHAR(9),8)&amp;"_ =&gt; _."&amp;D10&amp;","</f>
        <v xml:space="preserve">								_ =&gt; _.PicName,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.WhereIf(!string.IsNullOrWhiteSpace(input.PicName), e =&gt; e.PicName.Contains(input.PicName))</v>
      </c>
    </row>
    <row r="11" spans="1:23" customFormat="1" ht="18.75" customHeight="1" x14ac:dyDescent="0.25">
      <c r="A11" s="28" t="s">
        <v>359</v>
      </c>
      <c r="B11" s="28" t="s">
        <v>360</v>
      </c>
      <c r="C11" t="s">
        <v>1</v>
      </c>
      <c r="D11" t="str">
        <f t="shared" si="13"/>
        <v>PicTelephone</v>
      </c>
      <c r="E11" t="str">
        <f t="shared" si="14"/>
        <v>nvarchar</v>
      </c>
      <c r="F11" s="6"/>
      <c r="G11" t="str">
        <f t="shared" si="15"/>
        <v>100</v>
      </c>
      <c r="H11" t="str">
        <f>+VLOOKUP(E11,'Data Type Mapping'!A:B,2,)</f>
        <v>string</v>
      </c>
      <c r="I11" t="str">
        <f t="shared" si="16"/>
        <v xml:space="preserve">		public const int MaxPicTelephoneLength = 100;
</v>
      </c>
      <c r="J11" t="str">
        <f t="shared" si="17"/>
        <v xml:space="preserve">		[StringLength(MaxPicTelephoneLength)]
		public virtual string PicTelephone { get; set; }
</v>
      </c>
      <c r="K11" s="6"/>
      <c r="L11" t="str">
        <f t="shared" si="18"/>
        <v/>
      </c>
      <c r="M11" t="str">
        <f t="shared" si="19"/>
        <v xml:space="preserve">		public virtual string PicTelephone { get; set; }
</v>
      </c>
      <c r="N11" t="str">
        <f t="shared" si="20"/>
        <v xml:space="preserve">		[StringLength(MstInvGpsSupplierPicConsts.MaxPicTelephoneLength)]
		public virtual string PicTelephone { get; set; }
</v>
      </c>
      <c r="O11" t="str">
        <f t="shared" si="21"/>
        <v xml:space="preserve">		public virtual string PicTelephone { get; set; }
</v>
      </c>
      <c r="P11" t="str">
        <f t="shared" si="22"/>
        <v xml:space="preserve">							PicTelephone = o.PicTelephone,</v>
      </c>
      <c r="T11" s="63" t="str">
        <f t="shared" si="23"/>
        <v xml:space="preserve">								("PicTelephone"),</v>
      </c>
      <c r="V11" s="64" t="str">
        <f t="shared" si="24"/>
        <v xml:space="preserve">								_ =&gt; _.PicTelephone,</v>
      </c>
      <c r="W11" s="63" t="str">
        <f t="shared" si="25"/>
        <v xml:space="preserve">				.WhereIf(!string.IsNullOrWhiteSpace(input.PicTelephone), e =&gt; e.PicTelephone.Contains(input.PicTelephone))</v>
      </c>
    </row>
    <row r="12" spans="1:23" customFormat="1" ht="18.75" customHeight="1" x14ac:dyDescent="0.25">
      <c r="A12" s="28" t="s">
        <v>361</v>
      </c>
      <c r="B12" s="28" t="s">
        <v>360</v>
      </c>
      <c r="C12" t="s">
        <v>1</v>
      </c>
      <c r="D12" t="str">
        <f t="shared" ref="D12:D13" si="26">SUBSTITUTE(PROPER(A12),"_","")</f>
        <v>PicEmail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MaxPicEmailLength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[StringLength(MaxPicEmailLength)]
		public virtual string PicEmail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PicEmail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[StringLength(MstInvGpsSupplierPicConsts.MaxPicEmailLength)]
		public virtual string PicEmail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PicEmail { get; set; }
</v>
      </c>
      <c r="P12" t="str">
        <f t="shared" ref="P12:P13" si="35">REPT(CHAR(9),7)&amp;D12&amp;" = o." &amp;D12 &amp;","</f>
        <v xml:space="preserve">							PicEmail = o.PicEmail,</v>
      </c>
      <c r="T12" s="63" t="str">
        <f t="shared" ref="T12:T13" si="36">REPT(CHAR(9),8)&amp;"("""&amp;D12&amp;"""),"</f>
        <v xml:space="preserve">								("PicEmail"),</v>
      </c>
      <c r="V12" s="64" t="str">
        <f t="shared" ref="V12:V13" si="37">REPT(CHAR(9),8)&amp;"_ =&gt; _."&amp;D12&amp;","</f>
        <v xml:space="preserve">								_ =&gt; _.PicEmail,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.WhereIf(!string.IsNullOrWhiteSpace(input.PicEmail), e =&gt; e.PicEmail.Contains(input.PicEmail))</v>
      </c>
    </row>
    <row r="13" spans="1:23" customFormat="1" ht="18.75" customHeight="1" x14ac:dyDescent="0.25">
      <c r="A13" s="28" t="s">
        <v>362</v>
      </c>
      <c r="B13" s="28" t="s">
        <v>363</v>
      </c>
      <c r="C13" t="s">
        <v>1</v>
      </c>
      <c r="D13" t="str">
        <f t="shared" si="26"/>
        <v>IsMainPic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MaxIsMainPicLength = 50;
</v>
      </c>
      <c r="J13" t="str">
        <f t="shared" si="30"/>
        <v xml:space="preserve">		[StringLength(MaxIsMainPicLength)]
		public virtual string IsMainPic { get; set; }
</v>
      </c>
      <c r="K13" s="6"/>
      <c r="L13" t="str">
        <f t="shared" si="31"/>
        <v/>
      </c>
      <c r="M13" t="str">
        <f t="shared" si="32"/>
        <v xml:space="preserve">		public virtual string IsMainPic { get; set; }
</v>
      </c>
      <c r="N13" t="str">
        <f t="shared" si="33"/>
        <v xml:space="preserve">		[StringLength(MstInvGpsSupplierPicConsts.MaxIsMainPicLength)]
		public virtual string IsMainPic { get; set; }
</v>
      </c>
      <c r="O13" t="str">
        <f t="shared" si="34"/>
        <v xml:space="preserve">		public virtual string IsMainPic { get; set; }
</v>
      </c>
      <c r="P13" t="str">
        <f t="shared" si="35"/>
        <v xml:space="preserve">							IsMainPic = o.IsMainPic,</v>
      </c>
      <c r="T13" s="63" t="str">
        <f t="shared" si="36"/>
        <v xml:space="preserve">								("IsMainPic"),</v>
      </c>
      <c r="V13" s="64" t="str">
        <f t="shared" si="37"/>
        <v xml:space="preserve">								_ =&gt; _.IsMainPic,</v>
      </c>
      <c r="W13" s="63" t="str">
        <f t="shared" si="38"/>
        <v xml:space="preserve">				.WhereIf(!string.IsNullOrWhiteSpace(input.IsMainPic), e =&gt; e.IsMainPic.Contains(input.IsMainPic))</v>
      </c>
    </row>
    <row r="14" spans="1:23" customFormat="1" ht="18.75" customHeight="1" x14ac:dyDescent="0.25">
      <c r="A14" s="28" t="s">
        <v>365</v>
      </c>
      <c r="B14" s="28" t="s">
        <v>364</v>
      </c>
      <c r="C14" t="s">
        <v>1</v>
      </c>
      <c r="D14" t="str">
        <f t="shared" ref="D14" si="39">SUBSTITUTE(PROPER(A14),"_","")</f>
        <v>IsSendEmail</v>
      </c>
      <c r="E14" t="str">
        <f t="shared" ref="E14" si="40">IFERROR(LEFT(B14, FIND("(",B14)-1),B14)</f>
        <v>varchar</v>
      </c>
      <c r="F14" s="6"/>
      <c r="G14" t="str">
        <f t="shared" ref="G14" si="41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MaxIsSendEmailLength = 1;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[StringLength(MaxIsSendEmailLength)]
		public virtual string IsSendEmail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IsSendEmail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[StringLength(MstInvGpsSupplierPicConsts.MaxIsSendEmailLength)]
		public virtual string IsSendEmail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IsSendEmail { get; set; }
</v>
      </c>
      <c r="P14" t="str">
        <f t="shared" ref="P14" si="48">REPT(CHAR(9),7)&amp;D14&amp;" = o." &amp;D14 &amp;","</f>
        <v xml:space="preserve">							IsSendEmail = o.IsSendEmail,</v>
      </c>
      <c r="T14" s="63" t="str">
        <f t="shared" ref="T14" si="49">REPT(CHAR(9),8)&amp;"("""&amp;D14&amp;"""),"</f>
        <v xml:space="preserve">								("IsSendEmail"),</v>
      </c>
      <c r="V14" s="64" t="str">
        <f t="shared" ref="V14" si="50">REPT(CHAR(9),8)&amp;"_ =&gt; _."&amp;D14&amp;","</f>
        <v xml:space="preserve">								_ =&gt; _.IsSendEmail,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.WhereIf(!string.IsNullOrWhiteSpace(input.IsSendEmail), e =&gt; e.IsSendEmail.Contains(input.IsSendEmail))</v>
      </c>
    </row>
    <row r="15" spans="1:23" customFormat="1" ht="18.75" customHeight="1" x14ac:dyDescent="0.25">
      <c r="A15" s="28" t="s">
        <v>318</v>
      </c>
      <c r="B15" s="28" t="s">
        <v>364</v>
      </c>
      <c r="C15" t="s">
        <v>1</v>
      </c>
      <c r="D15" t="str">
        <f t="shared" ref="D15" si="52">SUBSTITUTE(PROPER(A15),"_","")</f>
        <v>IsActive</v>
      </c>
      <c r="E15" t="str">
        <f t="shared" ref="E15" si="53">IFERROR(LEFT(B15, FIND("(",B15)-1),B15)</f>
        <v>varchar</v>
      </c>
      <c r="F15" s="6"/>
      <c r="G15" t="str">
        <f t="shared" ref="G15" si="54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55">IF(H15="string",REPT(CHAR(9),2)&amp;"public const int Max"&amp;D15&amp;"Length = "&amp;G15&amp;";"&amp;$E$3,"" )</f>
        <v xml:space="preserve">		public const int MaxIsActiveLength = 1;
</v>
      </c>
      <c r="J15" t="str">
        <f t="shared" ref="J15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6"/>
      <c r="L15" t="str">
        <f t="shared" ref="L15" si="57">IF(K15="","",REPT(CHAR(9),1)&amp;"[Index(nameof("&amp;IF(D15="","",""&amp;D15)&amp;")"&amp;", Name="&amp;"""IX_"&amp;$B$7&amp;"_"&amp;D15&amp;""")]")</f>
        <v/>
      </c>
      <c r="M15" t="str">
        <f t="shared" ref="M15" si="58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[StringLength(MstInvGpsSupplierPicConsts.MaxIsActiveLength)]
		public virtual string IsActive { get; set; }
</v>
      </c>
      <c r="O15" t="str">
        <f t="shared" ref="O15" si="60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61">REPT(CHAR(9),7)&amp;D15&amp;" = o." &amp;D15 &amp;","</f>
        <v xml:space="preserve">							IsActive = o.IsActive,</v>
      </c>
      <c r="T15" s="63" t="str">
        <f t="shared" ref="T15" si="62">REPT(CHAR(9),8)&amp;"("""&amp;D15&amp;"""),"</f>
        <v xml:space="preserve">								("IsActive"),</v>
      </c>
      <c r="V15" s="64" t="str">
        <f t="shared" ref="V15" si="63">REPT(CHAR(9),8)&amp;"_ =&gt; _."&amp;D15&amp;","</f>
        <v xml:space="preserve">								_ =&gt; _.IsActive,</v>
      </c>
      <c r="W15" s="63" t="str">
        <f t="shared" ref="W15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25">
      <c r="H17" s="11"/>
      <c r="I17" s="31" t="str">
        <f ca="1">TEXTJOIN2("
", TRUE,INDIRECT( $H$1):INDIRECT( $H$3))</f>
        <v xml:space="preserve">		public const int MaxPicNameLength = 40;
		public const int MaxPicTelephoneLength = 100;
		public const int MaxPicEmailLength = 100;
		public const int MaxIsMainPicLength = 50;
		public const int MaxIsSendEmailLength = 1;
		public const int MaxIsActiveLength = 1;
</v>
      </c>
      <c r="J17" s="30" t="str">
        <f ca="1">TEXTJOIN2("
", TRUE,INDIRECT( $F$1):INDIRECT( $F$3))</f>
        <v xml:space="preserve">		public virtual long? SupplierId { get; set; }
		[StringLength(MaxPicNameLength)]
		public virtual string PicName { get; set; }
		[StringLength(MaxPicTelephoneLength)]
		public virtual string PicTelephone { get; set; }
		[StringLength(MaxPicEmailLength)]
		public virtual string PicEmail { get; set; }
		[StringLength(MaxIsMainPicLength)]
		public virtual string IsMainPic { get; set; }
		[StringLength(MaxIsSendEmailLength)]
		public virtual string IsSendEmail { get; set; }
		[StringLength(MaxIsActiveLength)]
		public virtual string IsActive { get; set; }
</v>
      </c>
      <c r="K17" s="32" t="str">
        <f ca="1">TEXTJOIN2("
", TRUE,INDIRECT( $J$1):INDIRECT( $J$3))</f>
        <v/>
      </c>
      <c r="L17" s="12" t="s">
        <v>56</v>
      </c>
      <c r="M17" s="33" t="str">
        <f ca="1">TEXTJOIN2("
",TRUE,INDIRECT( $L$1):INDIRECT($L$3))</f>
        <v xml:space="preserve">		public virtual long? SupplierId { get; set; }
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</v>
      </c>
      <c r="N17" s="30" t="str">
        <f ca="1">TEXTJOIN2("
",TRUE,INDIRECT( $M$1):INDIRECT($M$3))</f>
        <v xml:space="preserve">		public virtual long? SupplierId { get; set; }
		[StringLength(MstInvGpsSupplierPicConsts.MaxPicNameLength)]
		public virtual string PicName { get; set; }
		[StringLength(MstInvGpsSupplierPicConsts.MaxPicTelephoneLength)]
		public virtual string PicTelephone { get; set; }
		[StringLength(MstInvGpsSupplierPicConsts.MaxPicEmailLength)]
		public virtual string PicEmail { get; set; }
		[StringLength(MstInvGpsSupplierPicConsts.MaxIsMainPicLength)]
		public virtual string IsMainPic { get; set; }
		[StringLength(MstInvGpsSupplierPicConsts.MaxIsSendEmailLength)]
		public virtual string IsSendEmail { get; set; }
		[StringLength(MstInvGpsSupplierPicConsts.MaxIsActiveLength)]
		public virtual string IsActive { get; set; }
</v>
      </c>
      <c r="O17" s="30" t="str">
        <f ca="1">TEXTJOIN2("
",TRUE,INDIRECT( $N$1):INDIRECT($N$3))</f>
        <v xml:space="preserve">		public virtual string PicName { get; set; }
		public virtual string PicTelephone { get; set; }
		public virtual string PicEmail { get; set; }
		public virtual string IsMainPic { get; set; }
		public virtual string IsSendEmail { get; set; }
		public virtual string IsActive { get; set; }
</v>
      </c>
      <c r="P17" s="8" t="str">
        <f ca="1">TEXTJOIN2("
",TRUE,INDIRECT( $O$1):INDIRECT($O$3))</f>
        <v xml:space="preserve">							SupplierId = o.SupplierId,
							PicName = o.PicName,
							PicTelephone = o.PicTelephone,
							PicEmail = o.PicEmail,
							IsMainPic = o.IsMainPic,
							IsSendEmail = o.IsSendEmail,
							IsActive = o.IsActive,</v>
      </c>
      <c r="T17" s="8" t="str">
        <f ca="1">TEXTJOIN2("
",TRUE,INDIRECT( $T$2):INDIRECT($T$3))</f>
        <v xml:space="preserve">								("SupplierId"),
								("PicName"),
								("PicTelephone"),
								("PicEmail"),
								("IsMainPic"),
								("IsSendEmail"),
								("IsActive"),</v>
      </c>
      <c r="V17" s="8" t="str">
        <f ca="1">TEXTJOIN2("
",TRUE,INDIRECT( $V$2):INDIRECT($V$3))</f>
        <v xml:space="preserve">								_ =&gt; _.SupplierId,
								_ =&gt; _.PicName,
								_ =&gt; _.PicTelephone,
								_ =&gt; _.PicEmail,
								_ =&gt; _.IsMainPic,
								_ =&gt; _.IsSendEmail,
								_ =&gt; _.IsActive,</v>
      </c>
      <c r="W17" s="8" t="str">
        <f ca="1">TEXTJOIN2("
",TRUE,INDIRECT( $W$2):INDIRECT($W$3))</f>
        <v xml:space="preserve">				.WhereIf(!string.IsNullOrWhiteSpace(input.PicName), e =&gt; e.PicName.Contains(input.PicName))
				.WhereIf(!string.IsNullOrWhiteSpace(input.PicTelephone), e =&gt; e.PicTelephone.Contains(input.PicTelephone))
				.WhereIf(!string.IsNullOrWhiteSpace(input.PicEmail), e =&gt; e.PicEmail.Contains(input.PicEmail))
				.WhereIf(!string.IsNullOrWhiteSpace(input.IsMainPic), e =&gt; e.IsMainPic.Contains(input.IsMainPic))
				.WhereIf(!string.IsNullOrWhiteSpace(input.IsSendEmail), e =&gt; e.IsSendEmail.Contains(input.IsSendEmail))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3"/>
  <sheetViews>
    <sheetView topLeftCell="A7" workbookViewId="0">
      <selection activeCell="V13" sqref="V1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MstInvGpsSupplierPic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GpsSupplierPic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gpssupplierpic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MstInvGpsSupplierPicDto, MstInvGpsSupplierPicServiceProxy } from '@shared/service-proxies/service-proxies';
import { finalize } from 'rxjs/internal/operators/finalize';
import { CreateOrEditGpsSupplierPicModalComponent } from './create-or-edit-gpssupplierpic-modal.component';
import { DatePipe } from '@angular/common';
import { FileDownloadService } from '@shared/utils/file-download.service';
import ceil from 'lodash-es/ceil';
import { Paginator } from 'primeng/paginator';
@Component({
    templateUrl: './gpssupplierpic.component.html',
    styleUrls: ['./gpssupplierpic.component.less'],
})
export class GpsSupplierPicComponent extends AppComponentBase implements OnInit {
    @ViewChild('createOrEditModalGpsSupplierPic', { static: true }) createOrEditModalGpsSupplierPic:| CreateOrEditGpsSupplierPicModalComponent|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MstInvGpsSupplierPicDto = new MstInvGpsSupplierPicDto();
    saveSelectedRow: MstInvGpsSupplierPicDto = new MstInvGpsSupplierPicDto();
    datas: MstInvGpsSupplierPicDto = new MstInvGpsSupplierPicDto();
    isLoading: boolean = false;
    dataParams: GridParams | undefined;
    rowData: any[] = [];
    gridApi!: GridApi;
    rowSelection = 'multiple';
    filter: string = '';
	pipe = new DatePipe('en-US');
	frameworkComponents: FrameworkComponent;
    	picName : string = '' ; 
	picTelephone : string = '' ; 
	picEmail : string = '' ; 
	isMainPic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MstInvGpsSupplierPicServiceProxy,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this.supplierId,
			this.picName,
			this.picTelephone,
			this.picEmail,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picName : string = '' ; 
	picTelephone : string = '' ; 
	picEmail : string = '' ; 
	isMainPic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this.supplierId,
			this.picName,
			this.picTelephone,
			this.picEmail,
			'',
            this.paginationParams.skipCount,
            this.paginationParams.pageSize
        );
    }
    onChangeRowSelection(params: { api: { getSelectedRows: () =&gt; MstInvGpsSupplierPicDto[] } }) {
        this.saveSelectedRow = params.api.getSelectedRows()[0] ?? new MstInvGpsSupplierPicDto();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MstInvGpsSupplierPicDto):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this._service.getGpsSupplierPicToExcel(
			this.supplierId,
			this.picName,
			this.picTelephone,
			this.picEmail,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(click)="createOrEditModalGpsSupplierPic.show()"&gt;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(click)="createOrEditModalGpsSupplierPic.show(selectedRow)"&gt;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&lt;create-or-edit-gpssupplierpic-modal
    #createOrEditModalGpsSupplierPic
    (modalSave)="callBackDataGrid(dataParams)"
    (modalClose)="onChangeRowSelection(dataParams)"
&gt;
&lt;/create-or-edit-gpssupplierpic-modal&gt;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#createOrEditModalGpsSupplierPic="bs-modal"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GpsSupplierPic')}}&lt;/h3&gt;
                    &lt;h3 *ngIf="!rowdata.id"&gt;{{('Create New GpsSupplierPic')}}&lt;/h3&gt;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title'&gt;Is Send Email&lt;/label&gt;
						&lt;new-checkbox [(ngModel)]='_isSendEmail' name='isSendEmail'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CreateOrEditMstInvGpsSupplierPicDto, MstInvGpsSupplierPicServiceProxy } from '@shared/service-proxies/service-proxies';
import { BsDatepickerDirective } from 'ngx-bootstrap/datepicker';
@Component({
    selector: 'create-or-edit-gpssupplierpic-modal',
    templateUrl: './create-or-edit-gpssupplierpic-modal.component.html',
    styleUrls: ['./create-or-edit-gpssupplierpic-modal.component.less']
    })
export class CreateOrEditGpsSupplierPicModalComponent extends AppComponentBase {
    @ViewChild('createOrEditModalGpsSupplierPic',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CreateOrEditMstInvGpsSupplierPicDto = new CreateOrEditMstInvGpsSupplierPicDto();
    active: boolean = false;
    saving: boolean = false;
    _isSendEmail
isActive: boolean;
    constructor(
        injector: Injector,
        private _mstwptGpsSupplierPicService: MstInvGpsSupplierPicServiceProxy,
    ) 
    {
        super(injector);
    }
    show(rowdata?: CreateOrEditMstInvGpsSupplierPicDto): void {
        if (!rowdata) this.rowdata = new CreateOrEditMstInvGpsSupplierPicDto();
        else this.rowdata = rowdata;
        this._isSendEmail
isActive = (this.rowdata.isSendEmail
isActive == "N")? false: true;
        this.active = true;
        this.modal.show();
    } 
    changeActive(event){
        this._isSendEmail
isActive = event.target.checked;
    }
    save(): void {
    this.saving = true; 
    this.rowdata.isSendEmail
isActive = (this._isSendEmail
isActive == true) ? 'Y' : 'N'
    this._mstwptGpsSupplierPicService.createOrEdit(this.rowdata)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GpsSupplierPicRoutingModule } from './gpssupplierpic-routing.module';
import { GpsSupplierPicComponent } from './gpssupplierpic.component';
import { CreateOrEditGpsSupplierPicModalComponent } from './create-or-edit-gpssupplierpic-modal.component';
@NgModule({
    declarations: [
       GpsSupplierPicComponent, 
        CreateOrEditGpsSupplierPicModalComponent
    ],
    imports: [
        AppSharedModule, GpsSupplierPicRoutingModule]
})
export class GpsSupplierPicModule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GpsSupplierPicComponent } from './gpssupplierpic.component';
const routes: Routes = [{
    path: '',
    component: GpsSupplierPicComponent,
    pathMatch: 'full'
}];
@NgModule({
    imports: [RouterModule.forChild(routes)],
    exports: [RouterModule],
})
export class GpsSupplierPicRoutingModule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AppMenuItem("GpsSupplierPic", "Pages.Master.Inv.GpsSupplierPic", "flaticon-book",   "/app/main/master/inv/gpssupplierpic"),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'master/inv/gpssupplierpic',
    loadChildren: () =&gt; import('./master/inv/gpssupplierpic/gpssupplierpic.module').then(m =&gt; m.GpsSupplierPicModule),
    data: { permission: 'Pages.Master.Inv.GpsSupplierPic' }
},</v>
      </c>
      <c r="R10" s="47" t="str">
        <f>SUBSTITUTE(R9,"MstWptCalendar",$B$6)</f>
        <v>ApiServiceProxies.MstInvGpsSupplierPicServiceProxy,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Id'),headerTooltip: this.l('Supplier Id'),field: 'supplierId',flex: 1},
			{headerName: this.l('Pic Name'),headerTooltip: this.l('Pic Name'),field: 'picName',flex: 1},
			{headerName: this.l('Pic Telephone'),headerTooltip: this.l('Pic Telephone'),field: 'picTelephone',flex: 1},
			{headerName: this.l('Pic Email'),headerTooltip: this.l('Pic Email'),field: 'picEmail',flex: 1},
			{headerName: this.l('Is Main Pic'),headerTooltip: this.l('Is Main Pic'),field: 'isMainPic',flex: 1},
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[(ngModel)]='picName' name='picName'
									class='form-control' [placeholder]="l('Pic Name')"
									type='text' (keyup.enter)='searchDatas()'&gt;
								&lt;/div&gt;
								&lt;div class='input-search'&gt;
									&lt;input [(ngModel)]='picTelephone' name='picTelephone'
									class='form-control' [placeholder]="l('Pic Telephone')"
									type='text' (keyup.enter)='searchDatas()'&gt;
								&lt;/div&gt;
								&lt;div class='input-search'&gt;
									&lt;input [(ngModel)]='picEmail' name='picEmail'
									class='form-control' [placeholder]="l('Pic Email')"
									type='text' (keyup.enter)='searchDatas()'&gt;
								&lt;/div&gt;
								&lt;div class='input-search'&gt;
									&lt;input [(ngModel)]='isMainPic' name='isMainPic'
									class='form-control' [placeholder]="l('Is Main Pic')"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title'&gt;Pic Name&lt;/label&gt;
						&lt;input type='text' class='col-md-10 form-control input-text' name='PicName' [(ngModel)]='rowdata.picName'&gt;
					&lt;/div&gt;
					&lt;div class='col-md-12 form-group row'&gt;
						&lt;label class='col-md-2 form-control title'&gt;Pic Telephone&lt;/label&gt;
						&lt;input type='text' class='col-md-10 form-control input-text' name='PicTelephone' [(ngModel)]='rowdata.picTelephone'&gt;
					&lt;/div&gt;
					&lt;div class='col-md-12 form-group row'&gt;
						&lt;label class='col-md-2 form-control title'&gt;Pic Email&lt;/label&gt;
						&lt;input type='text' class='col-md-10 form-control input-text' name='PicEmail' [(ngModel)]='rowdata.picEmail'&gt;
					&lt;/div&gt;
					&lt;div class='col-md-12 form-group row'&gt;
						&lt;label class='col-md-2 form-control title'&gt;Is Main Pic&lt;/label&gt;
						&lt;input type='text' class='col-md-10 form-control input-text' name='IsMainPic' [(ngModel)]='rowdata.isMainPic'&gt;
					&lt;/div&gt;
					&lt;div class='col-md-12 form-group row'&gt;
						&lt;label class='col-md-2 form-control title'&gt;Is Send Email&lt;/label&gt;
						&lt;new-checkbox [(ngModel)]='_isSendEmail' name='isSendEmail'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picName : string = '' ; 
	picTelephone : string = '' ; 
	picEmail : string = '' ; 
	isMainPic : string = '' ; 
</v>
      </c>
      <c r="T13" s="62" t="str">
        <f ca="1">TEXTJOIN2("
",TRUE,INDIRECT(T11):INDIRECT(T12))</f>
        <v xml:space="preserve">			this.supplierId,
			this.picName,
			this.picTelephone,
			this.picEmail,
</v>
      </c>
      <c r="U13" s="62" t="str">
        <f ca="1">TEXTJOIN2("
",TRUE,INDIRECT(U11):INDIRECT(U12))</f>
        <v xml:space="preserve">	picName : string = '' ; 
	picTelephone : string = '' ; 
	picEmail : string = '' ; 
	isMainPic : string = '' ; 
</v>
      </c>
      <c r="V13" s="28" t="str">
        <f ca="1">TEXTJOIN2("
",TRUE,INDIRECT(V11):INDIRECT(V12))</f>
        <v>isSendEmail
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gpssupplierpic.component.ts</v>
      </c>
      <c r="I14" s="37" t="str">
        <f>B8&amp;".component.html"</f>
        <v>gpssupplierpic.component.html</v>
      </c>
      <c r="J14" s="36" t="str">
        <f>B8&amp;".component.less"</f>
        <v>gpssupplierpic.component.less</v>
      </c>
      <c r="K14" s="37" t="str">
        <f>"create-or-edit-"&amp;B8&amp;"-modal.component.html"</f>
        <v>create-or-edit-gpssupplierpic-modal.component.html</v>
      </c>
      <c r="L14" s="37" t="str">
        <f>"create-or-edit-"&amp;B8&amp;"-modal.component.ts"</f>
        <v>create-or-edit-gpssupplierpic-modal.component.ts</v>
      </c>
      <c r="M14" s="37" t="str">
        <f>"create-or-edit-"&amp;B8&amp;"-modal.component.less"</f>
        <v>create-or-edit-gpssupplierpic-modal.component.less</v>
      </c>
      <c r="N14" s="37" t="str">
        <f>B8&amp;".module.ts"</f>
        <v>gpssupplierpic.module.ts</v>
      </c>
      <c r="O14" s="37" t="str">
        <f>B8&amp;"-routing.module.ts"</f>
        <v>gpssupplierpic-routing.module.ts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356</v>
      </c>
      <c r="B15" s="28" t="str">
        <f t="shared" ref="B15" si="0">SUBSTITUTE(PROPER(A15),"_","")</f>
        <v>SupplierId</v>
      </c>
      <c r="C15" s="28" t="str">
        <f t="shared" ref="C15" si="1">SUBSTITUTE(PROPER(A15),"_"," ")</f>
        <v>Supplier Id</v>
      </c>
      <c r="D15" s="28" t="str">
        <f t="shared" ref="D15" si="2">LOWER(LEFT(B15,1))&amp;RIGHT(B15,LEN(B15) - 1)</f>
        <v>supplierId</v>
      </c>
      <c r="E15" s="28" t="str">
        <f>A.Backend!H9</f>
        <v>long?</v>
      </c>
      <c r="F15" s="28" t="str">
        <f>A.Backend!G9</f>
        <v/>
      </c>
      <c r="G15" s="28" t="str">
        <f t="shared" ref="G15:G21" si="3">IF(E15="string"," : string = '' ; ",IF(OR(E15="DateTime",E15="TimeSpan")," : any ;",IF(E15="int"," : number = 0 ;","")))</f>
        <v/>
      </c>
      <c r="H15" s="35" t="str">
        <f t="shared" ref="H15:H2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Id'),headerTooltip: this.l('Supplier Id'),field: 'supplierId',flex: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:V21" si="7">IF(AND(E15="string",F15="1"),D15,"")</f>
        <v/>
      </c>
    </row>
    <row r="16" spans="1:22" ht="18" customHeight="1" x14ac:dyDescent="0.25">
      <c r="A16" t="s">
        <v>357</v>
      </c>
      <c r="B16" s="28" t="str">
        <f t="shared" ref="B16:B21" si="8">SUBSTITUTE(PROPER(A16),"_","")</f>
        <v>PicName</v>
      </c>
      <c r="C16" s="28" t="str">
        <f t="shared" ref="C16:C21" si="9">SUBSTITUTE(PROPER(A16),"_"," ")</f>
        <v>Pic Name</v>
      </c>
      <c r="D16" s="28" t="str">
        <f t="shared" ref="D16:D21" si="10">LOWER(LEFT(B16,1))&amp;RIGHT(B16,LEN(B16) - 1)</f>
        <v>picName</v>
      </c>
      <c r="E16" s="28" t="str">
        <f>A.Backend!H10</f>
        <v>string</v>
      </c>
      <c r="F16" s="28" t="str">
        <f>A.Backend!G10</f>
        <v>40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this.l('Pic Name'),headerTooltip: this.l('Pic Name'),field: 'picName',flex: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[(ngModel)]='picName' name='picName'
									class='form-control' [placeholder]="l('Pic Name')"
									type='text' (keyup.enter)='searchDatas()'&gt;
								&lt;/div&gt;</v>
      </c>
      <c r="J16" s="28"/>
      <c r="K16" s="35" t="str">
        <f t="shared" ref="K16:K2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title'&gt;Pic Name&lt;/label&gt;
						&lt;input type='text' class='col-md-10 form-control input-text' name='PicName' [(ngModel)]='rowdata.picName'&gt;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5">IF(AND(E16="string",F16 &lt;&gt;"1"),(REPT(CHAR(9),1)&amp;D16&amp;G16),"")</f>
        <v xml:space="preserve">	picName : string = '' ; </v>
      </c>
      <c r="T16" s="28" t="str">
        <f>IF(AND(E16="string",F16 &lt;&gt;"1"),(REPT(CHAR(9),3)&amp;"this."&amp;D15&amp;","),"")</f>
        <v xml:space="preserve">			this.supplierId,</v>
      </c>
      <c r="U16" s="28" t="str">
        <f t="shared" ref="U16:U21" si="16">IF(AND(E16="string",F16 &lt;&gt;"1"),(REPT(CHAR(9),1)&amp;D16&amp;G16),"")</f>
        <v xml:space="preserve">	picName : string = '' ; </v>
      </c>
      <c r="V16" s="28" t="str">
        <f t="shared" ref="V16:V21" si="17">IF(AND(E16="string",F16="1"),D16,"")</f>
        <v/>
      </c>
    </row>
    <row r="17" spans="1:22" ht="18" customHeight="1" x14ac:dyDescent="0.25">
      <c r="A17" t="s">
        <v>359</v>
      </c>
      <c r="B17" s="28" t="str">
        <f t="shared" si="8"/>
        <v>PicTelephone</v>
      </c>
      <c r="C17" s="28" t="str">
        <f t="shared" si="9"/>
        <v>Pic Telephone</v>
      </c>
      <c r="D17" s="28" t="str">
        <f t="shared" si="10"/>
        <v>picTelephone</v>
      </c>
      <c r="E17" s="28" t="str">
        <f>A.Backend!H11</f>
        <v>string</v>
      </c>
      <c r="F17" s="28" t="str">
        <f>A.Backend!G11</f>
        <v>100</v>
      </c>
      <c r="G17" s="28" t="str">
        <f t="shared" si="11"/>
        <v xml:space="preserve"> : string = '' ; </v>
      </c>
      <c r="H17" s="35" t="str">
        <f t="shared" si="12"/>
        <v xml:space="preserve">			{headerName: this.l('Pic Telephone'),headerTooltip: this.l('Pic Telephone'),field: 'picTelephone',flex: 1},</v>
      </c>
      <c r="I17" s="35" t="str">
        <f t="shared" si="5"/>
        <v xml:space="preserve">								&lt;div class='input-search'&gt;
									&lt;input [(ngModel)]='picTelephone' name='picTelephone'
									class='form-control' [placeholder]="l('Pic Telephone')"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title'&gt;Pic Telephone&lt;/label&gt;
						&lt;input type='text' class='col-md-10 form-control input-text' name='PicTelephone' [(ngModel)]='rowdata.picTelephone'&gt;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picTelephone : string = '' ; </v>
      </c>
      <c r="T17" s="28" t="str">
        <f t="shared" ref="T17:T21" si="18">IF(AND(E17="string",F17 &lt;&gt;"1"),(REPT(CHAR(9),3)&amp;"this."&amp;D16&amp;","),"")</f>
        <v xml:space="preserve">			this.picName,</v>
      </c>
      <c r="U17" s="28" t="str">
        <f t="shared" si="16"/>
        <v xml:space="preserve">	picTelephone : string = '' ; </v>
      </c>
      <c r="V17" s="28" t="str">
        <f t="shared" si="17"/>
        <v/>
      </c>
    </row>
    <row r="18" spans="1:22" ht="15" customHeight="1" x14ac:dyDescent="0.25">
      <c r="A18" t="s">
        <v>361</v>
      </c>
      <c r="B18" s="28" t="str">
        <f t="shared" si="8"/>
        <v>PicEmail</v>
      </c>
      <c r="C18" s="28" t="str">
        <f t="shared" si="9"/>
        <v>Pic Email</v>
      </c>
      <c r="D18" s="28" t="str">
        <f t="shared" si="10"/>
        <v>picEmail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12"/>
        <v xml:space="preserve">			{headerName: this.l('Pic Email'),headerTooltip: this.l('Pic Email'),field: 'picEmail',flex: 1},</v>
      </c>
      <c r="I18" s="35" t="str">
        <f t="shared" si="5"/>
        <v xml:space="preserve">								&lt;div class='input-search'&gt;
									&lt;input [(ngModel)]='picEmail' name='picEmail'
									class='form-control' [placeholder]="l('Pic Email')"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title'&gt;Pic Email&lt;/label&gt;
						&lt;input type='text' class='col-md-10 form-control input-text' name='PicEmail' [(ngModel)]='rowdata.picEmail'&gt;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picEmail : string = '' ; </v>
      </c>
      <c r="T18" s="28" t="str">
        <f t="shared" si="18"/>
        <v xml:space="preserve">			this.picTelephone,</v>
      </c>
      <c r="U18" s="28" t="str">
        <f t="shared" si="16"/>
        <v xml:space="preserve">	picEmail : string = '' ; </v>
      </c>
      <c r="V18" s="28" t="str">
        <f t="shared" si="17"/>
        <v/>
      </c>
    </row>
    <row r="19" spans="1:22" ht="18" customHeight="1" x14ac:dyDescent="0.25">
      <c r="A19" t="s">
        <v>362</v>
      </c>
      <c r="B19" s="28" t="str">
        <f t="shared" si="8"/>
        <v>IsMainPic</v>
      </c>
      <c r="C19" s="28" t="str">
        <f t="shared" si="9"/>
        <v>Is Main Pic</v>
      </c>
      <c r="D19" s="28" t="str">
        <f t="shared" si="10"/>
        <v>isMainPic</v>
      </c>
      <c r="E19" s="28" t="str">
        <f>A.Backend!H13</f>
        <v>string</v>
      </c>
      <c r="F19" s="28" t="str">
        <f>A.Backend!G13</f>
        <v>50</v>
      </c>
      <c r="G19" s="28" t="str">
        <f t="shared" si="11"/>
        <v xml:space="preserve"> : string = '' ; </v>
      </c>
      <c r="H19" s="35" t="str">
        <f t="shared" si="12"/>
        <v xml:space="preserve">			{headerName: this.l('Is Main Pic'),headerTooltip: this.l('Is Main Pic'),field: 'isMainPic',flex: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[(ngModel)]='isMainPic' name='isMainPic'
									class='form-control' [placeholder]="l('Is Main Pic')"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title'&gt;Is Main Pic&lt;/label&gt;
						&lt;input type='text' class='col-md-10 form-control input-text' name='IsMainPic' [(ngModel)]='rowdata.isMainPic'&gt;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isMainPic : string = '' ; </v>
      </c>
      <c r="T19" s="28" t="str">
        <f t="shared" si="18"/>
        <v xml:space="preserve">			this.picEmail,</v>
      </c>
      <c r="U19" s="28" t="str">
        <f t="shared" si="16"/>
        <v xml:space="preserve">	isMainPic : string = '' ; </v>
      </c>
      <c r="V19" s="28" t="str">
        <f t="shared" si="17"/>
        <v/>
      </c>
    </row>
    <row r="20" spans="1:22" ht="15" customHeight="1" x14ac:dyDescent="0.25">
      <c r="A20" t="s">
        <v>365</v>
      </c>
      <c r="B20" s="28" t="str">
        <f t="shared" si="8"/>
        <v>IsSendEmail</v>
      </c>
      <c r="C20" s="28" t="str">
        <f t="shared" si="9"/>
        <v>Is Send Email</v>
      </c>
      <c r="D20" s="28" t="str">
        <f t="shared" si="10"/>
        <v>isSendEmail</v>
      </c>
      <c r="E20" s="28" t="str">
        <f>A.Backend!H14</f>
        <v>string</v>
      </c>
      <c r="F20" s="28" t="str">
        <f>A.Backend!G14</f>
        <v>1</v>
      </c>
      <c r="G20" s="28" t="str">
        <f t="shared" si="11"/>
        <v xml:space="preserve"> : string = '' ; </v>
      </c>
      <c r="H20" s="35" t="str">
        <f t="shared" si="12"/>
        <v xml:space="preserve">			{headerName: this.l('Is Send Email'),headerTooltip: this.l('Is Send Email'),field:  'isSendEmail', cellClass: ['text-center'], width: 120, cellRenderer: 'agCellButtonComponent',
buttonDefTwo: { text: params =&gt; (params.data?.'isSendEmail' == 'Y') ? 'Active' : 'Inactive',iconName: 'fa fa-circle',className: params =&gt; (params.data?.'isSendEmail' == 'Y') ? 'btnActive' : 'btnInActive',},}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title'&gt;Is Send Email&lt;/label&gt;
						&lt;new-checkbox [(ngModel)]='_isSendEmail' name='isSendEmail' className='col-md-10' &gt; &lt;/new-checkbox&gt;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>isSendEmail</v>
      </c>
    </row>
    <row r="21" spans="1:22" ht="18" customHeight="1" x14ac:dyDescent="0.25">
      <c r="A21" t="s">
        <v>318</v>
      </c>
      <c r="B21" s="28" t="str">
        <f t="shared" si="8"/>
        <v>IsActive</v>
      </c>
      <c r="C21" s="28" t="str">
        <f t="shared" si="9"/>
        <v>Is Active</v>
      </c>
      <c r="D21" s="28" t="str">
        <f t="shared" si="10"/>
        <v>isActive</v>
      </c>
      <c r="E21" s="28" t="str">
        <f>A.Backend!H15</f>
        <v>string</v>
      </c>
      <c r="F21" s="28" t="str">
        <f>A.Backend!G15</f>
        <v>1</v>
      </c>
      <c r="G21" s="28" t="str">
        <f t="shared" si="11"/>
        <v xml:space="preserve"> : string = '' ; </v>
      </c>
      <c r="H21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5" t="str">
        <f t="shared" si="5"/>
        <v/>
      </c>
      <c r="J21" s="28"/>
      <c r="K21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/>
      </c>
      <c r="T21" s="28" t="str">
        <f t="shared" si="18"/>
        <v/>
      </c>
      <c r="U21" s="28" t="str">
        <f t="shared" si="16"/>
        <v/>
      </c>
      <c r="V21" s="28" t="str">
        <f t="shared" si="17"/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355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2023-04-24T11:53:34Z</dcterms:modified>
</cp:coreProperties>
</file>
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Prod\docs\design\inventory\ckd\"/>
    </mc:Choice>
  </mc:AlternateContent>
  <bookViews>
    <workbookView xWindow="-120" yWindow="-120" windowWidth="19440" windowHeight="15000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6" i="5" l="1"/>
  <c r="V17" i="5"/>
  <c r="V18" i="5"/>
  <c r="V19" i="5"/>
  <c r="V20" i="5"/>
  <c r="V21" i="5"/>
  <c r="V22" i="5"/>
  <c r="V23" i="5"/>
  <c r="V24" i="5"/>
  <c r="V25" i="5"/>
  <c r="U16" i="5"/>
  <c r="U17" i="5"/>
  <c r="U18" i="5"/>
  <c r="U19" i="5"/>
  <c r="U20" i="5"/>
  <c r="U21" i="5"/>
  <c r="U22" i="5"/>
  <c r="U23" i="5"/>
  <c r="U24" i="5"/>
  <c r="U25" i="5"/>
  <c r="T16" i="5"/>
  <c r="T17" i="5"/>
  <c r="T18" i="5"/>
  <c r="T19" i="5"/>
  <c r="T20" i="5"/>
  <c r="T21" i="5"/>
  <c r="T22" i="5"/>
  <c r="T23" i="5"/>
  <c r="T24" i="5"/>
  <c r="T25" i="5"/>
  <c r="S16" i="5"/>
  <c r="S17" i="5"/>
  <c r="S18" i="5"/>
  <c r="S19" i="5"/>
  <c r="S20" i="5"/>
  <c r="S21" i="5"/>
  <c r="S22" i="5"/>
  <c r="S23" i="5"/>
  <c r="S24" i="5"/>
  <c r="S25" i="5"/>
  <c r="K16" i="5"/>
  <c r="K17" i="5"/>
  <c r="K18" i="5"/>
  <c r="K19" i="5"/>
  <c r="K20" i="5"/>
  <c r="K21" i="5"/>
  <c r="K22" i="5"/>
  <c r="K23" i="5"/>
  <c r="K24" i="5"/>
  <c r="K25" i="5"/>
  <c r="I16" i="5"/>
  <c r="I17" i="5"/>
  <c r="I18" i="5"/>
  <c r="I19" i="5"/>
  <c r="I20" i="5"/>
  <c r="I21" i="5"/>
  <c r="I22" i="5"/>
  <c r="I23" i="5"/>
  <c r="I24" i="5"/>
  <c r="I25" i="5"/>
  <c r="H16" i="5"/>
  <c r="H17" i="5"/>
  <c r="H18" i="5"/>
  <c r="H19" i="5"/>
  <c r="H20" i="5"/>
  <c r="H21" i="5"/>
  <c r="H22" i="5"/>
  <c r="H23" i="5"/>
  <c r="H24" i="5"/>
  <c r="H25" i="5"/>
  <c r="G16" i="5"/>
  <c r="G17" i="5"/>
  <c r="G18" i="5"/>
  <c r="G19" i="5"/>
  <c r="G20" i="5"/>
  <c r="G21" i="5"/>
  <c r="G22" i="5"/>
  <c r="G23" i="5"/>
  <c r="G24" i="5"/>
  <c r="G25" i="5"/>
  <c r="F16" i="5"/>
  <c r="F17" i="5"/>
  <c r="F18" i="5"/>
  <c r="F19" i="5"/>
  <c r="F20" i="5"/>
  <c r="F21" i="5"/>
  <c r="F22" i="5"/>
  <c r="F23" i="5"/>
  <c r="F24" i="5"/>
  <c r="F25" i="5"/>
  <c r="E16" i="5"/>
  <c r="E17" i="5"/>
  <c r="E18" i="5"/>
  <c r="E19" i="5"/>
  <c r="E20" i="5"/>
  <c r="E21" i="5"/>
  <c r="E22" i="5"/>
  <c r="E23" i="5"/>
  <c r="E24" i="5"/>
  <c r="E25" i="5"/>
  <c r="L16" i="1"/>
  <c r="G16" i="1"/>
  <c r="E16" i="1"/>
  <c r="H16" i="1" s="1"/>
  <c r="D16" i="1"/>
  <c r="V16" i="1" s="1"/>
  <c r="W16" i="1" l="1"/>
  <c r="J16" i="1"/>
  <c r="I16" i="1"/>
  <c r="O16" i="1"/>
  <c r="N16" i="1"/>
  <c r="M16" i="1"/>
  <c r="P16" i="1"/>
  <c r="T16" i="1"/>
  <c r="B7" i="5"/>
  <c r="B6" i="5"/>
  <c r="B2" i="5"/>
  <c r="B8" i="5" l="1"/>
  <c r="B3" i="5"/>
  <c r="C24" i="5"/>
  <c r="B24" i="5"/>
  <c r="D24" i="5" s="1"/>
  <c r="C23" i="5"/>
  <c r="B23" i="5"/>
  <c r="D23" i="5" s="1"/>
  <c r="C22" i="5"/>
  <c r="B22" i="5"/>
  <c r="D22" i="5" s="1"/>
  <c r="C21" i="5"/>
  <c r="B21" i="5"/>
  <c r="D21" i="5" s="1"/>
  <c r="C20" i="5"/>
  <c r="B20" i="5"/>
  <c r="D20" i="5" s="1"/>
  <c r="L18" i="1"/>
  <c r="G18" i="1"/>
  <c r="E18" i="1"/>
  <c r="H18" i="1" s="1"/>
  <c r="D18" i="1"/>
  <c r="V18" i="1" s="1"/>
  <c r="L17" i="1"/>
  <c r="G17" i="1"/>
  <c r="E17" i="1"/>
  <c r="H17" i="1" s="1"/>
  <c r="D17" i="1"/>
  <c r="T17" i="1" s="1"/>
  <c r="L15" i="1"/>
  <c r="G15" i="1"/>
  <c r="E15" i="1"/>
  <c r="H15" i="1" s="1"/>
  <c r="D15" i="1"/>
  <c r="V15" i="1" s="1"/>
  <c r="G14" i="1"/>
  <c r="E14" i="1"/>
  <c r="H14" i="1" s="1"/>
  <c r="D14" i="1"/>
  <c r="T14" i="1" s="1"/>
  <c r="L22" i="5" l="1"/>
  <c r="L24" i="5"/>
  <c r="L20" i="5"/>
  <c r="L21" i="5"/>
  <c r="L23" i="5"/>
  <c r="P15" i="1"/>
  <c r="W15" i="1"/>
  <c r="P18" i="1"/>
  <c r="W18" i="1"/>
  <c r="O18" i="1"/>
  <c r="J18" i="1"/>
  <c r="N18" i="1"/>
  <c r="I18" i="1"/>
  <c r="M18" i="1"/>
  <c r="M17" i="1"/>
  <c r="N17" i="1"/>
  <c r="I17" i="1"/>
  <c r="W17" i="1"/>
  <c r="O17" i="1"/>
  <c r="J17" i="1"/>
  <c r="M14" i="1"/>
  <c r="N14" i="1"/>
  <c r="I14" i="1"/>
  <c r="W14" i="1"/>
  <c r="O14" i="1"/>
  <c r="J14" i="1"/>
  <c r="M15" i="1"/>
  <c r="T15" i="1"/>
  <c r="T18" i="1"/>
  <c r="V14" i="1"/>
  <c r="V17" i="1"/>
  <c r="I15" i="1"/>
  <c r="N15" i="1"/>
  <c r="P17" i="1"/>
  <c r="P14" i="1"/>
  <c r="J15" i="1"/>
  <c r="O15" i="1"/>
  <c r="C18" i="5"/>
  <c r="B18" i="5"/>
  <c r="D18" i="5" s="1"/>
  <c r="C17" i="5"/>
  <c r="B17" i="5"/>
  <c r="D17" i="5" s="1"/>
  <c r="C16" i="5"/>
  <c r="B16" i="5"/>
  <c r="D16" i="5" s="1"/>
  <c r="B6" i="1" l="1"/>
  <c r="G13" i="1"/>
  <c r="E13" i="1"/>
  <c r="H13" i="1" s="1"/>
  <c r="D13" i="1"/>
  <c r="V13" i="1" s="1"/>
  <c r="W13" i="1" l="1"/>
  <c r="N13" i="1"/>
  <c r="I13" i="1"/>
  <c r="M13" i="1"/>
  <c r="O13" i="1"/>
  <c r="J13" i="1"/>
  <c r="L13" i="1"/>
  <c r="P13" i="1"/>
  <c r="T13" i="1"/>
  <c r="C19" i="5"/>
  <c r="B19" i="5"/>
  <c r="D19" i="5" s="1"/>
  <c r="C15" i="5"/>
  <c r="B15" i="5"/>
  <c r="D15" i="5" s="1"/>
  <c r="T15" i="5" s="1"/>
  <c r="L12" i="1"/>
  <c r="G12" i="1"/>
  <c r="E12" i="1"/>
  <c r="H12" i="1" s="1"/>
  <c r="D12" i="1"/>
  <c r="V12" i="1" s="1"/>
  <c r="G11" i="1"/>
  <c r="E11" i="1"/>
  <c r="H11" i="1" s="1"/>
  <c r="D11" i="1"/>
  <c r="T11" i="1" s="1"/>
  <c r="L18" i="5" l="1"/>
  <c r="L17" i="5"/>
  <c r="M11" i="1"/>
  <c r="L11" i="1"/>
  <c r="P11" i="1"/>
  <c r="W12" i="1"/>
  <c r="O12" i="1"/>
  <c r="J12" i="1"/>
  <c r="I12" i="1"/>
  <c r="N12" i="1"/>
  <c r="M12" i="1"/>
  <c r="I11" i="1"/>
  <c r="N11" i="1"/>
  <c r="V11" i="1"/>
  <c r="P12" i="1"/>
  <c r="J11" i="1"/>
  <c r="O11" i="1"/>
  <c r="W11" i="1"/>
  <c r="T12" i="1"/>
  <c r="C25" i="5" l="1"/>
  <c r="B25" i="5"/>
  <c r="D25" i="5" s="1"/>
  <c r="G19" i="1"/>
  <c r="E19" i="1"/>
  <c r="H19" i="1" s="1"/>
  <c r="D19" i="1"/>
  <c r="V19" i="1" s="1"/>
  <c r="W19" i="1" l="1"/>
  <c r="J19" i="1"/>
  <c r="I19" i="1"/>
  <c r="O19" i="1"/>
  <c r="N19" i="1"/>
  <c r="M19" i="1"/>
  <c r="P19" i="1"/>
  <c r="T19" i="1"/>
  <c r="G9" i="1"/>
  <c r="F15" i="5" s="1"/>
  <c r="E9" i="1"/>
  <c r="H9" i="1" s="1"/>
  <c r="E15" i="5" s="1"/>
  <c r="D9" i="1"/>
  <c r="V9" i="1" s="1"/>
  <c r="L25" i="5" l="1"/>
  <c r="U15" i="5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E10" i="1"/>
  <c r="H10" i="1" s="1"/>
  <c r="D10" i="1"/>
  <c r="T10" i="1" s="1"/>
  <c r="L16" i="5" l="1"/>
  <c r="L19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1" i="1"/>
  <c r="K12" i="5" l="1"/>
  <c r="H12" i="5"/>
  <c r="V12" i="5"/>
  <c r="T12" i="5"/>
  <c r="U12" i="5"/>
  <c r="I12" i="5"/>
  <c r="L12" i="5"/>
  <c r="S12" i="5"/>
  <c r="R3" i="1" l="1"/>
  <c r="D1" i="1"/>
  <c r="F6" i="1"/>
  <c r="T21" i="1"/>
  <c r="T13" i="5"/>
  <c r="T7" i="1" l="1"/>
  <c r="W21" i="1"/>
  <c r="G6" i="1" l="1"/>
  <c r="H13" i="5"/>
  <c r="I13" i="5"/>
  <c r="S13" i="5"/>
  <c r="V13" i="5"/>
  <c r="K13" i="5"/>
  <c r="L13" i="5"/>
  <c r="U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9" i="1" l="1"/>
  <c r="L14" i="1"/>
  <c r="L9" i="1"/>
  <c r="L10" i="1"/>
  <c r="C7" i="1"/>
  <c r="N21" i="1"/>
  <c r="O21" i="1"/>
  <c r="I21" i="1"/>
  <c r="P21" i="1"/>
  <c r="J21" i="1"/>
  <c r="Q7" i="1" l="1"/>
  <c r="M68" i="3" s="1"/>
  <c r="L7" i="1"/>
  <c r="G68" i="3" s="1"/>
  <c r="K68" i="3"/>
  <c r="J68" i="3"/>
  <c r="M21" i="1"/>
  <c r="K21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<sst xmlns="http://schemas.openxmlformats.org/spreadsheetml/2006/main" count="515" uniqueCount="409">
  <si>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</si>
  <si>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</si>
  <si>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</si>
  <si>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</si>
  <si>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</si>
  <si>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</si>
  <si>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</si>
  <si>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</si>
  <si>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</si>
  <si>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</si>
  <si>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</si>
  <si>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</si>
  <si>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</si>
  <si>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</si>
  <si>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</si>
  <si>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</si>
  <si>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</si>
  <si>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</si>
  <si>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</si>
  <si>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</si>
  <si>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</si>
  <si>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</si>
  <si>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</si>
  <si>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</si>
  <si>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</si>
  <si>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</si>
  <si>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</si>
  <si>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</si>
  <si>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</si>
  <si>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</si>
  <si>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</si>
  <si>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</si>
  <si>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</si>
  <si>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</si>
  <si>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</si>
  <si>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</si>
  <si>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</si>
  <si>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</si>
  <si>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</si>
  <si>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</si>
  <si>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</si>
  <si>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</si>
  <si>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</si>
  <si>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</si>
  <si>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</si>
  <si>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</si>
  <si>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</si>
  <si>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</si>
  <si>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</si>
  <si>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</si>
  <si>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</si>
  <si>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</si>
  <si>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</si>
  <si>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</si>
  <si>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</si>
  <si>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</si>
  <si>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</si>
  <si>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</si>
  <si>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</si>
  <si>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</si>
  <si>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</si>
  <si>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</si>
  <si>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</si>
  <si>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</si>
  <si>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</si>
  <si>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</si>
  <si>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</si>
  <si>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</si>
  <si>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</si>
  <si>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</si>
  <si>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</si>
  <si>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</si>
  <si>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</si>
  <si>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</si>
  <si>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</si>
  <si>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</si>
  <si>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</si>
  <si>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</si>
  <si>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</si>
  <si>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</si>
  <si>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</si>
  <si>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</si>
  <si>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</si>
  <si>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</si>
  <si>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</si>
  <si>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</si>
  <si>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</si>
  <si>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</si>
  <si>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</si>
  <si>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</si>
  <si>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</si>
  <si>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</si>
  <si>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</si>
  <si>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</si>
  <si>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</si>
  <si>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</si>
  <si>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</si>
  <si>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</si>
  <si>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</si>
  <si>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</si>
  <si>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</si>
  <si>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</si>
  <si>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</si>
  <si>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</si>
  <si>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</si>
  <si>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</si>
  <si>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</si>
  <si>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</si>
  <si>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</si>
  <si>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</si>
  <si>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</si>
  <si>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</si>
  <si>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</si>
  <si>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</si>
  <si>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</si>
  <si>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</si>
  <si>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</si>
  <si>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</si>
  <si>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</si>
  <si>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</si>
  <si>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</si>
  <si>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</si>
  <si>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</si>
  <si>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</si>
  <si>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</si>
  <si>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</si>
  <si>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</si>
  <si>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</si>
  <si>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</si>
  <si>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</si>
  <si>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</si>
  <si>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</si>
  <si>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</si>
  <si>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</si>
  <si>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</si>
  <si>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</si>
  <si>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</si>
  <si>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</si>
  <si>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</si>
  <si>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</si>
  <si>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</si>
  <si>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</si>
  <si>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</si>
  <si>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</si>
  <si>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</si>
  <si>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</si>
  <si>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</si>
  <si>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</si>
  <si>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</si>
  <si>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</si>
  <si>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</si>
  <si>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</si>
  <si>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</si>
  <si>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</si>
  <si>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</si>
  <si>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</si>
  <si>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</si>
  <si>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</si>
  <si>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</si>
  <si>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</si>
  <si>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</si>
  <si>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</si>
  <si>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</si>
  <si>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</si>
  <si>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</si>
  <si>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</si>
  <si>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</si>
  <si>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</si>
  <si>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</si>
  <si>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</si>
  <si>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</si>
  <si>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</si>
  <si>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</si>
  <si>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</si>
  <si>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</si>
  <si>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</si>
  <si>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</si>
  <si>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</si>
  <si>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</si>
  <si>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</si>
  <si>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</si>
  <si>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</si>
  <si>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</si>
  <si>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</si>
  <si>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</si>
  <si>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</si>
  <si>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</si>
  <si>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</si>
  <si>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</si>
  <si>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</si>
  <si>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</si>
  <si>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</si>
  <si>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</si>
  <si>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</si>
  <si>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</si>
  <si>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</si>
  <si>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</si>
  <si>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</si>
  <si>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</si>
  <si>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</si>
  <si>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</si>
  <si>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</si>
  <si>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</si>
  <si>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</si>
  <si>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</si>
  <si>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</si>
  <si>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</si>
  <si>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</si>
  <si>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</si>
  <si>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</si>
  <si>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</si>
  <si>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</si>
  <si>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</si>
  <si>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</si>
  <si>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</si>
  <si>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</si>
  <si>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</si>
  <si>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</si>
  <si>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</si>
  <si>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</si>
  <si>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</si>
  <si>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</si>
  <si>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</si>
  <si>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</si>
  <si>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</si>
  <si>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</si>
  <si>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</si>
  <si>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</si>
  <si>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</si>
  <si>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</si>
  <si>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</si>
  <si>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</si>
  <si>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</si>
  <si>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</si>
  <si>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</si>
  <si>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</si>
  <si>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</si>
  <si>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</si>
  <si>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</si>
  <si>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</si>
  <si>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</si>
  <si>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</si>
  <si>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</si>
  <si>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</si>
  <si>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</si>
  <si>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</si>
  <si>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</si>
  <si>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</si>
  <si>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</si>
  <si>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</si>
  <si>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</si>
  <si>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</si>
  <si>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</si>
  <si>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</si>
  <si>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</si>
  <si>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</si>
  <si>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</si>
  <si>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</si>
  <si>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</si>
  <si>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</si>
  <si>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</si>
  <si>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</si>
  <si>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</si>
  <si>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</si>
  <si>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</si>
  <si>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</si>
  <si>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</si>
  <si>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</si>
  <si>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</si>
  <si>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</si>
  <si>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</si>
  <si>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</si>
  <si>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</si>
  <si>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</si>
  <si>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</si>
  <si>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</si>
  <si>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</si>
  <si>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</si>
  <si>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</si>
  <si>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</si>
  <si>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</si>
  <si>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</si>
  <si>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</si>
  <si>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</si>
  <si>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</si>
  <si>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</si>
  <si>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</si>
  <si>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</si>
  <si>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</si>
  <si>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</si>
  <si>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</si>
  <si>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</si>
  <si>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</si>
  <si>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</si>
  <si>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</si>
  <si>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</si>
  <si>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</si>
  <si>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</si>
  <si>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</si>
  <si>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</si>
  <si>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</si>
  <si>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</si>
  <si>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</si>
  <si>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</si>
  <si>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</si>
  <si>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</si>
  <si>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</si>
  <si>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</si>
  <si>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</si>
  <si>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</si>
  <si>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</si>
  <si>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</si>
  <si>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</si>
  <si>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</si>
  <si>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</si>
  <si>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</si>
  <si>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</si>
  <si>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</si>
  <si>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</si>
  <si>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</si>
  <si>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varchar(1)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</si>
  <si>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</si>
  <si>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</si>
  <si>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</si>
  <si>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</si>
  <si>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</si>
  <si>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</si>
  <si>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</si>
  <si>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</si>
  <si>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</si>
  <si>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</si>
  <si>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</si>
  <si>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</si>
  <si>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</si>
  <si>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</si>
  <si>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</si>
  <si>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</si>
  <si>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</si>
  <si>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</si>
  <si>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</si>
  <si>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</si>
  <si>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</si>
  <si>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</si>
  <si>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</si>
  <si>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</si>
  <si>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</si>
  <si>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</si>
  <si>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</si>
  <si>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</si>
  <si>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</si>
  <si>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Inventory.CKD</t>
  </si>
  <si>
    <t>STATUS</t>
  </si>
  <si>
    <t>ORDERTYPE_CODE</t>
  </si>
  <si>
    <t>varchar(20)</t>
  </si>
  <si>
    <t>varchar(2)</t>
  </si>
  <si>
    <t>int?</t>
  </si>
  <si>
    <t>long?</t>
  </si>
  <si>
    <t>DateTime?</t>
  </si>
  <si>
    <t>TimeSpan?</t>
  </si>
  <si>
    <t>decimal?</t>
  </si>
  <si>
    <t>byte?</t>
  </si>
  <si>
    <t>TIME</t>
  </si>
  <si>
    <t>CUSTOMS_PORT</t>
  </si>
  <si>
    <t>REQ_DATE</t>
  </si>
  <si>
    <t>REQ_PERSON</t>
  </si>
  <si>
    <t>REQ_DEPARTMENT</t>
  </si>
  <si>
    <t>UPDATE_DATE</t>
  </si>
  <si>
    <t>IS_FROM_ECUS5</t>
  </si>
  <si>
    <t>CREATE_DATE</t>
  </si>
  <si>
    <t>DateTime</t>
  </si>
  <si>
    <t>Date</t>
  </si>
  <si>
    <t>varchar(12)</t>
  </si>
  <si>
    <t>varchar(50)</t>
  </si>
  <si>
    <t>InvCkdPaymentRequest</t>
  </si>
  <si>
    <t>Payment Request</t>
  </si>
  <si>
    <t>Search</t>
  </si>
  <si>
    <t>Field</t>
  </si>
  <si>
    <t>Type</t>
  </si>
  <si>
    <t>Text Box</t>
  </si>
  <si>
    <t>Invoice No</t>
  </si>
  <si>
    <t>Request No</t>
  </si>
  <si>
    <t>Customs No</t>
  </si>
  <si>
    <t>STT</t>
  </si>
  <si>
    <t>Request List</t>
  </si>
  <si>
    <t>Requset No</t>
  </si>
  <si>
    <t>Id</t>
  </si>
  <si>
    <t>Request Date</t>
  </si>
  <si>
    <t>Request Person</t>
  </si>
  <si>
    <t>ReqDate</t>
  </si>
  <si>
    <t>ReqPerson</t>
  </si>
  <si>
    <t>IsFromEcus5</t>
  </si>
  <si>
    <t>From Txt</t>
  </si>
  <si>
    <t>Request Department</t>
  </si>
  <si>
    <t>ReqDepartment</t>
  </si>
  <si>
    <t>Status</t>
  </si>
  <si>
    <t>Customs Port</t>
  </si>
  <si>
    <t>Time</t>
  </si>
  <si>
    <t>Customs Declare</t>
  </si>
  <si>
    <t>INV_CKD_PAYMENT_REQUEST_SEARCH</t>
  </si>
  <si>
    <t>INV_CKD_CUSTOMS_DECLARE_GETBYPAYMENT</t>
  </si>
  <si>
    <t>Customs Declare No</t>
  </si>
  <si>
    <t>Customs Date</t>
  </si>
  <si>
    <t>Order Type</t>
  </si>
  <si>
    <t>OrdertypeCode</t>
  </si>
  <si>
    <t>Exchange Rate (VND)</t>
  </si>
  <si>
    <t>Actual Vat  (VND)</t>
  </si>
  <si>
    <t>Actual Tax  (VND)</t>
  </si>
  <si>
    <t>Imp Vat  (VND)</t>
  </si>
  <si>
    <t>Imp Tax (VND)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</si>
</sst>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Alignment="1">
      <alignment wrapText="1"/>
    </xf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86"/>
  <sheetViews>
    <sheetView tabSelected="1" topLeftCell="A73" zoomScaleNormal="100" workbookViewId="0">
      <selection activeCell="N85" sqref="D85:N85"/>
    </sheetView>
  </sheetViews>
  <sheetFormatPr defaultColWidth="8.77734375" defaultRowHeight="14.4" x14ac:dyDescent="0.3"/>
  <cols>
    <col min="1" max="1" width="3.44140625" customWidth="1"/>
    <col min="2" max="2" width="18.44140625" customWidth="1"/>
    <col min="3" max="5" width="26.21875" customWidth="1"/>
    <col min="6" max="6" width="29.44140625" customWidth="1"/>
    <col min="7" max="10" width="26.21875" customWidth="1"/>
    <col min="11" max="11" width="26.44140625" customWidth="1"/>
    <col min="12" max="12" width="27.77734375" customWidth="1"/>
    <col min="13" max="13" width="25.44140625" customWidth="1"/>
    <col min="14" max="18" width="18.44140625" customWidth="1"/>
  </cols>
  <sheetData>
    <row r="1" spans="1:7" ht="23.4" x14ac:dyDescent="0.45">
      <c r="A1" s="14" t="s">
        <v>71</v>
      </c>
    </row>
    <row r="2" spans="1:7" ht="15.6" x14ac:dyDescent="0.3">
      <c r="A2" s="1"/>
      <c r="B2" s="25" t="s">
        <v>193</v>
      </c>
    </row>
    <row r="3" spans="1:7" x14ac:dyDescent="0.3">
      <c r="A3" s="1"/>
      <c r="B3" s="1" t="s">
        <v>74</v>
      </c>
    </row>
    <row r="4" spans="1:7" x14ac:dyDescent="0.3">
      <c r="A4" s="1"/>
      <c r="B4" t="s">
        <v>73</v>
      </c>
    </row>
    <row r="5" spans="1:7" x14ac:dyDescent="0.3">
      <c r="A5" s="1"/>
      <c r="B5" t="s">
        <v>76</v>
      </c>
    </row>
    <row r="6" spans="1:7" x14ac:dyDescent="0.3">
      <c r="A6" s="1"/>
      <c r="B6" t="s">
        <v>84</v>
      </c>
    </row>
    <row r="7" spans="1:7" x14ac:dyDescent="0.3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3">
      <c r="A8" s="1"/>
      <c r="C8" t="s">
        <v>86</v>
      </c>
      <c r="F8" s="1" t="s">
        <v>230</v>
      </c>
      <c r="G8" t="s">
        <v>230</v>
      </c>
    </row>
    <row r="9" spans="1:7" x14ac:dyDescent="0.3">
      <c r="A9" s="1"/>
      <c r="C9" t="s">
        <v>85</v>
      </c>
      <c r="F9" s="1" t="s">
        <v>95</v>
      </c>
      <c r="G9" t="s">
        <v>95</v>
      </c>
    </row>
    <row r="10" spans="1:7" x14ac:dyDescent="0.3">
      <c r="A10" s="1"/>
      <c r="D10" t="s">
        <v>86</v>
      </c>
      <c r="F10" s="1" t="s">
        <v>230</v>
      </c>
      <c r="G10" t="s">
        <v>281</v>
      </c>
    </row>
    <row r="11" spans="1:7" x14ac:dyDescent="0.3">
      <c r="A11" s="1"/>
      <c r="D11" t="s">
        <v>87</v>
      </c>
      <c r="F11" s="1" t="s">
        <v>96</v>
      </c>
      <c r="G11" t="s">
        <v>282</v>
      </c>
    </row>
    <row r="12" spans="1:7" x14ac:dyDescent="0.3">
      <c r="A12" s="1"/>
      <c r="D12" t="s">
        <v>88</v>
      </c>
      <c r="F12" s="1" t="s">
        <v>97</v>
      </c>
      <c r="G12" t="s">
        <v>283</v>
      </c>
    </row>
    <row r="13" spans="1:7" x14ac:dyDescent="0.3">
      <c r="A13" s="1"/>
      <c r="D13" t="s">
        <v>89</v>
      </c>
      <c r="F13" s="1" t="s">
        <v>98</v>
      </c>
      <c r="G13" t="s">
        <v>284</v>
      </c>
    </row>
    <row r="14" spans="1:7" x14ac:dyDescent="0.3">
      <c r="A14" s="1"/>
      <c r="D14" t="s">
        <v>90</v>
      </c>
      <c r="F14" s="1" t="s">
        <v>99</v>
      </c>
      <c r="G14" t="s">
        <v>285</v>
      </c>
    </row>
    <row r="15" spans="1:7" x14ac:dyDescent="0.3">
      <c r="A15" s="1"/>
      <c r="D15" t="s">
        <v>91</v>
      </c>
      <c r="F15" s="1" t="s">
        <v>100</v>
      </c>
      <c r="G15" t="s">
        <v>286</v>
      </c>
    </row>
    <row r="16" spans="1:7" ht="12" customHeight="1" x14ac:dyDescent="0.3">
      <c r="A16" s="1"/>
      <c r="D16" t="s">
        <v>266</v>
      </c>
      <c r="F16" s="1" t="s">
        <v>267</v>
      </c>
      <c r="G16" t="s">
        <v>287</v>
      </c>
    </row>
    <row r="17" spans="1:7" ht="12" customHeight="1" x14ac:dyDescent="0.3">
      <c r="A17" s="1"/>
      <c r="D17" t="s">
        <v>301</v>
      </c>
      <c r="F17" s="1" t="s">
        <v>302</v>
      </c>
      <c r="G17" t="s">
        <v>303</v>
      </c>
    </row>
    <row r="18" spans="1:7" x14ac:dyDescent="0.3">
      <c r="A18" s="1"/>
      <c r="D18" t="s">
        <v>347</v>
      </c>
      <c r="F18" s="1" t="s">
        <v>349</v>
      </c>
      <c r="G18" t="s">
        <v>348</v>
      </c>
    </row>
    <row r="19" spans="1:7" x14ac:dyDescent="0.3">
      <c r="A19" s="1"/>
      <c r="C19" t="s">
        <v>88</v>
      </c>
      <c r="F19" s="1" t="s">
        <v>97</v>
      </c>
      <c r="G19" t="s">
        <v>97</v>
      </c>
    </row>
    <row r="20" spans="1:7" x14ac:dyDescent="0.3">
      <c r="A20" s="1"/>
      <c r="D20" t="s">
        <v>92</v>
      </c>
      <c r="F20" s="1" t="s">
        <v>111</v>
      </c>
      <c r="G20" t="s">
        <v>288</v>
      </c>
    </row>
    <row r="21" spans="1:7" x14ac:dyDescent="0.3">
      <c r="A21" s="1"/>
      <c r="D21" t="s">
        <v>93</v>
      </c>
      <c r="F21" s="1" t="s">
        <v>101</v>
      </c>
      <c r="G21" t="s">
        <v>289</v>
      </c>
    </row>
    <row r="22" spans="1:7" x14ac:dyDescent="0.3">
      <c r="A22" s="1"/>
      <c r="C22" t="s">
        <v>89</v>
      </c>
      <c r="F22" s="1" t="s">
        <v>98</v>
      </c>
      <c r="G22" t="s">
        <v>98</v>
      </c>
    </row>
    <row r="23" spans="1:7" x14ac:dyDescent="0.3">
      <c r="A23" s="1"/>
      <c r="D23" t="s">
        <v>92</v>
      </c>
      <c r="F23" s="1" t="s">
        <v>111</v>
      </c>
      <c r="G23" t="s">
        <v>298</v>
      </c>
    </row>
    <row r="24" spans="1:7" x14ac:dyDescent="0.3">
      <c r="A24" s="1"/>
      <c r="C24" t="s">
        <v>87</v>
      </c>
      <c r="F24" s="1" t="s">
        <v>96</v>
      </c>
      <c r="G24" t="s">
        <v>96</v>
      </c>
    </row>
    <row r="25" spans="1:7" x14ac:dyDescent="0.3">
      <c r="A25" s="1"/>
      <c r="D25" t="s">
        <v>92</v>
      </c>
      <c r="F25" s="1" t="s">
        <v>111</v>
      </c>
      <c r="G25" t="s">
        <v>297</v>
      </c>
    </row>
    <row r="26" spans="1:7" x14ac:dyDescent="0.3">
      <c r="A26" s="1"/>
      <c r="C26" t="s">
        <v>90</v>
      </c>
      <c r="F26" s="1" t="s">
        <v>99</v>
      </c>
      <c r="G26" t="s">
        <v>99</v>
      </c>
    </row>
    <row r="27" spans="1:7" x14ac:dyDescent="0.3">
      <c r="A27" s="1"/>
      <c r="C27" t="s">
        <v>266</v>
      </c>
      <c r="F27" s="1" t="s">
        <v>267</v>
      </c>
      <c r="G27" t="s">
        <v>267</v>
      </c>
    </row>
    <row r="28" spans="1:7" x14ac:dyDescent="0.3">
      <c r="A28" s="1"/>
      <c r="D28" t="s">
        <v>268</v>
      </c>
      <c r="F28" s="1" t="s">
        <v>270</v>
      </c>
      <c r="G28" t="s">
        <v>290</v>
      </c>
    </row>
    <row r="29" spans="1:7" x14ac:dyDescent="0.3">
      <c r="A29" s="1"/>
      <c r="D29" t="s">
        <v>271</v>
      </c>
      <c r="F29" s="1" t="s">
        <v>269</v>
      </c>
      <c r="G29" t="s">
        <v>291</v>
      </c>
    </row>
    <row r="30" spans="1:7" x14ac:dyDescent="0.3">
      <c r="A30" s="1"/>
      <c r="D30" t="s">
        <v>272</v>
      </c>
      <c r="F30" s="1" t="s">
        <v>275</v>
      </c>
      <c r="G30" t="s">
        <v>292</v>
      </c>
    </row>
    <row r="31" spans="1:7" x14ac:dyDescent="0.3">
      <c r="A31" s="1"/>
      <c r="D31" t="s">
        <v>273</v>
      </c>
      <c r="F31" s="1" t="s">
        <v>276</v>
      </c>
      <c r="G31" t="s">
        <v>293</v>
      </c>
    </row>
    <row r="32" spans="1:7" x14ac:dyDescent="0.3">
      <c r="A32" s="1"/>
      <c r="D32" t="s">
        <v>274</v>
      </c>
      <c r="F32" s="1" t="s">
        <v>277</v>
      </c>
      <c r="G32" t="s">
        <v>294</v>
      </c>
    </row>
    <row r="33" spans="1:8" x14ac:dyDescent="0.3">
      <c r="A33" s="1"/>
      <c r="D33" t="s">
        <v>279</v>
      </c>
      <c r="F33" s="1" t="s">
        <v>278</v>
      </c>
      <c r="G33" t="s">
        <v>295</v>
      </c>
    </row>
    <row r="34" spans="1:8" x14ac:dyDescent="0.3">
      <c r="A34" s="1"/>
      <c r="C34" t="s">
        <v>301</v>
      </c>
      <c r="F34" s="1" t="s">
        <v>302</v>
      </c>
      <c r="G34" t="s">
        <v>302</v>
      </c>
    </row>
    <row r="35" spans="1:8" x14ac:dyDescent="0.3">
      <c r="A35" s="1"/>
      <c r="D35" t="s">
        <v>304</v>
      </c>
      <c r="F35" s="1" t="s">
        <v>305</v>
      </c>
      <c r="G35" t="s">
        <v>306</v>
      </c>
    </row>
    <row r="36" spans="1:8" x14ac:dyDescent="0.3">
      <c r="A36" s="1"/>
      <c r="D36" t="s">
        <v>93</v>
      </c>
      <c r="F36" s="1" t="s">
        <v>101</v>
      </c>
      <c r="G36" t="s">
        <v>307</v>
      </c>
    </row>
    <row r="37" spans="1:8" x14ac:dyDescent="0.3">
      <c r="A37" s="1"/>
      <c r="D37" t="s">
        <v>308</v>
      </c>
      <c r="F37" s="1" t="s">
        <v>309</v>
      </c>
      <c r="G37" t="s">
        <v>310</v>
      </c>
    </row>
    <row r="38" spans="1:8" x14ac:dyDescent="0.3">
      <c r="A38" s="1"/>
      <c r="D38" t="s">
        <v>311</v>
      </c>
      <c r="F38" s="1" t="s">
        <v>312</v>
      </c>
      <c r="G38" t="s">
        <v>313</v>
      </c>
    </row>
    <row r="39" spans="1:8" x14ac:dyDescent="0.3">
      <c r="A39" s="1"/>
      <c r="D39" t="s">
        <v>315</v>
      </c>
      <c r="F39" s="1" t="s">
        <v>316</v>
      </c>
      <c r="G39" t="s">
        <v>317</v>
      </c>
    </row>
    <row r="40" spans="1:8" x14ac:dyDescent="0.3">
      <c r="A40" s="1"/>
      <c r="C40" t="s">
        <v>314</v>
      </c>
      <c r="F40" s="1" t="s">
        <v>296</v>
      </c>
      <c r="G40" t="s">
        <v>296</v>
      </c>
    </row>
    <row r="41" spans="1:8" x14ac:dyDescent="0.3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3">
      <c r="A42" s="1"/>
      <c r="C42" t="s">
        <v>321</v>
      </c>
      <c r="F42" s="1" t="s">
        <v>334</v>
      </c>
      <c r="G42" t="s">
        <v>334</v>
      </c>
    </row>
    <row r="43" spans="1:8" x14ac:dyDescent="0.3">
      <c r="A43" s="1"/>
      <c r="D43" t="s">
        <v>322</v>
      </c>
      <c r="F43" s="1" t="s">
        <v>328</v>
      </c>
      <c r="G43" t="s">
        <v>335</v>
      </c>
    </row>
    <row r="44" spans="1:8" x14ac:dyDescent="0.3">
      <c r="A44" s="1"/>
      <c r="D44" t="s">
        <v>324</v>
      </c>
      <c r="F44" s="1" t="s">
        <v>329</v>
      </c>
      <c r="G44" t="s">
        <v>336</v>
      </c>
    </row>
    <row r="45" spans="1:8" x14ac:dyDescent="0.3">
      <c r="A45" s="1"/>
      <c r="D45" t="s">
        <v>323</v>
      </c>
      <c r="F45" s="1" t="s">
        <v>330</v>
      </c>
      <c r="G45" t="s">
        <v>337</v>
      </c>
    </row>
    <row r="46" spans="1:8" x14ac:dyDescent="0.3">
      <c r="A46" s="1"/>
      <c r="D46" t="s">
        <v>326</v>
      </c>
      <c r="F46" s="1" t="s">
        <v>331</v>
      </c>
      <c r="G46" t="s">
        <v>338</v>
      </c>
    </row>
    <row r="47" spans="1:8" x14ac:dyDescent="0.3">
      <c r="A47" s="1"/>
      <c r="D47" t="s">
        <v>344</v>
      </c>
      <c r="F47" s="1" t="s">
        <v>345</v>
      </c>
      <c r="G47" t="s">
        <v>346</v>
      </c>
    </row>
    <row r="48" spans="1:8" x14ac:dyDescent="0.3">
      <c r="A48" s="1"/>
      <c r="D48" t="s">
        <v>327</v>
      </c>
      <c r="F48" s="1" t="s">
        <v>332</v>
      </c>
      <c r="G48" t="s">
        <v>339</v>
      </c>
    </row>
    <row r="49" spans="1:7" x14ac:dyDescent="0.3">
      <c r="A49" s="1"/>
      <c r="D49" t="s">
        <v>325</v>
      </c>
      <c r="F49" s="1" t="s">
        <v>333</v>
      </c>
      <c r="G49" t="s">
        <v>340</v>
      </c>
    </row>
    <row r="50" spans="1:7" x14ac:dyDescent="0.3">
      <c r="A50" s="1"/>
      <c r="D50" t="s">
        <v>341</v>
      </c>
      <c r="F50" s="1" t="s">
        <v>342</v>
      </c>
      <c r="G50" t="s">
        <v>343</v>
      </c>
    </row>
    <row r="51" spans="1:7" x14ac:dyDescent="0.3">
      <c r="A51" s="1"/>
    </row>
    <row r="52" spans="1:7" x14ac:dyDescent="0.3">
      <c r="A52" s="1"/>
      <c r="B52" t="s">
        <v>83</v>
      </c>
    </row>
    <row r="53" spans="1:7" x14ac:dyDescent="0.3">
      <c r="A53" s="1"/>
      <c r="B53" t="s">
        <v>80</v>
      </c>
    </row>
    <row r="54" spans="1:7" x14ac:dyDescent="0.3">
      <c r="A54" s="1"/>
      <c r="C54" s="17" t="s">
        <v>77</v>
      </c>
    </row>
    <row r="55" spans="1:7" x14ac:dyDescent="0.3">
      <c r="A55" s="1"/>
      <c r="C55" s="16" t="s">
        <v>78</v>
      </c>
    </row>
    <row r="56" spans="1:7" x14ac:dyDescent="0.3">
      <c r="A56" s="1"/>
      <c r="C56" s="16" t="s">
        <v>79</v>
      </c>
    </row>
    <row r="57" spans="1:7" x14ac:dyDescent="0.3">
      <c r="A57" s="1"/>
      <c r="B57" t="s">
        <v>103</v>
      </c>
      <c r="C57" s="16"/>
    </row>
    <row r="58" spans="1:7" x14ac:dyDescent="0.3">
      <c r="A58" s="1"/>
      <c r="C58" s="16" t="s">
        <v>104</v>
      </c>
    </row>
    <row r="59" spans="1:7" x14ac:dyDescent="0.3">
      <c r="A59" s="1"/>
      <c r="C59" s="16" t="s">
        <v>105</v>
      </c>
    </row>
    <row r="60" spans="1:7" x14ac:dyDescent="0.3">
      <c r="A60" s="1"/>
      <c r="C60" s="16" t="s">
        <v>106</v>
      </c>
    </row>
    <row r="61" spans="1:7" x14ac:dyDescent="0.3">
      <c r="A61" s="1"/>
      <c r="C61" s="16" t="s">
        <v>108</v>
      </c>
    </row>
    <row r="62" spans="1:7" x14ac:dyDescent="0.3">
      <c r="A62" s="1"/>
      <c r="C62" s="16" t="s">
        <v>110</v>
      </c>
    </row>
    <row r="63" spans="1:7" x14ac:dyDescent="0.3">
      <c r="A63" s="1"/>
      <c r="C63" s="16" t="s">
        <v>109</v>
      </c>
    </row>
    <row r="64" spans="1:7" x14ac:dyDescent="0.3">
      <c r="A64" s="1"/>
      <c r="C64" s="16" t="s">
        <v>107</v>
      </c>
    </row>
    <row r="65" spans="2:14" ht="21" customHeight="1" x14ac:dyDescent="0.3">
      <c r="B65" s="19" t="s">
        <v>75</v>
      </c>
    </row>
    <row r="66" spans="2:14" ht="21" customHeight="1" x14ac:dyDescent="0.3">
      <c r="B66" s="59" t="s">
        <v>227</v>
      </c>
    </row>
    <row r="67" spans="2:14" ht="15" thickBot="1" x14ac:dyDescent="0.35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5">
      <c r="B68" s="49" t="s">
        <v>222</v>
      </c>
      <c r="C68" s="48" t="e">
        <f ca="1">A.Backend!J7</f>
        <v>#NAME?</v>
      </c>
      <c r="D68" s="48" t="str">
        <f>A.Backend!O7</f>
        <v xml:space="preserve">		public const string Pages_Inventory_CKD_Payment Request = "Pages.Inventory.CKD.Payment Request";
		public const string Pages_Inventory_CKD_Payment Request_CreateEdit = "Pages.Inventory.CKD.Payment Request.CreateEdit";
		public const string Pages_Inventory_CKD_Payment Request_Delete = "Pages.Inventory.CKD.Payment Request.Delete";
</v>
      </c>
      <c r="E68" s="48" t="str">
        <f>A.Backend!N7</f>
        <v xml:space="preserve">		var perInvCkdPaymentRequest = PARENTS.CreateChildPermission(AppPermissions.Pages_Inventory_CKD_Payment Request, L( "InventoryCKDPayment Request"), multiTenancySides: MultiTenancySides.Tenant);
		perInvCkdPaymentRequest.CreateChildPermission(AppPermissions.Pages_Inventory_CKD_Payment Request_CreateEdit, L( "InventoryCKDPayment RequestCreateEdit"), multiTenancySides: MultiTenancySides.Tenant);
		perInvCkdPaymentRequest.CreateChildPermission(AppPermissions.Pages_Inventory_CKD_Payment Request_Delete, L( "InventoryCKDPayment RequestDelete"), multiTenancySides: MultiTenancySides.Tenant);</v>
      </c>
      <c r="F68" s="48" t="str">
        <f>A.Backend!K7</f>
        <v>public virtual DbSet&lt;InvCkdPaymentRequest&gt; InvCkdPaymentRequests { get; set; }</v>
      </c>
      <c r="G68" s="48" t="e">
        <f ca="1">A.Backend!L7</f>
        <v>#NAME?</v>
      </c>
      <c r="H68" s="48" t="e">
        <f ca="1">A.Backend!M7</f>
        <v>#NAME?</v>
      </c>
      <c r="I68" s="48" t="e">
        <f ca="1">A.Backend!R7</f>
        <v>#NAME?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vovina.Inventory.CKD.Dto;
namespace prod.Inventory.CKD
{
	public interface IInvCkdPaymentRequestAppService : IApplicationService
	{
		Task&lt;PagedResultDto&lt;InvCkdPaymentRequestDto&gt;&gt; GetAll(GetInvCkdPaymentRequestInput input);
		Task CreateOrEdit(CreateOrEditInvCkdPaymentRequestDto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IInvCkdPaymentRequestExcelExporter : IApplicationService
	{
		FileDto ExportToFile(List&lt;InvCkdPaymentRequestDto&gt; invckdpaymentrequest);
	}
}
</v>
      </c>
      <c r="L68" s="48" t="e">
        <f ca="1">A.Backend!T7</f>
        <v>#NAME?</v>
      </c>
      <c r="M68" s="55" t="e">
        <f ca="1">A.Backend!Q7</f>
        <v>#NAME?</v>
      </c>
      <c r="N68" s="58" t="str">
        <f>A.Backend!U7</f>
        <v xml:space="preserve">  configuration.CreateMap&lt;InvCkdPaymentRequestDto, InvCkdPaymentRequest&gt;();
  configuration.CreateMap&lt;InvCkdPaymentRequest, InvCkdPaymentRequestDto&gt;();
  configuration.CreateMap&lt;CreateOrEditInvCkdPaymentRequestDto, InvCkdPaymentRequest&gt;();</v>
      </c>
    </row>
    <row r="69" spans="2:14" s="15" customFormat="1" ht="21.75" customHeight="1" x14ac:dyDescent="0.3">
      <c r="C69" s="61"/>
      <c r="H69" s="62"/>
      <c r="I69" s="62"/>
      <c r="M69" s="62"/>
    </row>
    <row r="70" spans="2:14" s="15" customFormat="1" ht="21.75" customHeight="1" x14ac:dyDescent="0.3"/>
    <row r="71" spans="2:14" s="15" customFormat="1" ht="21.75" customHeight="1" x14ac:dyDescent="0.3"/>
    <row r="72" spans="2:14" x14ac:dyDescent="0.3">
      <c r="B72" s="1" t="s">
        <v>70</v>
      </c>
    </row>
    <row r="73" spans="2:14" ht="21" x14ac:dyDescent="0.4">
      <c r="B73" t="str">
        <f>B.Frontend!B8</f>
        <v>payment request</v>
      </c>
      <c r="C73" s="66" t="str">
        <f>"create folder " &amp;B73</f>
        <v>create folder payment request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3">
      <c r="B74" s="56" t="s">
        <v>225</v>
      </c>
      <c r="C74" s="28" t="str">
        <f>B.Frontend!H14</f>
        <v>payment request.component.ts</v>
      </c>
      <c r="D74" s="28" t="str">
        <f>B.Frontend!I14</f>
        <v>payment request.component.html</v>
      </c>
      <c r="E74" s="28" t="str">
        <f>B.Frontend!J14</f>
        <v>payment request.component.less</v>
      </c>
      <c r="F74" s="28" t="str">
        <f>B.Frontend!K14</f>
        <v>create-or-edit-payment request-modal.component.html</v>
      </c>
      <c r="G74" s="28" t="str">
        <f>B.Frontend!L14</f>
        <v>create-or-edit-payment request-modal.component.ts</v>
      </c>
      <c r="H74" s="28" t="str">
        <f>B.Frontend!M14</f>
        <v>create-or-edit-payment request-modal.component.less</v>
      </c>
      <c r="I74" s="28" t="str">
        <f>B.Frontend!N14</f>
        <v>payment request.module.ts</v>
      </c>
      <c r="J74" s="28" t="str">
        <f>B.Frontend!O14</f>
        <v>payment request-routing.module.ts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3">
      <c r="B75" s="57" t="s">
        <v>222</v>
      </c>
      <c r="C75" s="46" t="e">
        <f ca="1">B.Frontend!H10</f>
        <v>#NAME?</v>
      </c>
      <c r="D75" s="46" t="e">
        <f ca="1">B.Frontend!I10</f>
        <v>#NAME?</v>
      </c>
      <c r="E75" s="46" t="str">
        <f>B.Frontend!J10</f>
        <v>.input-search{
    width: 250px;
    border-radius: 10px;
    margin-left: 10px;
}
.btn-search{
    width: 50px;
    margin-left: 10px;
}</v>
      </c>
      <c r="F75" s="46" t="e">
        <f ca="1">B.Frontend!K10</f>
        <v>#NAME?</v>
      </c>
      <c r="G75" s="46" t="e">
        <f ca="1">B.Frontend!L10</f>
        <v>#NAME?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Payment RequestRoutingModule } from './payment request-routing.module';
import { Payment RequestComponent } from './payment request.component';
import { CreateOrEditPayment RequestModalComponent } from './create-or-edit-payment request-modal.component';
@NgModule({
    declarations: [
       Payment RequestComponent, 
        CreateOrEditPayment RequestModalComponent
    ],
    imports: [
        AppSharedModule, Payment RequestRoutingModule]
})
export class Payment RequestModule {}</v>
      </c>
      <c r="J75" s="46" t="str">
        <f>B.Frontend!O10</f>
        <v>import {NgModule} from '@angular/core';
import {RouterModule, Routes} from '@angular/router';
import { Payment RequestComponent } from './payment request.component';
const routes: Routes = [{
    path: '',
    component: Payment RequestComponent,
    pathMatch: 'full'
}];
@NgModule({
    imports: [RouterModule.forChild(routes)],
    exports: [RouterModule],
})
export class Payment RequestRoutingModule {}</v>
      </c>
      <c r="K75" s="46" t="str">
        <f>B.Frontend!P10</f>
        <v xml:space="preserve"> new AppMenuItem("Payment Request", "Pages.Inventory.CKD.Payment Request", "flaticon-book",   "/app/main/inventory/ckd/payment request"),</v>
      </c>
      <c r="L75" s="47" t="str">
        <f>B.Frontend!Q10</f>
        <v>{
    path: 'inventory/ckd/payment request',
    loadChildren: () =&gt; import('./inventory/ckd/payment request/payment request.module').then(m =&gt; m.Payment RequestModule),
    data: { permission: 'Pages.Inventory.CKD.Payment Request' }
},</v>
      </c>
      <c r="M75" s="45" t="str">
        <f>B.Frontend!R10</f>
        <v>ApiServiceProxies.InvCkdPaymentRequestServiceProxy,</v>
      </c>
    </row>
    <row r="77" spans="2:14" x14ac:dyDescent="0.3">
      <c r="B77" s="1" t="s">
        <v>72</v>
      </c>
    </row>
    <row r="78" spans="2:14" x14ac:dyDescent="0.3">
      <c r="B78" s="1" t="s">
        <v>375</v>
      </c>
      <c r="C78" s="1" t="s">
        <v>376</v>
      </c>
      <c r="D78" s="1" t="s">
        <v>377</v>
      </c>
    </row>
    <row r="79" spans="2:14" x14ac:dyDescent="0.3">
      <c r="C79" t="s">
        <v>380</v>
      </c>
      <c r="D79" t="s">
        <v>378</v>
      </c>
    </row>
    <row r="80" spans="2:14" x14ac:dyDescent="0.3">
      <c r="C80" t="s">
        <v>381</v>
      </c>
      <c r="D80" t="s">
        <v>378</v>
      </c>
    </row>
    <row r="81" spans="2:14" x14ac:dyDescent="0.3">
      <c r="B81" s="1" t="s">
        <v>383</v>
      </c>
      <c r="E81" s="1" t="s">
        <v>398</v>
      </c>
    </row>
    <row r="82" spans="2:14" x14ac:dyDescent="0.3">
      <c r="C82" s="1" t="s">
        <v>382</v>
      </c>
      <c r="D82" s="1" t="s">
        <v>384</v>
      </c>
      <c r="E82" s="1" t="s">
        <v>386</v>
      </c>
      <c r="F82" s="1" t="s">
        <v>387</v>
      </c>
      <c r="G82" s="1" t="s">
        <v>390</v>
      </c>
      <c r="H82" s="1" t="s">
        <v>391</v>
      </c>
      <c r="I82" s="1" t="s">
        <v>392</v>
      </c>
      <c r="J82" s="1" t="s">
        <v>394</v>
      </c>
      <c r="K82" s="1" t="s">
        <v>395</v>
      </c>
      <c r="L82" s="1" t="s">
        <v>396</v>
      </c>
    </row>
    <row r="83" spans="2:14" x14ac:dyDescent="0.3">
      <c r="D83" t="s">
        <v>385</v>
      </c>
      <c r="E83" t="s">
        <v>388</v>
      </c>
      <c r="F83" t="s">
        <v>389</v>
      </c>
      <c r="H83" t="s">
        <v>390</v>
      </c>
      <c r="I83" t="s">
        <v>393</v>
      </c>
    </row>
    <row r="84" spans="2:14" x14ac:dyDescent="0.3">
      <c r="B84" s="1" t="s">
        <v>397</v>
      </c>
      <c r="E84" s="1" t="s">
        <v>399</v>
      </c>
    </row>
    <row r="85" spans="2:14" x14ac:dyDescent="0.3">
      <c r="C85" s="1" t="s">
        <v>382</v>
      </c>
      <c r="D85" s="1" t="s">
        <v>379</v>
      </c>
      <c r="E85" s="1" t="s">
        <v>400</v>
      </c>
      <c r="F85" s="1" t="s">
        <v>401</v>
      </c>
      <c r="G85" s="1" t="s">
        <v>395</v>
      </c>
      <c r="H85" s="1" t="s">
        <v>394</v>
      </c>
      <c r="I85" s="1" t="s">
        <v>402</v>
      </c>
      <c r="J85" s="1" t="s">
        <v>408</v>
      </c>
      <c r="K85" s="1" t="s">
        <v>407</v>
      </c>
      <c r="L85" s="1" t="s">
        <v>406</v>
      </c>
      <c r="M85" s="1" t="s">
        <v>405</v>
      </c>
      <c r="N85" s="1" t="s">
        <v>404</v>
      </c>
    </row>
    <row r="86" spans="2:14" x14ac:dyDescent="0.3">
      <c r="I86" t="s">
        <v>403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1"/>
  <sheetViews>
    <sheetView workbookViewId="0">
      <pane xSplit="1" topLeftCell="B1" activePane="topRight" state="frozen"/>
      <selection pane="topRight" activeCell="C12" sqref="C12"/>
    </sheetView>
  </sheetViews>
  <sheetFormatPr defaultColWidth="9.21875" defaultRowHeight="14.4" x14ac:dyDescent="0.3"/>
  <cols>
    <col min="1" max="1" width="20.77734375" style="7" customWidth="1"/>
    <col min="2" max="2" width="20.44140625" style="8" customWidth="1"/>
    <col min="3" max="3" width="19.44140625" style="7" customWidth="1"/>
    <col min="4" max="4" width="23.44140625" style="7" customWidth="1"/>
    <col min="5" max="5" width="14.44140625" style="7" customWidth="1"/>
    <col min="6" max="6" width="14.77734375" style="7" customWidth="1"/>
    <col min="7" max="7" width="17.21875" style="7" bestFit="1" customWidth="1"/>
    <col min="8" max="8" width="15" style="7" customWidth="1"/>
    <col min="9" max="9" width="16" style="7" customWidth="1"/>
    <col min="10" max="10" width="15.77734375" style="7" customWidth="1"/>
    <col min="11" max="11" width="16" style="7" customWidth="1"/>
    <col min="12" max="12" width="16.77734375" style="7" customWidth="1"/>
    <col min="13" max="13" width="17.44140625" style="7" customWidth="1"/>
    <col min="14" max="14" width="16.21875" style="7" customWidth="1"/>
    <col min="15" max="15" width="14.77734375" style="7" customWidth="1"/>
    <col min="16" max="16" width="16" style="7" customWidth="1"/>
    <col min="17" max="17" width="15.77734375" style="7" customWidth="1"/>
    <col min="18" max="18" width="19.44140625" style="7" customWidth="1"/>
    <col min="19" max="19" width="20.44140625" style="7" customWidth="1"/>
    <col min="20" max="20" width="17" style="7" customWidth="1"/>
    <col min="21" max="21" width="14" style="7" customWidth="1"/>
    <col min="22" max="22" width="15.21875" style="7" customWidth="1"/>
    <col min="23" max="23" width="27.77734375" style="8" customWidth="1"/>
    <col min="24" max="16384" width="9.21875" style="7"/>
  </cols>
  <sheetData>
    <row r="1" spans="1:23" s="10" customFormat="1" ht="14.25" customHeight="1" x14ac:dyDescent="0.3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vovina.Inventory.CKD.Dto;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3">
      <c r="A2" s="1" t="s">
        <v>12</v>
      </c>
      <c r="B2" s="27" t="s">
        <v>350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3">
      <c r="A3" s="1" t="s">
        <v>5</v>
      </c>
      <c r="B3" s="27" t="s">
        <v>373</v>
      </c>
      <c r="C3" s="9" t="s">
        <v>41</v>
      </c>
      <c r="D3" s="9" t="s">
        <v>42</v>
      </c>
      <c r="E3" s="9" t="s">
        <v>37</v>
      </c>
      <c r="F3" s="10" t="str">
        <f>"J"&amp;COUNTA($A:$A)</f>
        <v>J19</v>
      </c>
      <c r="G3" s="4" t="s">
        <v>54</v>
      </c>
      <c r="H3" s="9" t="str">
        <f>"I"&amp;COUNTA($A:$A)</f>
        <v>I19</v>
      </c>
      <c r="I3" s="9" t="str">
        <f>REPT(CHAR(9),2)&amp;"[Required]"&amp;"
"</f>
        <v xml:space="preserve">		[Required]
</v>
      </c>
      <c r="J3" s="10" t="str">
        <f>"L"&amp;COUNTA($A:$A)</f>
        <v>L19</v>
      </c>
      <c r="K3" s="5" t="s">
        <v>53</v>
      </c>
      <c r="L3" s="10" t="str">
        <f>"M"&amp;COUNTA($A:$A)</f>
        <v>M19</v>
      </c>
      <c r="M3" s="10" t="str">
        <f>"N"&amp;COUNTA($A:$A)</f>
        <v>N19</v>
      </c>
      <c r="N3" s="10" t="str">
        <f>"O"&amp;COUNTA($A:$A)</f>
        <v>O19</v>
      </c>
      <c r="O3" s="10" t="str">
        <f>"P"&amp;COUNTA($A:$A)</f>
        <v>P19</v>
      </c>
      <c r="Q3" s="10" t="str">
        <f>RIGHT(B2,(LEN(B2)-FIND(".",B2,1)))</f>
        <v>CKD</v>
      </c>
      <c r="R3" s="29" t="str">
        <f>REPT(CHAR(9),1)&amp;"public class "&amp;B3&amp;"ExportInput"&amp;C3</f>
        <v xml:space="preserve">	public class InvCkdPaymentRequestExportInput{
</v>
      </c>
      <c r="S3" s="10" t="str">
        <f>"namespace "&amp;$B$6&amp;".Exporting
"&amp;$C$3</f>
        <v xml:space="preserve">namespace prod.Inventory.CKD.Exporting
{
</v>
      </c>
      <c r="T3" s="10" t="str">
        <f>"T"&amp;COUNTA($A:$A)</f>
        <v>T19</v>
      </c>
      <c r="V3" s="10" t="str">
        <f>"V"&amp;COUNTA($A:$A)</f>
        <v>V19</v>
      </c>
      <c r="W3" s="9" t="str">
        <f>"W"&amp;COUNTA($A:$A)</f>
        <v>W19</v>
      </c>
    </row>
    <row r="4" spans="1:23" s="10" customFormat="1" ht="33" customHeight="1" x14ac:dyDescent="0.3">
      <c r="A4" s="1" t="s">
        <v>233</v>
      </c>
      <c r="B4" s="60" t="s">
        <v>321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3">
      <c r="A5" s="1" t="s">
        <v>234</v>
      </c>
      <c r="B5" s="60" t="s">
        <v>374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05" customHeight="1" x14ac:dyDescent="0.3">
      <c r="A6" s="1" t="s">
        <v>6</v>
      </c>
      <c r="B6" s="9" t="str">
        <f>"prod."&amp;B2</f>
        <v>prod.Inventory.CKD</v>
      </c>
      <c r="C6" s="10" t="str">
        <f>"namespace "&amp;$B$6&amp;"
"&amp;$C$3</f>
        <v xml:space="preserve">namespace prod.Inventory.CKD
{
</v>
      </c>
      <c r="D6" s="10" t="str">
        <f>REPT(CHAR(9),1)&amp;"public class "&amp;B3&amp;G3&amp;REPT(CHAR(9),1)&amp;"
"&amp;REPT(CHAR(9),1)&amp;C3</f>
        <v xml:space="preserve">	public class InvCkdPaymentRequest: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InvCkdPaymentRequestConsts	
	{
</v>
      </c>
      <c r="F6" s="10" t="str">
        <f>REPT(CHAR(9),1)&amp;"public class "&amp;B3&amp;"Dto"&amp;K3&amp;REPT(CHAR(9),1)&amp;"
"&amp;REPT(CHAR(9),1)&amp;C3</f>
        <v xml:space="preserve">	public class InvCkdPaymentRequestDto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CreateOrEditInvCkdPaymentRequestDto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GetInvCkdPaymentRequestInput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05" customHeight="1" x14ac:dyDescent="0.3">
      <c r="A7" s="1" t="s">
        <v>13</v>
      </c>
      <c r="B7" s="9" t="str">
        <f>B3</f>
        <v>InvCkdPaymentRequest</v>
      </c>
      <c r="C7" s="10" t="str">
        <f>REPT(CHAR(9),1)&amp;"[Table("""&amp;B7&amp;""")]"&amp;"
"</f>
        <v xml:space="preserve">	[Table("InvCkdPaymentRequest")]
</v>
      </c>
      <c r="D7" s="10"/>
      <c r="E7" s="10"/>
      <c r="F7" s="10"/>
      <c r="G7" s="10"/>
      <c r="H7" s="10"/>
      <c r="I7" s="10"/>
      <c r="J7" t="e">
        <f ca="1">SUBSTITUTE(SUBSTITUTE((B1&amp;C6&amp;C7&amp;K21&amp;D6&amp;I21&amp;E3&amp;J21&amp;""&amp;REPT(CHAR(9),1)&amp;D3&amp;D3),"WorkingPattern",$Q$3),"Master",$B$4)</f>
        <v>#NAME?</v>
      </c>
      <c r="K7" t="str">
        <f>SUBSTITUTE(SUBSTITUTE(("public virtual DbSet&lt;"&amp;B3&amp;"&gt; "&amp;B3&amp;"s { get; set; }"),"WorkingPattern",$Q$3),"Master",$B$4)</f>
        <v>public virtual DbSet&lt;InvCkdPaymentRequest&gt; InvCkdPaymentRequests { get; set; }</v>
      </c>
      <c r="L7" t="e">
        <f ca="1">SUBSTITUTE(SUBSTITUTE((C6&amp;E6&amp;I21&amp;"
"&amp;REPT(CHAR(9),2)&amp;"// Define Store Name: Format SP_ + &lt;Store Name&gt; = &lt;Store Name&gt;
"&amp;E3&amp;REPT(CHAR(9),1)&amp;D3&amp;D3),"WorkingPattern",$Q$3),"Master",$B$4)</f>
        <v>#NAME?</v>
      </c>
      <c r="M7" t="e">
        <f ca="1">SUBSTITUTE(SUBSTITUTE((C1&amp;"namespace "&amp;B6&amp;".Dto"&amp;E3&amp;C3&amp;F6&amp;M21&amp;E3&amp;REPT(CHAR(9),1)&amp;D3&amp;G6&amp;N21&amp;REPT(CHAR(9),1)&amp;D3&amp;H6&amp;O21&amp;"
"&amp;REPT(CHAR(9),1)&amp;D3&amp;D3),"WorkingPattern",$Q$3),"Master",$B$4)</f>
        <v>#NAME?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perInvCkdPaymentRequest = PARENTS.CreateChildPermission(AppPermissions.Pages_Inventory_CKD_Payment Request, L( "InventoryCKDPayment Request"), multiTenancySides: MultiTenancySides.Tenant);
		perInvCkdPaymentRequest.CreateChildPermission(AppPermissions.Pages_Inventory_CKD_Payment Request_CreateEdit, L( "InventoryCKDPayment RequestCreateEdit"), multiTenancySides: MultiTenancySides.Tenant);
		perInvCkdPaymentRequest.CreateChildPermission(AppPermissions.Pages_Inventory_CKD_Payment Request_Delete, L( "InventoryCKDPayment RequestDelete"),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Pages_Inventory_CKD_Payment Request = "Pages.Inventory.CKD.Payment Request";
		public const string Pages_Inventory_CKD_Payment Request_CreateEdit = "Pages.Inventory.CKD.Payment Request.CreateEdit";
		public const string Pages_Inventory_CKD_Payment Request_Delete = "Pages.Inventory.CKD.Payment Request.Delete";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
{
	public interface IInvCkdPaymentRequestAppService : IApplicationService
	{
		Task&lt;PagedResultDto&lt;InvCkdPaymentRequestDto&gt;&gt; GetAll(GetInvCkdPaymentRequestInput input);
		Task CreateOrEdit(CreateOrEditInvCkdPaymentRequestDto input);
		Task Delete(EntityDto input);
	}
}
</v>
      </c>
      <c r="Q7" t="e">
        <f ca="1">SUBSTITUTE(SUBSTITUTE(SUBSTITUTE(SUBSTITUTE(SUBSTITUTE(SUBSTITUTE(E1,"MstWptCalendar",$B$3),"&lt;PROPERTIES&gt;",P21),"Calendar",$B$5),"WorkingPattern",$Q$3),"Master",$B$4),"&lt;PARAMS_SEARCH&gt;",$W$21)</f>
        <v>#NAME?</v>
      </c>
      <c r="R7" t="e">
        <f ca="1">SUBSTITUTE(SUBSTITUTE((C1&amp;"namespace "&amp;B6&amp;".Dto"&amp;E3&amp;C3&amp;R3&amp;M21&amp;E3&amp;REPT(CHAR(9),1)&amp;D3&amp;D3),"WorkingPattern",$Q$3),"Master",$B$4)</f>
        <v>#NAME?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vovina.Inventory.CKD.Dto;
namespace prod.Inventory.CKD.Exporting
{
	public interface IInvCkdPaymentRequestExcelExporter : IApplicationService
	{
		FileDto ExportToFile(List&lt;InvCkdPaymentRequestDto&gt; invckdpaymentrequest);
	}
}
</v>
      </c>
      <c r="T7" s="26" t="e">
        <f ca="1">SUBSTITUTE(SUBSTITUTE(SUBSTITUTE(SUBSTITUTE(SUBSTITUTE(SUBSTITUTE(SUBSTITUTE(T1,"MstWptCalendar",$B$3),"&lt;PROPERTIES1&gt;",V21),"&lt;PROPERTIES&gt;",T21),"Calendar",$B$5),"calendar",LOWER(B5)),"WorkingPattern",$Q$3),"Master",$B$4)</f>
        <v>#NAME?</v>
      </c>
      <c r="U7" s="26" t="str">
        <f>SUBSTITUTE(SUBSTITUTE(U1,"MstWptCalendar",$B$3),"Master",$B$4)</f>
        <v xml:space="preserve">  configuration.CreateMap&lt;InvCkdPaymentRequestDto, InvCkdPaymentRequest&gt;();
  configuration.CreateMap&lt;InvCkdPaymentRequest, InvCkdPaymentRequestDto&gt;();
  configuration.CreateMap&lt;CreateOrEditInvCkdPaymentRequestDto, InvCkdPaymentRequest&gt;();</v>
      </c>
      <c r="V7" s="26"/>
      <c r="W7" s="26"/>
    </row>
    <row r="8" spans="1:23" s="2" customFormat="1" x14ac:dyDescent="0.3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3">
      <c r="A9" t="s">
        <v>361</v>
      </c>
      <c r="B9" t="s">
        <v>353</v>
      </c>
      <c r="C9" t="s">
        <v>1</v>
      </c>
      <c r="D9" t="str">
        <f t="shared" ref="D9" si="0">SUBSTITUTE(PROPER(A9),"_","")</f>
        <v>Time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20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MaxTimeLength = 20;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[StringLength(MaxTimeLength)]
		public virtual string Time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Time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[StringLength(InvCkdPaymentRequestConsts.MaxTimeLength)]
		public virtual string Time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Time { get; set; }
</v>
      </c>
      <c r="P9" t="str">
        <f t="shared" ref="P9" si="9">REPT(CHAR(9),7)&amp;D9&amp;" = o." &amp;D9 &amp;","</f>
        <v xml:space="preserve">							Time = o.Time,</v>
      </c>
      <c r="T9" s="64" t="str">
        <f t="shared" ref="T9" si="10">REPT(CHAR(9),8)&amp;"("""&amp;D9&amp;"""),"</f>
        <v xml:space="preserve">								("Time"),</v>
      </c>
      <c r="V9" s="65" t="str">
        <f t="shared" ref="V9" si="11">REPT(CHAR(9),8)&amp;"_ =&gt; _."&amp;D9&amp;","</f>
        <v xml:space="preserve">								_ =&gt; _.Time,</v>
      </c>
      <c r="W9" s="64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.WhereIf(!string.IsNullOrWhiteSpace(input.Time), e =&gt; e.Time.Contains(input.Time))</v>
      </c>
    </row>
    <row r="10" spans="1:23" customFormat="1" ht="18.75" customHeight="1" x14ac:dyDescent="0.3">
      <c r="A10" t="s">
        <v>362</v>
      </c>
      <c r="B10" t="s">
        <v>371</v>
      </c>
      <c r="C10" t="s">
        <v>1</v>
      </c>
      <c r="D10" t="str">
        <f t="shared" ref="D10:D11" si="13">SUBSTITUTE(PROPER(A10),"_","")</f>
        <v>CustomsPort</v>
      </c>
      <c r="E10" t="str">
        <f t="shared" ref="E10:E11" si="14">IFERROR(LEFT(B10, FIND("(",B10)-1),B10)</f>
        <v>varchar</v>
      </c>
      <c r="F10" s="6"/>
      <c r="G10" t="str">
        <f t="shared" ref="G10:G11" si="15">IFERROR(MID(B10,FIND("(",B10) +1, FIND(")",B10) - FIND("(",B10) - 1),"")</f>
        <v>12</v>
      </c>
      <c r="H10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MaxCustomsPortLength = 12;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[StringLength(MaxCustomsPortLength)]
		public virtual string CustomsPort { get; set; }
</v>
      </c>
      <c r="K10" s="6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CustomsPort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[StringLength(InvCkdPaymentRequestConsts.MaxCustomsPortLength)]
		public virtual string CustomsPort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CustomsPort { get; set; }
</v>
      </c>
      <c r="P10" t="str">
        <f t="shared" ref="P10:P11" si="22">REPT(CHAR(9),7)&amp;D10&amp;" = o." &amp;D10 &amp;","</f>
        <v xml:space="preserve">							CustomsPort = o.CustomsPort,</v>
      </c>
      <c r="T10" s="64" t="str">
        <f t="shared" ref="T10:T11" si="23">REPT(CHAR(9),8)&amp;"("""&amp;D10&amp;"""),"</f>
        <v xml:space="preserve">								("CustomsPort"),</v>
      </c>
      <c r="V10" s="65" t="str">
        <f t="shared" ref="V10:V11" si="24">REPT(CHAR(9),8)&amp;"_ =&gt; _."&amp;D10&amp;","</f>
        <v xml:space="preserve">								_ =&gt; _.CustomsPort,</v>
      </c>
      <c r="W10" s="64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.WhereIf(!string.IsNullOrWhiteSpace(input.CustomsPort), e =&gt; e.CustomsPort.Contains(input.CustomsPort))</v>
      </c>
    </row>
    <row r="11" spans="1:23" customFormat="1" ht="18.75" customHeight="1" x14ac:dyDescent="0.3">
      <c r="A11" t="s">
        <v>363</v>
      </c>
      <c r="B11" t="s">
        <v>369</v>
      </c>
      <c r="C11" t="s">
        <v>1</v>
      </c>
      <c r="D11" t="str">
        <f t="shared" si="13"/>
        <v>ReqDate</v>
      </c>
      <c r="E11" t="str">
        <f t="shared" si="14"/>
        <v>DateTime</v>
      </c>
      <c r="F11" s="6" t="s">
        <v>370</v>
      </c>
      <c r="G11" t="str">
        <f t="shared" si="15"/>
        <v/>
      </c>
      <c r="H11" t="str">
        <f>+VLOOKUP(E11,'Data Type Mapping'!A:B,2,)</f>
        <v>DateTime?</v>
      </c>
      <c r="I11" t="str">
        <f t="shared" si="16"/>
        <v/>
      </c>
      <c r="J11" t="str">
        <f t="shared" si="17"/>
        <v xml:space="preserve">		[Column(TypeName="Date")]
		public virtual DateTime? ReqDate { get; set; }
</v>
      </c>
      <c r="K11" s="6"/>
      <c r="L11" t="str">
        <f t="shared" si="18"/>
        <v/>
      </c>
      <c r="M11" t="str">
        <f t="shared" si="19"/>
        <v xml:space="preserve">		public virtual DateTime? ReqDate { get; set; }
</v>
      </c>
      <c r="N11" t="str">
        <f t="shared" si="20"/>
        <v xml:space="preserve">		public virtual DateTime? ReqDate { get; set; }
</v>
      </c>
      <c r="O11" t="str">
        <f t="shared" si="21"/>
        <v/>
      </c>
      <c r="P11" t="str">
        <f t="shared" si="22"/>
        <v xml:space="preserve">							ReqDate = o.ReqDate,</v>
      </c>
      <c r="T11" s="64" t="str">
        <f t="shared" si="23"/>
        <v xml:space="preserve">								("ReqDate"),</v>
      </c>
      <c r="V11" s="65" t="str">
        <f t="shared" si="24"/>
        <v xml:space="preserve">								_ =&gt; _.ReqDate,</v>
      </c>
      <c r="W11" s="64" t="str">
        <f t="shared" si="25"/>
        <v/>
      </c>
    </row>
    <row r="12" spans="1:23" customFormat="1" ht="18.75" customHeight="1" x14ac:dyDescent="0.3">
      <c r="A12" t="s">
        <v>364</v>
      </c>
      <c r="B12" t="s">
        <v>372</v>
      </c>
      <c r="C12" t="s">
        <v>1</v>
      </c>
      <c r="D12" t="str">
        <f t="shared" ref="D12:D16" si="26">SUBSTITUTE(PROPER(A12),"_","")</f>
        <v>ReqPerson</v>
      </c>
      <c r="E12" t="str">
        <f t="shared" ref="E12:E16" si="27">IFERROR(LEFT(B12, FIND("(",B12)-1),B12)</f>
        <v>varchar</v>
      </c>
      <c r="F12" s="6"/>
      <c r="G12" t="str">
        <f t="shared" ref="G12:G16" si="28">IFERROR(MID(B12,FIND("(",B12) +1, FIND(")",B12) - FIND("(",B12) - 1),"")</f>
        <v>50</v>
      </c>
      <c r="H12" t="str">
        <f>+VLOOKUP(E12,'Data Type Mapping'!A:B,2,)</f>
        <v>string</v>
      </c>
      <c r="I12" t="str">
        <f t="shared" ref="I12:I16" si="29">IF(H12="string",REPT(CHAR(9),2)&amp;"public const int Max"&amp;D12&amp;"Length = "&amp;G12&amp;";"&amp;$E$3,"" )</f>
        <v xml:space="preserve">		public const int MaxReqPersonLength = 50;
</v>
      </c>
      <c r="J12" t="str">
        <f t="shared" ref="J12:J16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[StringLength(MaxReqPersonLength)]
		public virtual string ReqPerson { get; set; }
</v>
      </c>
      <c r="K12" s="6"/>
      <c r="L12" t="str">
        <f t="shared" ref="L12:L16" si="31">IF(K12="","",REPT(CHAR(9),1)&amp;"[Index(nameof("&amp;IF(D12="","",""&amp;D12)&amp;")"&amp;", Name="&amp;"""IX_"&amp;$B$7&amp;"_"&amp;D12&amp;""")]")</f>
        <v/>
      </c>
      <c r="M12" t="str">
        <f t="shared" ref="M12:M16" si="32">REPT(CHAR(9),2)&amp;"public virtual "&amp;IF(OR(H12="DateTime",H12="TimeSpan"),H12&amp;"?",H12)&amp;IF(C12="?","? "," ")&amp;D12&amp;" { get; set; }" &amp; "
"</f>
        <v xml:space="preserve">		public virtual string ReqPerson { get; set; }
</v>
      </c>
      <c r="N12" t="str">
        <f t="shared" ref="N12:N16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[StringLength(InvCkdPaymentRequestConsts.MaxReqPersonLength)]
		public virtual string ReqPerson { get; set; }
</v>
      </c>
      <c r="O12" t="str">
        <f t="shared" ref="O12:O16" si="34">IF(OR(H12="string",H12="DateTime",H12="int"),REPT(CHAR(9),2)&amp;"public virtual "&amp;IF(OR(H12="DateTime",H12="TimeSpan"),H12&amp;"?",H12)&amp;IF(C12="?","? "," ")&amp;D12&amp;" { get; set; }"&amp;$E$3,"")</f>
        <v xml:space="preserve">		public virtual string ReqPerson { get; set; }
</v>
      </c>
      <c r="P12" t="str">
        <f t="shared" ref="P12:P16" si="35">REPT(CHAR(9),7)&amp;D12&amp;" = o." &amp;D12 &amp;","</f>
        <v xml:space="preserve">							ReqPerson = o.ReqPerson,</v>
      </c>
      <c r="T12" s="64" t="str">
        <f t="shared" ref="T12:T16" si="36">REPT(CHAR(9),8)&amp;"("""&amp;D12&amp;"""),"</f>
        <v xml:space="preserve">								("ReqPerson"),</v>
      </c>
      <c r="V12" s="65" t="str">
        <f t="shared" ref="V12:V16" si="37">REPT(CHAR(9),8)&amp;"_ =&gt; _."&amp;D12&amp;","</f>
        <v xml:space="preserve">								_ =&gt; _.ReqPerson,</v>
      </c>
      <c r="W12" s="64" t="str">
        <f t="shared" ref="W12:W16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.WhereIf(!string.IsNullOrWhiteSpace(input.ReqPerson), e =&gt; e.ReqPerson.Contains(input.ReqPerson))</v>
      </c>
    </row>
    <row r="13" spans="1:23" customFormat="1" ht="18.75" customHeight="1" x14ac:dyDescent="0.3">
      <c r="A13" t="s">
        <v>365</v>
      </c>
      <c r="B13" t="s">
        <v>372</v>
      </c>
      <c r="C13" t="s">
        <v>1</v>
      </c>
      <c r="D13" t="str">
        <f t="shared" si="26"/>
        <v>ReqDepartment</v>
      </c>
      <c r="E13" t="str">
        <f t="shared" si="27"/>
        <v>varchar</v>
      </c>
      <c r="F13" s="6"/>
      <c r="G13" t="str">
        <f t="shared" si="28"/>
        <v>50</v>
      </c>
      <c r="H13" t="str">
        <f>+VLOOKUP(E13,'Data Type Mapping'!A:B,2,)</f>
        <v>string</v>
      </c>
      <c r="I13" t="str">
        <f t="shared" si="29"/>
        <v xml:space="preserve">		public const int MaxReqDepartmentLength = 50;
</v>
      </c>
      <c r="J13" t="str">
        <f t="shared" si="30"/>
        <v xml:space="preserve">		[StringLength(MaxReqDepartmentLength)]
		public virtual string ReqDepartment { get; set; }
</v>
      </c>
      <c r="K13" s="6"/>
      <c r="L13" t="str">
        <f t="shared" si="31"/>
        <v/>
      </c>
      <c r="M13" t="str">
        <f t="shared" si="32"/>
        <v xml:space="preserve">		public virtual string ReqDepartment { get; set; }
</v>
      </c>
      <c r="N13" t="str">
        <f t="shared" si="33"/>
        <v xml:space="preserve">		[StringLength(InvCkdPaymentRequestConsts.MaxReqDepartmentLength)]
		public virtual string ReqDepartment { get; set; }
</v>
      </c>
      <c r="O13" t="str">
        <f t="shared" si="34"/>
        <v xml:space="preserve">		public virtual string ReqDepartment { get; set; }
</v>
      </c>
      <c r="P13" t="str">
        <f t="shared" si="35"/>
        <v xml:space="preserve">							ReqDepartment = o.ReqDepartment,</v>
      </c>
      <c r="T13" s="64" t="str">
        <f t="shared" si="36"/>
        <v xml:space="preserve">								("ReqDepartment"),</v>
      </c>
      <c r="V13" s="65" t="str">
        <f t="shared" si="37"/>
        <v xml:space="preserve">								_ =&gt; _.ReqDepartment,</v>
      </c>
      <c r="W13" s="64" t="str">
        <f t="shared" si="38"/>
        <v xml:space="preserve">				.WhereIf(!string.IsNullOrWhiteSpace(input.ReqDepartment), e =&gt; e.ReqDepartment.Contains(input.ReqDepartment))</v>
      </c>
    </row>
    <row r="14" spans="1:23" customFormat="1" ht="18.75" customHeight="1" x14ac:dyDescent="0.3">
      <c r="A14" t="s">
        <v>352</v>
      </c>
      <c r="B14" t="s">
        <v>354</v>
      </c>
      <c r="C14" t="s">
        <v>1</v>
      </c>
      <c r="D14" t="str">
        <f t="shared" si="26"/>
        <v>OrdertypeCode</v>
      </c>
      <c r="E14" t="str">
        <f t="shared" si="27"/>
        <v>varchar</v>
      </c>
      <c r="F14" s="6"/>
      <c r="G14" t="str">
        <f t="shared" si="28"/>
        <v>2</v>
      </c>
      <c r="H14" t="str">
        <f>+VLOOKUP(E14,'Data Type Mapping'!A:B,2,)</f>
        <v>string</v>
      </c>
      <c r="I14" t="str">
        <f t="shared" si="29"/>
        <v xml:space="preserve">		public const int MaxOrdertypeCodeLength = 2;
</v>
      </c>
      <c r="J14" t="str">
        <f t="shared" si="30"/>
        <v xml:space="preserve">		[StringLength(MaxOrdertypeCodeLength)]
		public virtual string OrdertypeCode { get; set; }
</v>
      </c>
      <c r="K14" s="6"/>
      <c r="L14" t="str">
        <f t="shared" si="31"/>
        <v/>
      </c>
      <c r="M14" t="str">
        <f t="shared" si="32"/>
        <v xml:space="preserve">		public virtual string OrdertypeCode { get; set; }
</v>
      </c>
      <c r="N14" t="str">
        <f t="shared" si="33"/>
        <v xml:space="preserve">		[StringLength(InvCkdPaymentRequestConsts.MaxOrdertypeCodeLength)]
		public virtual string OrdertypeCode { get; set; }
</v>
      </c>
      <c r="O14" t="str">
        <f t="shared" si="34"/>
        <v xml:space="preserve">		public virtual string OrdertypeCode { get; set; }
</v>
      </c>
      <c r="P14" t="str">
        <f t="shared" si="35"/>
        <v xml:space="preserve">							OrdertypeCode = o.OrdertypeCode,</v>
      </c>
      <c r="T14" s="64" t="str">
        <f t="shared" si="36"/>
        <v xml:space="preserve">								("OrdertypeCode"),</v>
      </c>
      <c r="V14" s="65" t="str">
        <f t="shared" si="37"/>
        <v xml:space="preserve">								_ =&gt; _.OrdertypeCode,</v>
      </c>
      <c r="W14" s="64" t="str">
        <f t="shared" si="38"/>
        <v xml:space="preserve">				.WhereIf(!string.IsNullOrWhiteSpace(input.OrdertypeCode), e =&gt; e.OrdertypeCode.Contains(input.OrdertypeCode))</v>
      </c>
    </row>
    <row r="15" spans="1:23" customFormat="1" ht="18.75" customHeight="1" x14ac:dyDescent="0.3">
      <c r="A15" t="s">
        <v>351</v>
      </c>
      <c r="B15" t="s">
        <v>4</v>
      </c>
      <c r="C15" t="s">
        <v>1</v>
      </c>
      <c r="D15" t="str">
        <f t="shared" si="26"/>
        <v>Status</v>
      </c>
      <c r="E15" t="str">
        <f t="shared" si="27"/>
        <v>int</v>
      </c>
      <c r="F15" s="6"/>
      <c r="G15" t="str">
        <f t="shared" si="28"/>
        <v/>
      </c>
      <c r="H15" t="str">
        <f>+VLOOKUP(E15,'Data Type Mapping'!A:B,2,)</f>
        <v>int?</v>
      </c>
      <c r="I15" t="str">
        <f t="shared" si="29"/>
        <v/>
      </c>
      <c r="J15" t="str">
        <f t="shared" si="30"/>
        <v xml:space="preserve">		public virtual int? Status { get; set; }
</v>
      </c>
      <c r="K15" s="6"/>
      <c r="L15" t="str">
        <f t="shared" si="31"/>
        <v/>
      </c>
      <c r="M15" t="str">
        <f t="shared" si="32"/>
        <v xml:space="preserve">		public virtual int? Status { get; set; }
</v>
      </c>
      <c r="N15" t="str">
        <f t="shared" si="33"/>
        <v xml:space="preserve">		public virtual int? Status { get; set; }
</v>
      </c>
      <c r="O15" t="str">
        <f t="shared" si="34"/>
        <v/>
      </c>
      <c r="P15" t="str">
        <f t="shared" si="35"/>
        <v xml:space="preserve">							Status = o.Status,</v>
      </c>
      <c r="T15" s="64" t="str">
        <f t="shared" si="36"/>
        <v xml:space="preserve">								("Status"),</v>
      </c>
      <c r="V15" s="65" t="str">
        <f t="shared" si="37"/>
        <v xml:space="preserve">								_ =&gt; _.Status,</v>
      </c>
      <c r="W15" s="64" t="str">
        <f t="shared" si="38"/>
        <v/>
      </c>
    </row>
    <row r="16" spans="1:23" customFormat="1" ht="18.75" customHeight="1" x14ac:dyDescent="0.3">
      <c r="A16" t="s">
        <v>368</v>
      </c>
      <c r="B16" t="s">
        <v>369</v>
      </c>
      <c r="C16" t="s">
        <v>1</v>
      </c>
      <c r="D16" t="str">
        <f t="shared" si="26"/>
        <v>CreateDate</v>
      </c>
      <c r="E16" t="str">
        <f t="shared" si="27"/>
        <v>DateTime</v>
      </c>
      <c r="F16" s="6"/>
      <c r="G16" t="str">
        <f t="shared" si="28"/>
        <v/>
      </c>
      <c r="H16" t="str">
        <f>+VLOOKUP(E16,'Data Type Mapping'!A:B,2,)</f>
        <v>DateTime?</v>
      </c>
      <c r="I16" t="str">
        <f t="shared" si="29"/>
        <v/>
      </c>
      <c r="J16" t="str">
        <f t="shared" si="30"/>
        <v xml:space="preserve">		public virtual DateTime? CreateDate { get; set; }
</v>
      </c>
      <c r="K16" s="6"/>
      <c r="L16" t="str">
        <f t="shared" si="31"/>
        <v/>
      </c>
      <c r="M16" t="str">
        <f t="shared" si="32"/>
        <v xml:space="preserve">		public virtual DateTime? CreateDate { get; set; }
</v>
      </c>
      <c r="N16" t="str">
        <f t="shared" si="33"/>
        <v xml:space="preserve">		public virtual DateTime? CreateDate { get; set; }
</v>
      </c>
      <c r="O16" t="str">
        <f t="shared" si="34"/>
        <v/>
      </c>
      <c r="P16" t="str">
        <f t="shared" si="35"/>
        <v xml:space="preserve">							CreateDate = o.CreateDate,</v>
      </c>
      <c r="T16" s="64" t="str">
        <f t="shared" si="36"/>
        <v xml:space="preserve">								("CreateDate"),</v>
      </c>
      <c r="V16" s="65" t="str">
        <f t="shared" si="37"/>
        <v xml:space="preserve">								_ =&gt; _.CreateDate,</v>
      </c>
      <c r="W16" s="64" t="str">
        <f t="shared" si="38"/>
        <v/>
      </c>
    </row>
    <row r="17" spans="1:23" customFormat="1" ht="18.75" customHeight="1" x14ac:dyDescent="0.3">
      <c r="A17" t="s">
        <v>366</v>
      </c>
      <c r="B17" t="s">
        <v>369</v>
      </c>
      <c r="C17" t="s">
        <v>1</v>
      </c>
      <c r="D17" t="str">
        <f t="shared" ref="D17:D18" si="39">SUBSTITUTE(PROPER(A17),"_","")</f>
        <v>UpdateDate</v>
      </c>
      <c r="E17" t="str">
        <f t="shared" ref="E17:E18" si="40">IFERROR(LEFT(B17, FIND("(",B17)-1),B17)</f>
        <v>DateTime</v>
      </c>
      <c r="F17" s="6"/>
      <c r="G17" t="str">
        <f t="shared" ref="G17:G18" si="41">IFERROR(MID(B17,FIND("(",B17) +1, FIND(")",B17) - FIND("(",B17) - 1),"")</f>
        <v/>
      </c>
      <c r="H17" t="str">
        <f>+VLOOKUP(E17,'Data Type Mapping'!A:B,2,)</f>
        <v>DateTime?</v>
      </c>
      <c r="I17" t="str">
        <f t="shared" ref="I17:I18" si="42">IF(H17="string",REPT(CHAR(9),2)&amp;"public const int Max"&amp;D17&amp;"Length = "&amp;G17&amp;";"&amp;$E$3,"" )</f>
        <v/>
      </c>
      <c r="J17" t="str">
        <f t="shared" ref="J17:J18" si="43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public virtual DateTime? UpdateDate { get; set; }
</v>
      </c>
      <c r="K17" s="6"/>
      <c r="L17" t="str">
        <f t="shared" ref="L17:L18" si="44">IF(K17="","",REPT(CHAR(9),1)&amp;"[Index(nameof("&amp;IF(D17="","",""&amp;D17)&amp;")"&amp;", Name="&amp;"""IX_"&amp;$B$7&amp;"_"&amp;D17&amp;""")]")</f>
        <v/>
      </c>
      <c r="M17" t="str">
        <f t="shared" ref="M17:M18" si="45">REPT(CHAR(9),2)&amp;"public virtual "&amp;IF(OR(H17="DateTime",H17="TimeSpan"),H17&amp;"?",H17)&amp;IF(C17="?","? "," ")&amp;D17&amp;" { get; set; }" &amp; "
"</f>
        <v xml:space="preserve">		public virtual DateTime? UpdateDate { get; set; }
</v>
      </c>
      <c r="N17" t="str">
        <f t="shared" ref="N17:N18" si="46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public virtual DateTime? UpdateDate { get; set; }
</v>
      </c>
      <c r="O17" t="str">
        <f t="shared" ref="O17:O18" si="47">IF(OR(H17="string",H17="DateTime",H17="int"),REPT(CHAR(9),2)&amp;"public virtual "&amp;IF(OR(H17="DateTime",H17="TimeSpan"),H17&amp;"?",H17)&amp;IF(C17="?","? "," ")&amp;D17&amp;" { get; set; }"&amp;$E$3,"")</f>
        <v/>
      </c>
      <c r="P17" t="str">
        <f t="shared" ref="P17:P18" si="48">REPT(CHAR(9),7)&amp;D17&amp;" = o." &amp;D17 &amp;","</f>
        <v xml:space="preserve">							UpdateDate = o.UpdateDate,</v>
      </c>
      <c r="T17" s="64" t="str">
        <f t="shared" ref="T17:T18" si="49">REPT(CHAR(9),8)&amp;"("""&amp;D17&amp;"""),"</f>
        <v xml:space="preserve">								("UpdateDate"),</v>
      </c>
      <c r="V17" s="65" t="str">
        <f t="shared" ref="V17:V18" si="50">REPT(CHAR(9),8)&amp;"_ =&gt; _."&amp;D17&amp;","</f>
        <v xml:space="preserve">								_ =&gt; _.UpdateDate,</v>
      </c>
      <c r="W17" s="64" t="str">
        <f t="shared" ref="W17:W18" si="51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/>
      </c>
    </row>
    <row r="18" spans="1:23" customFormat="1" ht="18.75" customHeight="1" x14ac:dyDescent="0.3">
      <c r="A18" t="s">
        <v>367</v>
      </c>
      <c r="B18" t="s">
        <v>4</v>
      </c>
      <c r="C18" t="s">
        <v>1</v>
      </c>
      <c r="D18" t="str">
        <f t="shared" si="39"/>
        <v>IsFromEcus5</v>
      </c>
      <c r="E18" t="str">
        <f t="shared" si="40"/>
        <v>int</v>
      </c>
      <c r="F18" s="6"/>
      <c r="G18" t="str">
        <f t="shared" si="41"/>
        <v/>
      </c>
      <c r="H18" t="str">
        <f>+VLOOKUP(E18,'Data Type Mapping'!A:B,2,)</f>
        <v>int?</v>
      </c>
      <c r="I18" t="str">
        <f t="shared" si="42"/>
        <v/>
      </c>
      <c r="J18" t="str">
        <f t="shared" si="43"/>
        <v xml:space="preserve">		public virtual int? IsFromEcus5 { get; set; }
</v>
      </c>
      <c r="K18" s="6"/>
      <c r="L18" t="str">
        <f t="shared" si="44"/>
        <v/>
      </c>
      <c r="M18" t="str">
        <f t="shared" si="45"/>
        <v xml:space="preserve">		public virtual int? IsFromEcus5 { get; set; }
</v>
      </c>
      <c r="N18" t="str">
        <f t="shared" si="46"/>
        <v xml:space="preserve">		public virtual int? IsFromEcus5 { get; set; }
</v>
      </c>
      <c r="O18" t="str">
        <f t="shared" si="47"/>
        <v/>
      </c>
      <c r="P18" t="str">
        <f t="shared" si="48"/>
        <v xml:space="preserve">							IsFromEcus5 = o.IsFromEcus5,</v>
      </c>
      <c r="T18" s="64" t="str">
        <f t="shared" si="49"/>
        <v xml:space="preserve">								("IsFromEcus5"),</v>
      </c>
      <c r="V18" s="65" t="str">
        <f t="shared" si="50"/>
        <v xml:space="preserve">								_ =&gt; _.IsFromEcus5,</v>
      </c>
      <c r="W18" s="64" t="str">
        <f t="shared" si="51"/>
        <v/>
      </c>
    </row>
    <row r="19" spans="1:23" customFormat="1" ht="22.5" customHeight="1" x14ac:dyDescent="0.3">
      <c r="A19" t="s">
        <v>319</v>
      </c>
      <c r="B19" t="s">
        <v>320</v>
      </c>
      <c r="C19" t="s">
        <v>1</v>
      </c>
      <c r="D19" t="str">
        <f>SUBSTITUTE(PROPER(A19),"_","")</f>
        <v>IsActive</v>
      </c>
      <c r="E19" t="str">
        <f t="shared" ref="E19" si="52">IFERROR(LEFT(B19, FIND("(",B19)-1),B19)</f>
        <v>varchar</v>
      </c>
      <c r="F19" s="6"/>
      <c r="G19" t="str">
        <f t="shared" ref="G19" si="53">IFERROR(MID(B19,FIND("(",B19) +1, FIND(")",B19) - FIND("(",B19) - 1),"")</f>
        <v>1</v>
      </c>
      <c r="H19" t="str">
        <f>+VLOOKUP(E19,'Data Type Mapping'!A:B,2,)</f>
        <v>string</v>
      </c>
      <c r="I19" t="str">
        <f t="shared" ref="I19" si="54">IF(H19="string",REPT(CHAR(9),2)&amp;"public const int Max"&amp;D19&amp;"Length = "&amp;G19&amp;";"&amp;$E$3,"" )</f>
        <v xml:space="preserve">		public const int MaxIsActiveLength = 1;
</v>
      </c>
      <c r="J19" t="str">
        <f t="shared" ref="J19" si="55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[StringLength(MaxIsActiveLength)]
		public virtual string IsActive { get; set; }
</v>
      </c>
      <c r="K19" s="6"/>
      <c r="L19" t="str">
        <f>IF(K19="","",REPT(CHAR(9),1)&amp;"[Index(nameof("&amp;IF(D19="","",""&amp;D19)&amp;")"&amp;", Name="&amp;"""IX_"&amp;$B$7&amp;"_"&amp;D19&amp;""")]")</f>
        <v/>
      </c>
      <c r="M19" t="str">
        <f t="shared" ref="M19" si="56">REPT(CHAR(9),2)&amp;"public virtual "&amp;IF(OR(H19="DateTime",H19="TimeSpan"),H19&amp;"?",H19)&amp;IF(C19="?","? "," ")&amp;D19&amp;" { get; set; }" &amp; "
"</f>
        <v xml:space="preserve">		public virtual string IsActive { get; set; }
</v>
      </c>
      <c r="N19" t="str">
        <f t="shared" ref="N19" si="57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[StringLength(InvCkdPaymentRequestConsts.MaxIsActiveLength)]
		public virtual string IsActive { get; set; }
</v>
      </c>
      <c r="O19" t="str">
        <f t="shared" ref="O19" si="58">IF(OR(H19="string",H19="DateTime",H19="int"),REPT(CHAR(9),2)&amp;"public virtual "&amp;IF(OR(H19="DateTime",H19="TimeSpan"),H19&amp;"?",H19)&amp;IF(C19="?","? "," ")&amp;D19&amp;" { get; set; }"&amp;$E$3,"")</f>
        <v xml:space="preserve">		public virtual string IsActive { get; set; }
</v>
      </c>
      <c r="P19" t="str">
        <f t="shared" ref="P19" si="59">REPT(CHAR(9),7)&amp;D19&amp;" = o." &amp;D19 &amp;","</f>
        <v xml:space="preserve">							IsActive = o.IsActive,</v>
      </c>
      <c r="T19" s="64" t="str">
        <f t="shared" ref="T19" si="60">REPT(CHAR(9),8)&amp;"("""&amp;D19&amp;"""),"</f>
        <v xml:space="preserve">								("IsActive"),</v>
      </c>
      <c r="V19" s="65" t="str">
        <f t="shared" ref="V19" si="61">REPT(CHAR(9),8)&amp;"_ =&gt; _."&amp;D19&amp;","</f>
        <v xml:space="preserve">								_ =&gt; _.IsActive,</v>
      </c>
      <c r="W19" s="64" t="str">
        <f t="shared" ref="W19" si="62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.WhereIf(!string.IsNullOrWhiteSpace(input.IsActive), e =&gt; e.IsActive.Contains(input.IsActive))</v>
      </c>
    </row>
    <row r="21" spans="1:23" ht="45.75" customHeight="1" x14ac:dyDescent="0.3">
      <c r="H21" s="11"/>
      <c r="I21" s="31" t="e">
        <f ca="1">TEXTJOIN2("
", TRUE,INDIRECT( $H$1):INDIRECT( $H$3))</f>
        <v>#NAME?</v>
      </c>
      <c r="J21" s="30" t="e">
        <f ca="1">TEXTJOIN2("
", TRUE,INDIRECT( $F$1):INDIRECT( $F$3))</f>
        <v>#NAME?</v>
      </c>
      <c r="K21" s="32" t="e">
        <f ca="1">TEXTJOIN2("
", TRUE,INDIRECT( $J$1):INDIRECT( $J$3))</f>
        <v>#NAME?</v>
      </c>
      <c r="L21" s="12" t="s">
        <v>57</v>
      </c>
      <c r="M21" s="33" t="e">
        <f ca="1">TEXTJOIN2("
",TRUE,INDIRECT( $L$1):INDIRECT($L$3))</f>
        <v>#NAME?</v>
      </c>
      <c r="N21" s="30" t="e">
        <f ca="1">TEXTJOIN2("
",TRUE,INDIRECT( $M$1):INDIRECT($M$3))</f>
        <v>#NAME?</v>
      </c>
      <c r="O21" s="30" t="e">
        <f ca="1">TEXTJOIN2("
",TRUE,INDIRECT( $N$1):INDIRECT($N$3))</f>
        <v>#NAME?</v>
      </c>
      <c r="P21" s="8" t="e">
        <f ca="1">TEXTJOIN2("
",TRUE,INDIRECT( $O$1):INDIRECT($O$3))</f>
        <v>#NAME?</v>
      </c>
      <c r="T21" s="8" t="e">
        <f ca="1">TEXTJOIN2("
",TRUE,INDIRECT( $T$2):INDIRECT($T$3))</f>
        <v>#NAME?</v>
      </c>
      <c r="V21" s="8" t="e">
        <f ca="1">TEXTJOIN2("
",TRUE,INDIRECT( $V$2):INDIRECT($V$3))</f>
        <v>#NAME?</v>
      </c>
      <c r="W21" s="8" t="e">
        <f ca="1">TEXTJOIN2("
",TRUE,INDIRECT( $W$2):INDIRECT($W$3))</f>
        <v>#NAME?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7"/>
  <sheetViews>
    <sheetView workbookViewId="0">
      <selection activeCell="C1" sqref="C1"/>
    </sheetView>
  </sheetViews>
  <sheetFormatPr defaultColWidth="8.77734375" defaultRowHeight="14.4" x14ac:dyDescent="0.3"/>
  <cols>
    <col min="1" max="1" width="17.77734375" customWidth="1"/>
    <col min="2" max="2" width="15.44140625" customWidth="1"/>
    <col min="3" max="3" width="16.77734375" customWidth="1"/>
    <col min="4" max="7" width="15.21875" customWidth="1"/>
    <col min="8" max="8" width="24.44140625" customWidth="1"/>
    <col min="9" max="9" width="26.21875" customWidth="1"/>
    <col min="10" max="10" width="22.21875" customWidth="1"/>
    <col min="11" max="11" width="25.77734375" customWidth="1"/>
    <col min="12" max="12" width="23.77734375" customWidth="1"/>
    <col min="13" max="13" width="23.44140625" customWidth="1"/>
    <col min="14" max="15" width="20.44140625" customWidth="1"/>
    <col min="16" max="16" width="25.77734375" customWidth="1"/>
    <col min="17" max="18" width="25.44140625" customWidth="1"/>
    <col min="19" max="19" width="24" customWidth="1"/>
    <col min="20" max="20" width="19.21875" customWidth="1"/>
    <col min="21" max="21" width="19.77734375" customWidth="1"/>
    <col min="22" max="22" width="13.77734375" customWidth="1"/>
  </cols>
  <sheetData>
    <row r="1" spans="1:22" x14ac:dyDescent="0.3">
      <c r="A1" s="38" t="s">
        <v>208</v>
      </c>
      <c r="B1" s="39" t="s">
        <v>374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3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3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3">
      <c r="A4" s="38" t="s">
        <v>210</v>
      </c>
      <c r="B4" s="40" t="str">
        <f>A.Backend!Q3</f>
        <v>CKD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3">
      <c r="A5" s="38" t="s">
        <v>210</v>
      </c>
      <c r="B5" s="40" t="str">
        <f>LOWER(B4)</f>
        <v>ckd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3">
      <c r="A6" s="38" t="s">
        <v>220</v>
      </c>
      <c r="B6" s="41" t="str">
        <f>A.Backend!B3</f>
        <v>InvCkdPaymentRequest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3">
      <c r="A7" s="38" t="s">
        <v>211</v>
      </c>
      <c r="B7" s="40" t="str">
        <f>A.Backend!B5</f>
        <v>Payment Request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3">
      <c r="A8" s="38" t="s">
        <v>209</v>
      </c>
      <c r="B8" s="40" t="str">
        <f>LOWER(B7)</f>
        <v>payment request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3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3">
      <c r="A10" s="52" t="s">
        <v>213</v>
      </c>
      <c r="B10" s="53"/>
      <c r="C10" s="46"/>
      <c r="D10" s="46"/>
      <c r="E10" s="46"/>
      <c r="F10" s="46"/>
      <c r="G10" s="46"/>
      <c r="H10" s="45" t="e">
        <f ca="1">SUBSTITUTE(SUBSTITUTE(SUBSTITUTE(SUBSTITUTE(SUBSTITUTE(SUBSTITUTE(SUBSTITUTE(H9,"MstWptCalendar",$B$6),"Calendar",$B$7),"calendar",$B$8),"&lt;PROPERTIES&gt;",H13),"&lt;DECLARE&gt;",S13),"&lt;PARAMS&gt;",T13),"&lt;CLEARPARAMS&gt;",U13)</f>
        <v>#NAME?</v>
      </c>
      <c r="I10" s="45" t="e">
        <f ca="1">SUBSTITUTE(SUBSTITUTE(SUBSTITUTE(SUBSTITUTE(SUBSTITUTE(I9,"MstWptCalendar",$B$6),"Calendar",$B$7),"calendar",$B$8),"&lt;PROPERTIES&gt;",I13),"&lt;FULL_TITLE&gt;",B1)</f>
        <v>#NAME?</v>
      </c>
      <c r="J10" s="45" t="str">
        <f>J9</f>
        <v>.input-search{
    width: 250px;
    border-radius: 10px;
    margin-left: 10px;
}
.btn-search{
    width: 50px;
    margin-left: 10px;
}</v>
      </c>
      <c r="K10" s="45" t="e">
        <f ca="1">SUBSTITUTE(SUBSTITUTE(SUBSTITUTE(SUBSTITUTE(K9,"MstWptCalendar",$B$6),"Calendar",$B$7),"calendar",$B$8),"&lt;PROPERTIES&gt;",K13)</f>
        <v>#NAME?</v>
      </c>
      <c r="L10" s="45" t="e">
        <f ca="1">SUBSTITUTE(SUBSTITUTE(SUBSTITUTE(SUBSTITUTE(SUBSTITUTE(L9,"MstWptCalendar",$B$6),"Calendar",$B$7),"calendar",$B$8),"&lt;VIEWDATETIME&gt;",$L$13),"isActive",$V$13)</f>
        <v>#NAME?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Payment RequestRoutingModule } from './payment request-routing.module';
import { Payment RequestComponent } from './payment request.component';
import { CreateOrEditPayment RequestModalComponent } from './create-or-edit-payment request-modal.component';
@NgModule({
    declarations: [
       Payment RequestComponent, 
        CreateOrEditPayment RequestModalComponent
    ],
    imports: [
        AppSharedModule, Payment RequestRoutingModule]
})
export class Payment RequestModule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Payment RequestComponent } from './payment request.component';
const routes: Routes = [{
    path: '',
    component: Payment RequestComponent,
    pathMatch: 'full'
}];
@NgModule({
    imports: [RouterModule.forChild(routes)],
    exports: [RouterModule],
})
export class Payment RequestRoutingModule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AppMenuItem("Payment Request", "Pages.Inventory.CKD.Payment Request", "flaticon-book",   "/app/main/inventory/ckd/payment request"),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'inventory/ckd/payment request',
    loadChildren: () =&gt; import('./inventory/ckd/payment request/payment request.module').then(m =&gt; m.Payment RequestModule),
    data: { permission: 'Pages.Inventory.CKD.Payment Request' }
},</v>
      </c>
      <c r="R10" s="47" t="str">
        <f>SUBSTITUTE(R9,"MstWptCalendar",$B$6)</f>
        <v>ApiServiceProxies.InvCkdPaymentRequestServiceProxy,</v>
      </c>
      <c r="S10" s="28"/>
      <c r="T10" s="28"/>
      <c r="U10" s="28"/>
      <c r="V10" s="28"/>
    </row>
    <row r="11" spans="1:22" x14ac:dyDescent="0.3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3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H25</v>
      </c>
      <c r="I12" s="28" t="str">
        <f>"I"&amp;COUNTA($A:$A)</f>
        <v>I25</v>
      </c>
      <c r="J12" s="28"/>
      <c r="K12" s="28" t="str">
        <f>"K"&amp;COUNTA($A:$A)</f>
        <v>K25</v>
      </c>
      <c r="L12" s="28" t="str">
        <f>"L"&amp;COUNTA($A:$A)</f>
        <v>L25</v>
      </c>
      <c r="M12" s="28"/>
      <c r="N12" s="28"/>
      <c r="O12" s="28"/>
      <c r="P12" s="28"/>
      <c r="Q12" s="28"/>
      <c r="R12" s="28"/>
      <c r="S12" s="28" t="str">
        <f>"S"&amp;COUNTA($A:$A)</f>
        <v>S25</v>
      </c>
      <c r="T12" s="28" t="str">
        <f>"T"&amp;COUNTA($A:$A)</f>
        <v>T25</v>
      </c>
      <c r="U12" s="28" t="str">
        <f>"U"&amp;COUNTA($A:$A)</f>
        <v>U25</v>
      </c>
      <c r="V12" s="28" t="str">
        <f>"V"&amp;COUNTA($A:$A)</f>
        <v>V25</v>
      </c>
    </row>
    <row r="13" spans="1:22" ht="17.25" customHeight="1" x14ac:dyDescent="0.3">
      <c r="A13" s="54">
        <v>3</v>
      </c>
      <c r="B13" s="28"/>
      <c r="C13" s="28"/>
      <c r="D13" s="28"/>
      <c r="E13" s="28"/>
      <c r="F13" s="28"/>
      <c r="G13" s="28"/>
      <c r="H13" s="35" t="e">
        <f ca="1">TEXTJOIN2("
",TRUE,INDIRECT(H11):INDIRECT(H12))</f>
        <v>#NAME?</v>
      </c>
      <c r="I13" s="35" t="e">
        <f ca="1">TEXTJOIN2("
",TRUE,INDIRECT(I11):INDIRECT(I12))</f>
        <v>#NAME?</v>
      </c>
      <c r="J13" s="28"/>
      <c r="K13" s="35" t="e">
        <f ca="1">TEXTJOIN2("
",TRUE,INDIRECT(K11):INDIRECT(K12))</f>
        <v>#NAME?</v>
      </c>
      <c r="L13" s="56" t="e">
        <f ca="1">TEXTJOIN2("
",TRUE,INDIRECT(L11):INDIRECT(L12))</f>
        <v>#NAME?</v>
      </c>
      <c r="M13" s="28"/>
      <c r="N13" s="28"/>
      <c r="O13" s="28"/>
      <c r="P13" s="28"/>
      <c r="Q13" s="28"/>
      <c r="R13" s="28"/>
      <c r="S13" s="63" t="e">
        <f ca="1">TEXTJOIN2("
",TRUE,INDIRECT(S11):INDIRECT(S12))</f>
        <v>#NAME?</v>
      </c>
      <c r="T13" s="63" t="e">
        <f ca="1">TEXTJOIN2("
",TRUE,INDIRECT(T11):INDIRECT(T12))</f>
        <v>#NAME?</v>
      </c>
      <c r="U13" s="63" t="e">
        <f ca="1">TEXTJOIN2("
",TRUE,INDIRECT(U11):INDIRECT(U12))</f>
        <v>#NAME?</v>
      </c>
      <c r="V13" s="28" t="e">
        <f ca="1">TEXTJOIN2("
",TRUE,INDIRECT(V11):INDIRECT(V12))</f>
        <v>#NAME?</v>
      </c>
    </row>
    <row r="14" spans="1:22" x14ac:dyDescent="0.3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payment request.component.ts</v>
      </c>
      <c r="I14" s="37" t="str">
        <f>B8&amp;".component.html"</f>
        <v>payment request.component.html</v>
      </c>
      <c r="J14" s="36" t="str">
        <f>B8&amp;".component.less"</f>
        <v>payment request.component.less</v>
      </c>
      <c r="K14" s="37" t="str">
        <f>"create-or-edit-"&amp;B8&amp;"-modal.component.html"</f>
        <v>create-or-edit-payment request-modal.component.html</v>
      </c>
      <c r="L14" s="37" t="str">
        <f>"create-or-edit-"&amp;B8&amp;"-modal.component.ts"</f>
        <v>create-or-edit-payment request-modal.component.ts</v>
      </c>
      <c r="M14" s="37" t="str">
        <f>"create-or-edit-"&amp;B8&amp;"-modal.component.less"</f>
        <v>create-or-edit-payment request-modal.component.less</v>
      </c>
      <c r="N14" s="37" t="str">
        <f>B8&amp;".module.ts"</f>
        <v>payment request.module.ts</v>
      </c>
      <c r="O14" s="37" t="str">
        <f>B8&amp;"-routing.module.ts"</f>
        <v>payment request-routing.module.ts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3">
      <c r="A15" t="s">
        <v>361</v>
      </c>
      <c r="B15" s="28" t="str">
        <f t="shared" ref="B15:B19" si="0">SUBSTITUTE(PROPER(A15),"_","")</f>
        <v>Time</v>
      </c>
      <c r="C15" s="28" t="str">
        <f t="shared" ref="C15:C19" si="1">SUBSTITUTE(PROPER(A15),"_"," ")</f>
        <v>Time</v>
      </c>
      <c r="D15" s="28" t="str">
        <f t="shared" ref="D15:D19" si="2">LOWER(LEFT(B15,1))&amp;RIGHT(B15,LEN(B15) - 1)</f>
        <v>time</v>
      </c>
      <c r="E15" s="28" t="str">
        <f>A.Backend!H9</f>
        <v>string</v>
      </c>
      <c r="F15" s="28" t="str">
        <f>A.Backend!G9</f>
        <v>20</v>
      </c>
      <c r="G15" s="28" t="str">
        <f t="shared" ref="G15:G25" si="3">IF(E15="string"," : string = '' ; ",IF(OR(E15="DateTime",E15="TimeSpan")," : any ;",IF(E15="int"," : number = 0 ;","")))</f>
        <v xml:space="preserve"> : string = '' ; </v>
      </c>
      <c r="H15" s="35" t="str">
        <f t="shared" ref="H15:H2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this.l('Time'),headerTooltip: this.l('Time'),field: 'time',flex: 1},</v>
      </c>
      <c r="I15" s="35" t="str">
        <f t="shared" ref="I15:I2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[(ngModel)]='time' name='time'
									class='form-control' [placeholder]="l('Time')"
									type='text' (keyup.enter)='searchDatas()'&gt;
								&lt;/div&gt;</v>
      </c>
      <c r="J15" s="28"/>
      <c r="K15" s="35" t="str">
        <f t="shared" ref="K15:K25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title'&gt;Time&lt;/label&gt;
						&lt;input type='text' class='col-md-10 form-control input-text' name='Time' [(ngModel)]='rowdata.time'&gt;
					&lt;/div&gt;</v>
      </c>
      <c r="L15" s="56" t="str">
        <f t="shared" ref="L15:L19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time : string = '' ; </v>
      </c>
      <c r="T15" s="28" t="str">
        <f>REPT(CHAR(9),3)&amp;"this."&amp;D15&amp;","</f>
        <v xml:space="preserve">			this.time,</v>
      </c>
      <c r="U15" s="28" t="str">
        <f>IF(E15="int",REPT(CHAR(9),2)&amp;"this."&amp;D15&amp;" = 0,",REPT(CHAR(9),2)&amp;"this."&amp;D15&amp;" = '',")</f>
        <v xml:space="preserve">		this.time = '',</v>
      </c>
      <c r="V15" s="28" t="str">
        <f t="shared" ref="V15:V25" si="8">IF(AND(E15="string",F15="1"),D15,"")</f>
        <v/>
      </c>
    </row>
    <row r="16" spans="1:22" ht="18" customHeight="1" x14ac:dyDescent="0.3">
      <c r="A16" t="s">
        <v>362</v>
      </c>
      <c r="B16" s="28" t="str">
        <f t="shared" ref="B16" si="9">SUBSTITUTE(PROPER(A16),"_","")</f>
        <v>CustomsPort</v>
      </c>
      <c r="C16" s="28" t="str">
        <f t="shared" ref="C16" si="10">SUBSTITUTE(PROPER(A16),"_"," ")</f>
        <v>Customs Port</v>
      </c>
      <c r="D16" s="28" t="str">
        <f t="shared" ref="D16" si="11">LOWER(LEFT(B16,1))&amp;RIGHT(B16,LEN(B16) - 1)</f>
        <v>customsPort</v>
      </c>
      <c r="E16" s="28" t="str">
        <f>A.Backend!H10</f>
        <v>string</v>
      </c>
      <c r="F16" s="28" t="str">
        <f>A.Backend!G10</f>
        <v>12</v>
      </c>
      <c r="G16" s="28" t="str">
        <f t="shared" si="3"/>
        <v xml:space="preserve"> : string = '' ; </v>
      </c>
      <c r="H16" s="35" t="str">
        <f t="shared" si="4"/>
        <v xml:space="preserve">			{headerName: this.l('Customs Port'),headerTooltip: this.l('Customs Port'),field: 'customsPort',flex: 1},</v>
      </c>
      <c r="I16" s="35" t="str">
        <f t="shared" si="5"/>
        <v xml:space="preserve">								&lt;div class='input-search'&gt;
									&lt;input [(ngModel)]='customsPort' name='customsPort'
									class='form-control' [placeholder]="l('Customs Port')"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title'&gt;Customs Port&lt;/label&gt;
						&lt;input type='text' class='col-md-10 form-control input-text' name='CustomsPort' [(ngModel)]='rowdata.customsPort'&gt;
					&lt;/div&gt;</v>
      </c>
      <c r="L16" s="56" t="str">
        <f t="shared" ref="L16" si="12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5" si="13">REPT(CHAR(9),1)&amp;D16&amp;G16</f>
        <v xml:space="preserve">	customsPort : string = '' ; </v>
      </c>
      <c r="T16" s="28" t="str">
        <f t="shared" ref="T16:T25" si="14">REPT(CHAR(9),3)&amp;"this."&amp;D16&amp;","</f>
        <v xml:space="preserve">			this.customsPort,</v>
      </c>
      <c r="U16" s="28" t="str">
        <f t="shared" ref="U16:U25" si="15">IF(E16="int",REPT(CHAR(9),2)&amp;"this."&amp;D16&amp;" = 0,",REPT(CHAR(9),2)&amp;"this."&amp;D16&amp;" = '',")</f>
        <v xml:space="preserve">		this.customsPort = '',</v>
      </c>
      <c r="V16" s="28" t="str">
        <f t="shared" si="8"/>
        <v/>
      </c>
    </row>
    <row r="17" spans="1:22" ht="18" customHeight="1" x14ac:dyDescent="0.3">
      <c r="A17" t="s">
        <v>363</v>
      </c>
      <c r="B17" s="28" t="str">
        <f>SUBSTITUTE(PROPER(A17),"_","")</f>
        <v>ReqDate</v>
      </c>
      <c r="C17" s="28" t="str">
        <f>SUBSTITUTE(PROPER(A17),"_"," ")</f>
        <v>Req Date</v>
      </c>
      <c r="D17" s="28" t="str">
        <f>LOWER(LEFT(B17,1))&amp;RIGHT(B17,LEN(B17) - 1)</f>
        <v>reqDate</v>
      </c>
      <c r="E17" s="28" t="str">
        <f>A.Backend!H11</f>
        <v>DateTime?</v>
      </c>
      <c r="F17" s="28" t="str">
        <f>A.Backend!G11</f>
        <v/>
      </c>
      <c r="G17" s="28" t="str">
        <f t="shared" si="3"/>
        <v/>
      </c>
      <c r="H17" s="35" t="str">
        <f t="shared" si="4"/>
        <v xml:space="preserve">			{headerName: this.l('Req Date'),headerTooltip: this.l('Req Date'),field: 'reqDate',flex: 1},</v>
      </c>
      <c r="I17" s="35" t="str">
        <f t="shared" si="5"/>
        <v/>
      </c>
      <c r="J17" s="28"/>
      <c r="K17" s="35" t="str">
        <f t="shared" si="6"/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3"/>
        <v xml:space="preserve">	reqDate</v>
      </c>
      <c r="T17" s="28" t="str">
        <f t="shared" si="14"/>
        <v xml:space="preserve">			this.reqDate,</v>
      </c>
      <c r="U17" s="28" t="str">
        <f t="shared" si="15"/>
        <v xml:space="preserve">		this.reqDate = '',</v>
      </c>
      <c r="V17" s="28" t="str">
        <f t="shared" si="8"/>
        <v/>
      </c>
    </row>
    <row r="18" spans="1:22" ht="15" customHeight="1" x14ac:dyDescent="0.3">
      <c r="A18" t="s">
        <v>364</v>
      </c>
      <c r="B18" s="28" t="str">
        <f t="shared" ref="B18" si="16">SUBSTITUTE(PROPER(A18),"_","")</f>
        <v>ReqPerson</v>
      </c>
      <c r="C18" s="28" t="str">
        <f t="shared" ref="C18" si="17">SUBSTITUTE(PROPER(A18),"_"," ")</f>
        <v>Req Person</v>
      </c>
      <c r="D18" s="28" t="str">
        <f t="shared" ref="D18" si="18">LOWER(LEFT(B18,1))&amp;RIGHT(B18,LEN(B18) - 1)</f>
        <v>reqPerson</v>
      </c>
      <c r="E18" s="28" t="str">
        <f>A.Backend!H12</f>
        <v>string</v>
      </c>
      <c r="F18" s="28" t="str">
        <f>A.Backend!G12</f>
        <v>50</v>
      </c>
      <c r="G18" s="28" t="str">
        <f t="shared" si="3"/>
        <v xml:space="preserve"> : string = '' ; </v>
      </c>
      <c r="H18" s="35" t="str">
        <f t="shared" si="4"/>
        <v xml:space="preserve">			{headerName: this.l('Req Person'),headerTooltip: this.l('Req Person'),field: 'reqPerson',flex: 1},</v>
      </c>
      <c r="I18" s="35" t="str">
        <f t="shared" si="5"/>
        <v xml:space="preserve">								&lt;div class='input-search'&gt;
									&lt;input [(ngModel)]='reqPerson' name='reqPerson'
									class='form-control' [placeholder]="l('Req Person')"
									type='text' (keyup.enter)='searchDatas()'&gt;
								&lt;/div&gt;</v>
      </c>
      <c r="J18" s="28"/>
      <c r="K18" s="35" t="str">
        <f t="shared" si="6"/>
        <v xml:space="preserve">					&lt;div class='col-md-12 form-group row'&gt;
						&lt;label class='col-md-2 form-control title'&gt;Req Person&lt;/label&gt;
						&lt;input type='text' class='col-md-10 form-control input-text' name='ReqPerson' [(ngModel)]='rowdata.reqPerson'&gt;
					&lt;/div&gt;</v>
      </c>
      <c r="L18" s="56" t="str">
        <f t="shared" ref="L18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3"/>
        <v xml:space="preserve">	reqPerson : string = '' ; </v>
      </c>
      <c r="T18" s="28" t="str">
        <f t="shared" si="14"/>
        <v xml:space="preserve">			this.reqPerson,</v>
      </c>
      <c r="U18" s="28" t="str">
        <f t="shared" si="15"/>
        <v xml:space="preserve">		this.reqPerson = '',</v>
      </c>
      <c r="V18" s="28" t="str">
        <f t="shared" si="8"/>
        <v/>
      </c>
    </row>
    <row r="19" spans="1:22" ht="18" customHeight="1" x14ac:dyDescent="0.3">
      <c r="A19" t="s">
        <v>365</v>
      </c>
      <c r="B19" s="28" t="str">
        <f t="shared" si="0"/>
        <v>ReqDepartment</v>
      </c>
      <c r="C19" s="28" t="str">
        <f t="shared" si="1"/>
        <v>Req Department</v>
      </c>
      <c r="D19" s="28" t="str">
        <f t="shared" si="2"/>
        <v>reqDepartment</v>
      </c>
      <c r="E19" s="28" t="str">
        <f>A.Backend!H13</f>
        <v>string</v>
      </c>
      <c r="F19" s="28" t="str">
        <f>A.Backend!G13</f>
        <v>50</v>
      </c>
      <c r="G19" s="28" t="str">
        <f t="shared" si="3"/>
        <v xml:space="preserve"> : string = '' ; </v>
      </c>
      <c r="H19" s="35" t="str">
        <f t="shared" si="4"/>
        <v xml:space="preserve">			{headerName: this.l('Req Department'),headerTooltip: this.l('Req Department'),field: 'reqDepartment',flex: 1},</v>
      </c>
      <c r="I19" s="35" t="str">
        <f t="shared" si="5"/>
        <v xml:space="preserve">								&lt;div class='input-search'&gt;
									&lt;input [(ngModel)]='reqDepartment' name='reqDepartment'
									class='form-control' [placeholder]="l('Req Department')"
									type='text' (keyup.enter)='searchDatas()'&gt;
								&lt;/div&gt;</v>
      </c>
      <c r="J19" s="28"/>
      <c r="K19" s="35" t="str">
        <f t="shared" si="6"/>
        <v xml:space="preserve">					&lt;div class='col-md-12 form-group row'&gt;
						&lt;label class='col-md-2 form-control title'&gt;Req Department&lt;/label&gt;
						&lt;input type='text' class='col-md-10 form-control input-text' name='ReqDepartment' [(ngModel)]='rowdata.reqDepartment'&gt;
					&lt;/div&gt;</v>
      </c>
      <c r="L19" s="56" t="str">
        <f t="shared" si="7"/>
        <v/>
      </c>
      <c r="M19" s="28"/>
      <c r="N19" s="28"/>
      <c r="O19" s="28"/>
      <c r="P19" s="28"/>
      <c r="Q19" s="28"/>
      <c r="R19" s="28"/>
      <c r="S19" s="28" t="str">
        <f t="shared" si="13"/>
        <v xml:space="preserve">	reqDepartment : string = '' ; </v>
      </c>
      <c r="T19" s="28" t="str">
        <f t="shared" si="14"/>
        <v xml:space="preserve">			this.reqDepartment,</v>
      </c>
      <c r="U19" s="28" t="str">
        <f t="shared" si="15"/>
        <v xml:space="preserve">		this.reqDepartment = '',</v>
      </c>
      <c r="V19" s="28" t="str">
        <f t="shared" si="8"/>
        <v/>
      </c>
    </row>
    <row r="20" spans="1:22" ht="15" customHeight="1" x14ac:dyDescent="0.3">
      <c r="A20" t="s">
        <v>352</v>
      </c>
      <c r="B20" s="28" t="str">
        <f t="shared" ref="B20:B21" si="20">SUBSTITUTE(PROPER(A20),"_","")</f>
        <v>OrdertypeCode</v>
      </c>
      <c r="C20" s="28" t="str">
        <f t="shared" ref="C20:C21" si="21">SUBSTITUTE(PROPER(A20),"_"," ")</f>
        <v>Ordertype Code</v>
      </c>
      <c r="D20" s="28" t="str">
        <f t="shared" ref="D20:D21" si="22">LOWER(LEFT(B20,1))&amp;RIGHT(B20,LEN(B20) - 1)</f>
        <v>ordertypeCode</v>
      </c>
      <c r="E20" s="28" t="str">
        <f>A.Backend!H14</f>
        <v>string</v>
      </c>
      <c r="F20" s="28" t="str">
        <f>A.Backend!G14</f>
        <v>2</v>
      </c>
      <c r="G20" s="28" t="str">
        <f t="shared" si="3"/>
        <v xml:space="preserve"> : string = '' ; </v>
      </c>
      <c r="H20" s="35" t="str">
        <f t="shared" si="4"/>
        <v xml:space="preserve">			{headerName: this.l('Ordertype Code'),headerTooltip: this.l('Ordertype Code'),field: 'ordertypeCode',flex: 1},</v>
      </c>
      <c r="I20" s="35" t="str">
        <f t="shared" si="5"/>
        <v xml:space="preserve">								&lt;div class='input-search'&gt;
									&lt;input [(ngModel)]='ordertypeCode' name='ordertypeCode'
									class='form-control' [placeholder]="l('Ordertype Code')"
									type='text' (keyup.enter)='searchDatas()'&gt;
								&lt;/div&gt;</v>
      </c>
      <c r="J20" s="28"/>
      <c r="K20" s="35" t="str">
        <f t="shared" si="6"/>
        <v xml:space="preserve">					&lt;div class='col-md-12 form-group row'&gt;
						&lt;label class='col-md-2 form-control title'&gt;Ordertype Code&lt;/label&gt;
						&lt;input type='text' class='col-md-10 form-control input-text' name='OrdertypeCode' [(ngModel)]='rowdata.ordertypeCode'&gt;
					&lt;/div&gt;</v>
      </c>
      <c r="L20" s="56" t="str">
        <f t="shared" ref="L20:L21" si="23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si="13"/>
        <v xml:space="preserve">	ordertypeCode : string = '' ; </v>
      </c>
      <c r="T20" s="28" t="str">
        <f t="shared" si="14"/>
        <v xml:space="preserve">			this.ordertypeCode,</v>
      </c>
      <c r="U20" s="28" t="str">
        <f t="shared" si="15"/>
        <v xml:space="preserve">		this.ordertypeCode = '',</v>
      </c>
      <c r="V20" s="28" t="str">
        <f t="shared" si="8"/>
        <v/>
      </c>
    </row>
    <row r="21" spans="1:22" ht="18" customHeight="1" x14ac:dyDescent="0.3">
      <c r="A21" t="s">
        <v>351</v>
      </c>
      <c r="B21" s="28" t="str">
        <f t="shared" si="20"/>
        <v>Status</v>
      </c>
      <c r="C21" s="28" t="str">
        <f t="shared" si="21"/>
        <v>Status</v>
      </c>
      <c r="D21" s="28" t="str">
        <f t="shared" si="22"/>
        <v>status</v>
      </c>
      <c r="E21" s="28" t="str">
        <f>A.Backend!H15</f>
        <v>int?</v>
      </c>
      <c r="F21" s="28" t="str">
        <f>A.Backend!G15</f>
        <v/>
      </c>
      <c r="G21" s="28" t="str">
        <f t="shared" si="3"/>
        <v/>
      </c>
      <c r="H21" s="35" t="str">
        <f t="shared" si="4"/>
        <v xml:space="preserve">			{headerName: this.l('Status'),headerTooltip: this.l('Status'),field: 'status',flex: 1},</v>
      </c>
      <c r="I21" s="35" t="str">
        <f t="shared" si="5"/>
        <v/>
      </c>
      <c r="J21" s="28"/>
      <c r="K21" s="35" t="str">
        <f t="shared" si="6"/>
        <v/>
      </c>
      <c r="L21" s="56" t="str">
        <f t="shared" si="23"/>
        <v/>
      </c>
      <c r="M21" s="28"/>
      <c r="N21" s="28"/>
      <c r="O21" s="28"/>
      <c r="P21" s="28"/>
      <c r="Q21" s="28"/>
      <c r="R21" s="28"/>
      <c r="S21" s="28" t="str">
        <f t="shared" si="13"/>
        <v xml:space="preserve">	status</v>
      </c>
      <c r="T21" s="28" t="str">
        <f t="shared" si="14"/>
        <v xml:space="preserve">			this.status,</v>
      </c>
      <c r="U21" s="28" t="str">
        <f t="shared" si="15"/>
        <v xml:space="preserve">		this.status = '',</v>
      </c>
      <c r="V21" s="28" t="str">
        <f t="shared" si="8"/>
        <v/>
      </c>
    </row>
    <row r="22" spans="1:22" ht="18" customHeight="1" x14ac:dyDescent="0.3">
      <c r="A22" t="s">
        <v>368</v>
      </c>
      <c r="B22" s="28" t="str">
        <f>SUBSTITUTE(PROPER(A22),"_","")</f>
        <v>CreateDate</v>
      </c>
      <c r="C22" s="28" t="str">
        <f>SUBSTITUTE(PROPER(A22),"_"," ")</f>
        <v>Create Date</v>
      </c>
      <c r="D22" s="28" t="str">
        <f>LOWER(LEFT(B22,1))&amp;RIGHT(B22,LEN(B22) - 1)</f>
        <v>createDate</v>
      </c>
      <c r="E22" s="28" t="str">
        <f>A.Backend!H16</f>
        <v>DateTime?</v>
      </c>
      <c r="F22" s="28" t="str">
        <f>A.Backend!G16</f>
        <v/>
      </c>
      <c r="G22" s="28" t="str">
        <f t="shared" si="3"/>
        <v/>
      </c>
      <c r="H22" s="35" t="str">
        <f t="shared" si="4"/>
        <v xml:space="preserve">			{headerName: this.l('Create Date'),headerTooltip: this.l('Create Date'),field: 'createDate',flex: 1},</v>
      </c>
      <c r="I22" s="35" t="str">
        <f t="shared" si="5"/>
        <v/>
      </c>
      <c r="J22" s="28"/>
      <c r="K22" s="35" t="str">
        <f t="shared" si="6"/>
        <v/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13"/>
        <v xml:space="preserve">	createDate</v>
      </c>
      <c r="T22" s="28" t="str">
        <f t="shared" si="14"/>
        <v xml:space="preserve">			this.createDate,</v>
      </c>
      <c r="U22" s="28" t="str">
        <f t="shared" si="15"/>
        <v xml:space="preserve">		this.createDate = '',</v>
      </c>
      <c r="V22" s="28" t="str">
        <f t="shared" si="8"/>
        <v/>
      </c>
    </row>
    <row r="23" spans="1:22" ht="15" customHeight="1" x14ac:dyDescent="0.3">
      <c r="A23" t="s">
        <v>366</v>
      </c>
      <c r="B23" s="28" t="str">
        <f t="shared" ref="B23:B24" si="24">SUBSTITUTE(PROPER(A23),"_","")</f>
        <v>UpdateDate</v>
      </c>
      <c r="C23" s="28" t="str">
        <f t="shared" ref="C23:C24" si="25">SUBSTITUTE(PROPER(A23),"_"," ")</f>
        <v>Update Date</v>
      </c>
      <c r="D23" s="28" t="str">
        <f t="shared" ref="D23:D24" si="26">LOWER(LEFT(B23,1))&amp;RIGHT(B23,LEN(B23) - 1)</f>
        <v>updateDate</v>
      </c>
      <c r="E23" s="28" t="str">
        <f>A.Backend!H17</f>
        <v>DateTime?</v>
      </c>
      <c r="F23" s="28" t="str">
        <f>A.Backend!G17</f>
        <v/>
      </c>
      <c r="G23" s="28" t="str">
        <f t="shared" si="3"/>
        <v/>
      </c>
      <c r="H23" s="35" t="str">
        <f t="shared" si="4"/>
        <v xml:space="preserve">			{headerName: this.l('Update Date'),headerTooltip: this.l('Update Date'),field: 'updateDate',flex: 1},</v>
      </c>
      <c r="I23" s="35" t="str">
        <f t="shared" si="5"/>
        <v/>
      </c>
      <c r="J23" s="28"/>
      <c r="K23" s="35" t="str">
        <f t="shared" si="6"/>
        <v/>
      </c>
      <c r="L23" s="56" t="str">
        <f t="shared" ref="L23:L24" si="27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13"/>
        <v xml:space="preserve">	updateDate</v>
      </c>
      <c r="T23" s="28" t="str">
        <f t="shared" si="14"/>
        <v xml:space="preserve">			this.updateDate,</v>
      </c>
      <c r="U23" s="28" t="str">
        <f t="shared" si="15"/>
        <v xml:space="preserve">		this.updateDate = '',</v>
      </c>
      <c r="V23" s="28" t="str">
        <f t="shared" si="8"/>
        <v/>
      </c>
    </row>
    <row r="24" spans="1:22" ht="18" customHeight="1" x14ac:dyDescent="0.3">
      <c r="A24" t="s">
        <v>367</v>
      </c>
      <c r="B24" s="28" t="str">
        <f t="shared" si="24"/>
        <v>IsFromEcus5</v>
      </c>
      <c r="C24" s="28" t="str">
        <f t="shared" si="25"/>
        <v>Is From Ecus5</v>
      </c>
      <c r="D24" s="28" t="str">
        <f t="shared" si="26"/>
        <v>isFromEcus5</v>
      </c>
      <c r="E24" s="28" t="str">
        <f>A.Backend!H18</f>
        <v>int?</v>
      </c>
      <c r="F24" s="28" t="str">
        <f>A.Backend!G18</f>
        <v/>
      </c>
      <c r="G24" s="28" t="str">
        <f t="shared" si="3"/>
        <v/>
      </c>
      <c r="H24" s="35" t="str">
        <f t="shared" si="4"/>
        <v xml:space="preserve">			{headerName: this.l('Is From Ecus5'),headerTooltip: this.l('Is From Ecus5'),field: 'isFromEcus5',flex: 1},</v>
      </c>
      <c r="I24" s="35" t="str">
        <f t="shared" si="5"/>
        <v/>
      </c>
      <c r="J24" s="28"/>
      <c r="K24" s="35" t="str">
        <f t="shared" si="6"/>
        <v/>
      </c>
      <c r="L24" s="56" t="str">
        <f t="shared" si="27"/>
        <v/>
      </c>
      <c r="M24" s="28"/>
      <c r="N24" s="28"/>
      <c r="O24" s="28"/>
      <c r="P24" s="28"/>
      <c r="Q24" s="28"/>
      <c r="R24" s="28"/>
      <c r="S24" s="28" t="str">
        <f t="shared" si="13"/>
        <v xml:space="preserve">	isFromEcus5</v>
      </c>
      <c r="T24" s="28" t="str">
        <f t="shared" si="14"/>
        <v xml:space="preserve">			this.isFromEcus5,</v>
      </c>
      <c r="U24" s="28" t="str">
        <f t="shared" si="15"/>
        <v xml:space="preserve">		this.isFromEcus5 = '',</v>
      </c>
      <c r="V24" s="28" t="str">
        <f t="shared" si="8"/>
        <v/>
      </c>
    </row>
    <row r="25" spans="1:22" ht="18" customHeight="1" x14ac:dyDescent="0.3">
      <c r="A25" s="28" t="s">
        <v>319</v>
      </c>
      <c r="B25" s="28" t="str">
        <f t="shared" ref="B25" si="28">SUBSTITUTE(PROPER(A25),"_","")</f>
        <v>IsActive</v>
      </c>
      <c r="C25" s="28" t="str">
        <f t="shared" ref="C25" si="29">SUBSTITUTE(PROPER(A25),"_"," ")</f>
        <v>Is Active</v>
      </c>
      <c r="D25" s="28" t="str">
        <f t="shared" ref="D25" si="30">LOWER(LEFT(B25,1))&amp;RIGHT(B25,LEN(B25) - 1)</f>
        <v>isActive</v>
      </c>
      <c r="E25" s="28" t="str">
        <f>A.Backend!H19</f>
        <v>string</v>
      </c>
      <c r="F25" s="28" t="str">
        <f>A.Backend!G19</f>
        <v>1</v>
      </c>
      <c r="G25" s="28" t="str">
        <f t="shared" si="3"/>
        <v xml:space="preserve"> : string = '' ; </v>
      </c>
      <c r="H25" s="35" t="str">
        <f t="shared" si="4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5" s="35" t="str">
        <f t="shared" si="5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5" s="28"/>
      <c r="K25" s="35" t="str">
        <f t="shared" si="6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5" s="56" t="str">
        <f t="shared" ref="L25" si="31"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28"/>
      <c r="N25" s="28"/>
      <c r="O25" s="28"/>
      <c r="P25" s="28"/>
      <c r="Q25" s="28"/>
      <c r="R25" s="28"/>
      <c r="S25" s="28" t="str">
        <f t="shared" si="13"/>
        <v xml:space="preserve">	isActive : string = '' ; </v>
      </c>
      <c r="T25" s="28" t="str">
        <f t="shared" si="14"/>
        <v xml:space="preserve">			this.isActive,</v>
      </c>
      <c r="U25" s="28" t="str">
        <f t="shared" si="15"/>
        <v xml:space="preserve">		this.isActive = '',</v>
      </c>
      <c r="V25" s="28" t="str">
        <f t="shared" si="8"/>
        <v>isActive</v>
      </c>
    </row>
    <row r="27" spans="1:22" ht="17.25" customHeight="1" x14ac:dyDescent="0.3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7734375" defaultRowHeight="14.4" x14ac:dyDescent="0.3"/>
  <cols>
    <col min="1" max="1" width="22.44140625" bestFit="1" customWidth="1"/>
    <col min="2" max="2" width="29.77734375" bestFit="1" customWidth="1"/>
  </cols>
  <sheetData>
    <row r="1" spans="1:2" x14ac:dyDescent="0.3">
      <c r="A1" s="1" t="s">
        <v>16</v>
      </c>
      <c r="B1" s="1" t="s">
        <v>17</v>
      </c>
    </row>
    <row r="2" spans="1:2" x14ac:dyDescent="0.3">
      <c r="A2" t="s">
        <v>19</v>
      </c>
      <c r="B2" t="s">
        <v>32</v>
      </c>
    </row>
    <row r="3" spans="1:2" x14ac:dyDescent="0.3">
      <c r="A3" t="s">
        <v>18</v>
      </c>
      <c r="B3" t="s">
        <v>32</v>
      </c>
    </row>
    <row r="4" spans="1:2" x14ac:dyDescent="0.3">
      <c r="A4" t="s">
        <v>20</v>
      </c>
      <c r="B4" t="s">
        <v>21</v>
      </c>
    </row>
    <row r="5" spans="1:2" x14ac:dyDescent="0.3">
      <c r="A5" t="s">
        <v>22</v>
      </c>
      <c r="B5" t="s">
        <v>34</v>
      </c>
    </row>
    <row r="6" spans="1:2" x14ac:dyDescent="0.3">
      <c r="A6" t="s">
        <v>23</v>
      </c>
      <c r="B6" t="s">
        <v>360</v>
      </c>
    </row>
    <row r="7" spans="1:2" x14ac:dyDescent="0.3">
      <c r="A7" t="s">
        <v>24</v>
      </c>
      <c r="B7" t="s">
        <v>355</v>
      </c>
    </row>
    <row r="8" spans="1:2" x14ac:dyDescent="0.3">
      <c r="A8" t="s">
        <v>4</v>
      </c>
      <c r="B8" t="s">
        <v>355</v>
      </c>
    </row>
    <row r="9" spans="1:2" x14ac:dyDescent="0.3">
      <c r="A9" t="s">
        <v>0</v>
      </c>
      <c r="B9" t="s">
        <v>356</v>
      </c>
    </row>
    <row r="10" spans="1:2" x14ac:dyDescent="0.3">
      <c r="A10" t="s">
        <v>25</v>
      </c>
      <c r="B10" t="s">
        <v>359</v>
      </c>
    </row>
    <row r="11" spans="1:2" x14ac:dyDescent="0.3">
      <c r="A11" t="s">
        <v>26</v>
      </c>
      <c r="B11" t="s">
        <v>359</v>
      </c>
    </row>
    <row r="12" spans="1:2" x14ac:dyDescent="0.3">
      <c r="A12" t="s">
        <v>27</v>
      </c>
      <c r="B12" t="s">
        <v>359</v>
      </c>
    </row>
    <row r="13" spans="1:2" x14ac:dyDescent="0.3">
      <c r="A13" t="s">
        <v>28</v>
      </c>
      <c r="B13" t="s">
        <v>359</v>
      </c>
    </row>
    <row r="14" spans="1:2" x14ac:dyDescent="0.3">
      <c r="A14" t="s">
        <v>29</v>
      </c>
      <c r="B14" t="s">
        <v>359</v>
      </c>
    </row>
    <row r="15" spans="1:2" x14ac:dyDescent="0.3">
      <c r="A15" t="s">
        <v>30</v>
      </c>
      <c r="B15" t="s">
        <v>359</v>
      </c>
    </row>
    <row r="16" spans="1:2" x14ac:dyDescent="0.3">
      <c r="A16" t="s">
        <v>31</v>
      </c>
      <c r="B16" t="s">
        <v>357</v>
      </c>
    </row>
    <row r="17" spans="1:2" x14ac:dyDescent="0.3">
      <c r="A17" t="s">
        <v>3</v>
      </c>
      <c r="B17" t="s">
        <v>357</v>
      </c>
    </row>
    <row r="18" spans="1:2" x14ac:dyDescent="0.3">
      <c r="A18" t="s">
        <v>33</v>
      </c>
      <c r="B18" t="s">
        <v>357</v>
      </c>
    </row>
    <row r="19" spans="1:2" x14ac:dyDescent="0.3">
      <c r="A19" t="s">
        <v>2</v>
      </c>
      <c r="B19" t="s">
        <v>357</v>
      </c>
    </row>
    <row r="20" spans="1:2" x14ac:dyDescent="0.3">
      <c r="A20" t="s">
        <v>263</v>
      </c>
      <c r="B20" t="s">
        <v>358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7734375" defaultRowHeight="15.6" x14ac:dyDescent="0.3"/>
  <cols>
    <col min="1" max="1" width="14.21875" customWidth="1"/>
    <col min="2" max="2" width="71.77734375" style="20" customWidth="1"/>
  </cols>
  <sheetData>
    <row r="2" spans="1:2" x14ac:dyDescent="0.3">
      <c r="A2" s="22" t="s">
        <v>190</v>
      </c>
      <c r="B2" s="23" t="s">
        <v>187</v>
      </c>
    </row>
    <row r="3" spans="1:2" x14ac:dyDescent="0.3">
      <c r="B3" s="20" t="s">
        <v>112</v>
      </c>
    </row>
    <row r="4" spans="1:2" x14ac:dyDescent="0.3">
      <c r="B4" s="20" t="s">
        <v>113</v>
      </c>
    </row>
    <row r="5" spans="1:2" x14ac:dyDescent="0.3">
      <c r="B5" s="20" t="s">
        <v>114</v>
      </c>
    </row>
    <row r="6" spans="1:2" x14ac:dyDescent="0.3">
      <c r="B6" s="20" t="s">
        <v>115</v>
      </c>
    </row>
    <row r="7" spans="1:2" x14ac:dyDescent="0.3">
      <c r="B7" s="20" t="s">
        <v>116</v>
      </c>
    </row>
    <row r="8" spans="1:2" x14ac:dyDescent="0.3">
      <c r="B8" s="20" t="s">
        <v>117</v>
      </c>
    </row>
    <row r="9" spans="1:2" x14ac:dyDescent="0.3">
      <c r="B9" s="20" t="s">
        <v>118</v>
      </c>
    </row>
    <row r="10" spans="1:2" x14ac:dyDescent="0.3">
      <c r="B10" s="20" t="s">
        <v>119</v>
      </c>
    </row>
    <row r="11" spans="1:2" x14ac:dyDescent="0.3">
      <c r="B11" s="20" t="s">
        <v>120</v>
      </c>
    </row>
    <row r="12" spans="1:2" x14ac:dyDescent="0.3">
      <c r="B12" s="20" t="s">
        <v>121</v>
      </c>
    </row>
    <row r="13" spans="1:2" x14ac:dyDescent="0.3">
      <c r="B13" s="20" t="s">
        <v>122</v>
      </c>
    </row>
    <row r="14" spans="1:2" x14ac:dyDescent="0.3">
      <c r="B14" s="20" t="s">
        <v>123</v>
      </c>
    </row>
    <row r="15" spans="1:2" x14ac:dyDescent="0.3">
      <c r="B15" s="20" t="s">
        <v>124</v>
      </c>
    </row>
    <row r="16" spans="1:2" x14ac:dyDescent="0.3">
      <c r="B16" s="20" t="s">
        <v>125</v>
      </c>
    </row>
    <row r="17" spans="1:3" x14ac:dyDescent="0.3">
      <c r="B17" s="20" t="s">
        <v>126</v>
      </c>
    </row>
    <row r="18" spans="1:3" x14ac:dyDescent="0.3">
      <c r="B18" s="20" t="s">
        <v>127</v>
      </c>
      <c r="C18" t="s">
        <v>189</v>
      </c>
    </row>
    <row r="19" spans="1:3" x14ac:dyDescent="0.3">
      <c r="B19" s="20" t="s">
        <v>128</v>
      </c>
    </row>
    <row r="20" spans="1:3" x14ac:dyDescent="0.3">
      <c r="B20" s="20" t="s">
        <v>129</v>
      </c>
    </row>
    <row r="21" spans="1:3" x14ac:dyDescent="0.3">
      <c r="B21" s="20" t="s">
        <v>130</v>
      </c>
    </row>
    <row r="22" spans="1:3" x14ac:dyDescent="0.3">
      <c r="B22" s="20" t="s">
        <v>131</v>
      </c>
      <c r="C22" t="s">
        <v>194</v>
      </c>
    </row>
    <row r="23" spans="1:3" x14ac:dyDescent="0.3">
      <c r="B23" s="20" t="s">
        <v>132</v>
      </c>
    </row>
    <row r="24" spans="1:3" x14ac:dyDescent="0.3">
      <c r="B24" s="20" t="s">
        <v>133</v>
      </c>
    </row>
    <row r="25" spans="1:3" x14ac:dyDescent="0.3">
      <c r="B25" s="20" t="s">
        <v>134</v>
      </c>
    </row>
    <row r="26" spans="1:3" x14ac:dyDescent="0.3">
      <c r="A26" s="22" t="s">
        <v>191</v>
      </c>
      <c r="B26" s="23" t="s">
        <v>188</v>
      </c>
    </row>
    <row r="27" spans="1:3" x14ac:dyDescent="0.3">
      <c r="B27" s="20" t="s">
        <v>135</v>
      </c>
    </row>
    <row r="28" spans="1:3" x14ac:dyDescent="0.3">
      <c r="B28" s="21" t="s">
        <v>136</v>
      </c>
    </row>
    <row r="29" spans="1:3" x14ac:dyDescent="0.3">
      <c r="B29" s="20" t="s">
        <v>137</v>
      </c>
    </row>
    <row r="30" spans="1:3" x14ac:dyDescent="0.3">
      <c r="B30" s="20" t="s">
        <v>138</v>
      </c>
    </row>
    <row r="31" spans="1:3" x14ac:dyDescent="0.3">
      <c r="B31" s="20" t="s">
        <v>139</v>
      </c>
    </row>
    <row r="32" spans="1:3" x14ac:dyDescent="0.3">
      <c r="B32" s="20" t="s">
        <v>140</v>
      </c>
    </row>
    <row r="33" spans="2:2" x14ac:dyDescent="0.3">
      <c r="B33" s="20" t="s">
        <v>141</v>
      </c>
    </row>
    <row r="34" spans="2:2" x14ac:dyDescent="0.3">
      <c r="B34" s="20" t="s">
        <v>142</v>
      </c>
    </row>
    <row r="35" spans="2:2" x14ac:dyDescent="0.3">
      <c r="B35" s="20" t="s">
        <v>143</v>
      </c>
    </row>
    <row r="36" spans="2:2" x14ac:dyDescent="0.3">
      <c r="B36" s="20" t="s">
        <v>144</v>
      </c>
    </row>
    <row r="37" spans="2:2" x14ac:dyDescent="0.3">
      <c r="B37" s="20" t="s">
        <v>145</v>
      </c>
    </row>
    <row r="38" spans="2:2" x14ac:dyDescent="0.3">
      <c r="B38" s="20" t="s">
        <v>146</v>
      </c>
    </row>
    <row r="39" spans="2:2" x14ac:dyDescent="0.3">
      <c r="B39" s="20" t="s">
        <v>147</v>
      </c>
    </row>
    <row r="40" spans="2:2" x14ac:dyDescent="0.3">
      <c r="B40" s="20" t="s">
        <v>148</v>
      </c>
    </row>
    <row r="41" spans="2:2" x14ac:dyDescent="0.3">
      <c r="B41" s="20" t="s">
        <v>149</v>
      </c>
    </row>
    <row r="42" spans="2:2" x14ac:dyDescent="0.3">
      <c r="B42" s="20" t="s">
        <v>150</v>
      </c>
    </row>
    <row r="43" spans="2:2" x14ac:dyDescent="0.3">
      <c r="B43" s="21" t="s">
        <v>151</v>
      </c>
    </row>
    <row r="44" spans="2:2" x14ac:dyDescent="0.3">
      <c r="B44" s="20" t="s">
        <v>137</v>
      </c>
    </row>
    <row r="45" spans="2:2" x14ac:dyDescent="0.3">
      <c r="B45" s="20" t="s">
        <v>152</v>
      </c>
    </row>
    <row r="46" spans="2:2" x14ac:dyDescent="0.3">
      <c r="B46" s="20" t="s">
        <v>153</v>
      </c>
    </row>
    <row r="47" spans="2:2" x14ac:dyDescent="0.3">
      <c r="B47" s="20" t="s">
        <v>154</v>
      </c>
    </row>
    <row r="48" spans="2:2" x14ac:dyDescent="0.3">
      <c r="B48" s="20" t="s">
        <v>155</v>
      </c>
    </row>
    <row r="49" spans="2:2" x14ac:dyDescent="0.3">
      <c r="B49" s="20" t="s">
        <v>138</v>
      </c>
    </row>
    <row r="50" spans="2:2" x14ac:dyDescent="0.3">
      <c r="B50" s="20" t="s">
        <v>139</v>
      </c>
    </row>
    <row r="51" spans="2:2" x14ac:dyDescent="0.3">
      <c r="B51" s="20" t="s">
        <v>140</v>
      </c>
    </row>
    <row r="52" spans="2:2" x14ac:dyDescent="0.3">
      <c r="B52" s="20" t="s">
        <v>141</v>
      </c>
    </row>
    <row r="53" spans="2:2" x14ac:dyDescent="0.3">
      <c r="B53" s="20" t="s">
        <v>142</v>
      </c>
    </row>
    <row r="54" spans="2:2" x14ac:dyDescent="0.3">
      <c r="B54" s="20" t="s">
        <v>143</v>
      </c>
    </row>
    <row r="55" spans="2:2" x14ac:dyDescent="0.3">
      <c r="B55" s="20" t="s">
        <v>144</v>
      </c>
    </row>
    <row r="56" spans="2:2" x14ac:dyDescent="0.3">
      <c r="B56" s="20" t="s">
        <v>156</v>
      </c>
    </row>
    <row r="57" spans="2:2" x14ac:dyDescent="0.3">
      <c r="B57" s="20" t="s">
        <v>157</v>
      </c>
    </row>
    <row r="58" spans="2:2" x14ac:dyDescent="0.3">
      <c r="B58" s="20" t="s">
        <v>145</v>
      </c>
    </row>
    <row r="59" spans="2:2" x14ac:dyDescent="0.3">
      <c r="B59" s="20" t="s">
        <v>146</v>
      </c>
    </row>
    <row r="60" spans="2:2" x14ac:dyDescent="0.3">
      <c r="B60" s="20" t="s">
        <v>158</v>
      </c>
    </row>
    <row r="61" spans="2:2" x14ac:dyDescent="0.3">
      <c r="B61" s="20" t="s">
        <v>159</v>
      </c>
    </row>
    <row r="62" spans="2:2" x14ac:dyDescent="0.3">
      <c r="B62" s="20" t="s">
        <v>160</v>
      </c>
    </row>
    <row r="63" spans="2:2" x14ac:dyDescent="0.3">
      <c r="B63" s="20" t="s">
        <v>155</v>
      </c>
    </row>
    <row r="64" spans="2:2" x14ac:dyDescent="0.3">
      <c r="B64" s="20" t="s">
        <v>147</v>
      </c>
    </row>
    <row r="65" spans="2:2" x14ac:dyDescent="0.3">
      <c r="B65" s="20" t="s">
        <v>148</v>
      </c>
    </row>
    <row r="66" spans="2:2" x14ac:dyDescent="0.3">
      <c r="B66" s="20" t="s">
        <v>161</v>
      </c>
    </row>
    <row r="67" spans="2:2" x14ac:dyDescent="0.3">
      <c r="B67" s="20" t="s">
        <v>155</v>
      </c>
    </row>
    <row r="68" spans="2:2" x14ac:dyDescent="0.3">
      <c r="B68" s="20" t="s">
        <v>149</v>
      </c>
    </row>
    <row r="69" spans="2:2" x14ac:dyDescent="0.3">
      <c r="B69" s="20" t="s">
        <v>162</v>
      </c>
    </row>
    <row r="70" spans="2:2" x14ac:dyDescent="0.3">
      <c r="B70" s="21" t="s">
        <v>163</v>
      </c>
    </row>
    <row r="71" spans="2:2" x14ac:dyDescent="0.3">
      <c r="B71" s="20" t="s">
        <v>137</v>
      </c>
    </row>
    <row r="72" spans="2:2" x14ac:dyDescent="0.3">
      <c r="B72" s="20" t="s">
        <v>138</v>
      </c>
    </row>
    <row r="73" spans="2:2" x14ac:dyDescent="0.3">
      <c r="B73" s="20" t="s">
        <v>139</v>
      </c>
    </row>
    <row r="74" spans="2:2" x14ac:dyDescent="0.3">
      <c r="B74" s="20" t="s">
        <v>140</v>
      </c>
    </row>
    <row r="75" spans="2:2" x14ac:dyDescent="0.3">
      <c r="B75" s="20" t="s">
        <v>144</v>
      </c>
    </row>
    <row r="76" spans="2:2" x14ac:dyDescent="0.3">
      <c r="B76" s="20" t="s">
        <v>146</v>
      </c>
    </row>
    <row r="77" spans="2:2" x14ac:dyDescent="0.3">
      <c r="B77" s="20" t="s">
        <v>147</v>
      </c>
    </row>
    <row r="78" spans="2:2" x14ac:dyDescent="0.3">
      <c r="B78" s="20" t="s">
        <v>148</v>
      </c>
    </row>
    <row r="79" spans="2:2" x14ac:dyDescent="0.3">
      <c r="B79" s="20" t="s">
        <v>149</v>
      </c>
    </row>
    <row r="80" spans="2:2" x14ac:dyDescent="0.3">
      <c r="B80" s="20" t="s">
        <v>162</v>
      </c>
    </row>
    <row r="81" spans="1:2" x14ac:dyDescent="0.3">
      <c r="B81" s="21" t="s">
        <v>164</v>
      </c>
    </row>
    <row r="82" spans="1:2" x14ac:dyDescent="0.3">
      <c r="B82" s="21" t="s">
        <v>165</v>
      </c>
    </row>
    <row r="83" spans="1:2" x14ac:dyDescent="0.3">
      <c r="B83" s="21" t="s">
        <v>166</v>
      </c>
    </row>
    <row r="84" spans="1:2" x14ac:dyDescent="0.3">
      <c r="B84" s="21" t="s">
        <v>167</v>
      </c>
    </row>
    <row r="85" spans="1:2" x14ac:dyDescent="0.3">
      <c r="B85" s="21" t="s">
        <v>168</v>
      </c>
    </row>
    <row r="86" spans="1:2" x14ac:dyDescent="0.3">
      <c r="B86" s="21" t="s">
        <v>169</v>
      </c>
    </row>
    <row r="87" spans="1:2" x14ac:dyDescent="0.3">
      <c r="B87" s="21" t="s">
        <v>170</v>
      </c>
    </row>
    <row r="88" spans="1:2" x14ac:dyDescent="0.3">
      <c r="A88" s="22" t="s">
        <v>192</v>
      </c>
      <c r="B88" s="24" t="s">
        <v>171</v>
      </c>
    </row>
    <row r="89" spans="1:2" x14ac:dyDescent="0.3">
      <c r="B89" s="20" t="s">
        <v>172</v>
      </c>
    </row>
    <row r="90" spans="1:2" x14ac:dyDescent="0.3">
      <c r="B90" s="20" t="s">
        <v>173</v>
      </c>
    </row>
    <row r="91" spans="1:2" x14ac:dyDescent="0.3">
      <c r="B91" s="20" t="s">
        <v>174</v>
      </c>
    </row>
    <row r="92" spans="1:2" x14ac:dyDescent="0.3">
      <c r="B92" s="20" t="s">
        <v>175</v>
      </c>
    </row>
    <row r="93" spans="1:2" x14ac:dyDescent="0.3">
      <c r="B93" s="20" t="s">
        <v>176</v>
      </c>
    </row>
    <row r="94" spans="1:2" x14ac:dyDescent="0.3">
      <c r="B94" s="20" t="s">
        <v>177</v>
      </c>
    </row>
    <row r="95" spans="1:2" x14ac:dyDescent="0.3">
      <c r="B95" s="20" t="s">
        <v>178</v>
      </c>
    </row>
    <row r="96" spans="1:2" x14ac:dyDescent="0.3">
      <c r="B96" s="20" t="s">
        <v>179</v>
      </c>
    </row>
    <row r="97" spans="2:2" x14ac:dyDescent="0.3">
      <c r="B97" s="20" t="s">
        <v>180</v>
      </c>
    </row>
    <row r="98" spans="2:2" x14ac:dyDescent="0.3">
      <c r="B98" s="20" t="s">
        <v>181</v>
      </c>
    </row>
    <row r="99" spans="2:2" x14ac:dyDescent="0.3">
      <c r="B99" s="20" t="s">
        <v>182</v>
      </c>
    </row>
    <row r="100" spans="2:2" x14ac:dyDescent="0.3">
      <c r="B100" s="20" t="s">
        <v>183</v>
      </c>
    </row>
    <row r="101" spans="2:2" x14ac:dyDescent="0.3">
      <c r="B101" s="20" t="s">
        <v>184</v>
      </c>
    </row>
    <row r="102" spans="2:2" x14ac:dyDescent="0.3">
      <c r="B102" s="20" t="s">
        <v>185</v>
      </c>
    </row>
    <row r="103" spans="2:2" x14ac:dyDescent="0.3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2023-05-29T04:53:35Z</dcterms:modified>
</cp:coreProperties>
</file>
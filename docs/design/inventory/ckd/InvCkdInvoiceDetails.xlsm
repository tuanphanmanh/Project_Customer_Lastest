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6" i="5" l="1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E16" i="5"/>
  <c r="E17" i="5"/>
  <c r="E18" i="5"/>
  <c r="E19" i="5"/>
  <c r="E20" i="5"/>
  <c r="E21" i="5"/>
  <c r="E22" i="5"/>
  <c r="E23" i="5"/>
  <c r="E24" i="5"/>
  <c r="L24" i="5" s="1"/>
  <c r="E25" i="5"/>
  <c r="E26" i="5"/>
  <c r="L26" i="5" s="1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L30" i="5"/>
  <c r="C30" i="5"/>
  <c r="B30" i="5"/>
  <c r="D30" i="5" s="1"/>
  <c r="L29" i="5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L25" i="5"/>
  <c r="C25" i="5"/>
  <c r="B25" i="5"/>
  <c r="D25" i="5" s="1"/>
  <c r="C24" i="5"/>
  <c r="B24" i="5"/>
  <c r="D24" i="5" s="1"/>
  <c r="C23" i="5"/>
  <c r="B23" i="5"/>
  <c r="D23" i="5" s="1"/>
  <c r="L22" i="5"/>
  <c r="C22" i="5"/>
  <c r="B22" i="5"/>
  <c r="D22" i="5" s="1"/>
  <c r="L21" i="5"/>
  <c r="C21" i="5"/>
  <c r="B21" i="5"/>
  <c r="D21" i="5" s="1"/>
  <c r="L20" i="5"/>
  <c r="C20" i="5"/>
  <c r="B20" i="5"/>
  <c r="D20" i="5" s="1"/>
  <c r="C19" i="5"/>
  <c r="B19" i="5"/>
  <c r="D19" i="5" s="1"/>
  <c r="C18" i="5"/>
  <c r="B18" i="5"/>
  <c r="D18" i="5" s="1"/>
  <c r="L40" i="1"/>
  <c r="G40" i="1"/>
  <c r="E40" i="1"/>
  <c r="H40" i="1" s="1"/>
  <c r="D40" i="1"/>
  <c r="V40" i="1" s="1"/>
  <c r="L39" i="1"/>
  <c r="G39" i="1"/>
  <c r="E39" i="1"/>
  <c r="H39" i="1" s="1"/>
  <c r="D39" i="1"/>
  <c r="P39" i="1" s="1"/>
  <c r="L38" i="1"/>
  <c r="G38" i="1"/>
  <c r="E38" i="1"/>
  <c r="H38" i="1" s="1"/>
  <c r="D38" i="1"/>
  <c r="T38" i="1" s="1"/>
  <c r="L37" i="1"/>
  <c r="G37" i="1"/>
  <c r="E37" i="1"/>
  <c r="H37" i="1" s="1"/>
  <c r="W37" i="1" s="1"/>
  <c r="D37" i="1"/>
  <c r="L36" i="1"/>
  <c r="G36" i="1"/>
  <c r="E36" i="1"/>
  <c r="H36" i="1" s="1"/>
  <c r="D36" i="1"/>
  <c r="V36" i="1" s="1"/>
  <c r="L35" i="1"/>
  <c r="G35" i="1"/>
  <c r="E35" i="1"/>
  <c r="H35" i="1" s="1"/>
  <c r="O35" i="1" s="1"/>
  <c r="D35" i="1"/>
  <c r="P35" i="1" s="1"/>
  <c r="L34" i="1"/>
  <c r="G34" i="1"/>
  <c r="E34" i="1"/>
  <c r="H34" i="1" s="1"/>
  <c r="D34" i="1"/>
  <c r="T34" i="1" s="1"/>
  <c r="L33" i="1"/>
  <c r="G33" i="1"/>
  <c r="E33" i="1"/>
  <c r="H33" i="1" s="1"/>
  <c r="D33" i="1"/>
  <c r="L32" i="1"/>
  <c r="G32" i="1"/>
  <c r="E32" i="1"/>
  <c r="H32" i="1" s="1"/>
  <c r="D32" i="1"/>
  <c r="V32" i="1" s="1"/>
  <c r="L31" i="1"/>
  <c r="G31" i="1"/>
  <c r="E31" i="1"/>
  <c r="H31" i="1" s="1"/>
  <c r="D31" i="1"/>
  <c r="P31" i="1" s="1"/>
  <c r="L30" i="1"/>
  <c r="G30" i="1"/>
  <c r="E30" i="1"/>
  <c r="H30" i="1" s="1"/>
  <c r="D30" i="1"/>
  <c r="T30" i="1" s="1"/>
  <c r="L29" i="1"/>
  <c r="G29" i="1"/>
  <c r="E29" i="1"/>
  <c r="H29" i="1" s="1"/>
  <c r="W29" i="1" s="1"/>
  <c r="D29" i="1"/>
  <c r="L28" i="1"/>
  <c r="G28" i="1"/>
  <c r="E28" i="1"/>
  <c r="H28" i="1" s="1"/>
  <c r="D28" i="1"/>
  <c r="V28" i="1" s="1"/>
  <c r="L27" i="1"/>
  <c r="G27" i="1"/>
  <c r="E27" i="1"/>
  <c r="H27" i="1" s="1"/>
  <c r="D27" i="1"/>
  <c r="P27" i="1" s="1"/>
  <c r="L26" i="1"/>
  <c r="G26" i="1"/>
  <c r="E26" i="1"/>
  <c r="H26" i="1" s="1"/>
  <c r="D26" i="1"/>
  <c r="T26" i="1" s="1"/>
  <c r="L25" i="1"/>
  <c r="G25" i="1"/>
  <c r="E25" i="1"/>
  <c r="H25" i="1" s="1"/>
  <c r="W25" i="1" s="1"/>
  <c r="D25" i="1"/>
  <c r="L24" i="1"/>
  <c r="G24" i="1"/>
  <c r="E24" i="1"/>
  <c r="H24" i="1" s="1"/>
  <c r="D24" i="1"/>
  <c r="V24" i="1" s="1"/>
  <c r="L57" i="1"/>
  <c r="G57" i="1"/>
  <c r="E57" i="1"/>
  <c r="H57" i="1" s="1"/>
  <c r="D57" i="1"/>
  <c r="V57" i="1" s="1"/>
  <c r="L56" i="1"/>
  <c r="G56" i="1"/>
  <c r="E56" i="1"/>
  <c r="H56" i="1" s="1"/>
  <c r="D56" i="1"/>
  <c r="T56" i="1" s="1"/>
  <c r="L55" i="1"/>
  <c r="G55" i="1"/>
  <c r="E55" i="1"/>
  <c r="H55" i="1" s="1"/>
  <c r="O55" i="1" s="1"/>
  <c r="D55" i="1"/>
  <c r="V55" i="1" s="1"/>
  <c r="L54" i="1"/>
  <c r="G54" i="1"/>
  <c r="E54" i="1"/>
  <c r="H54" i="1" s="1"/>
  <c r="D54" i="1"/>
  <c r="V54" i="1" s="1"/>
  <c r="L53" i="1"/>
  <c r="G53" i="1"/>
  <c r="E53" i="1"/>
  <c r="H53" i="1" s="1"/>
  <c r="D53" i="1"/>
  <c r="V53" i="1" s="1"/>
  <c r="L52" i="1"/>
  <c r="G52" i="1"/>
  <c r="E52" i="1"/>
  <c r="H52" i="1" s="1"/>
  <c r="D52" i="1"/>
  <c r="T52" i="1" s="1"/>
  <c r="T51" i="1"/>
  <c r="L51" i="1"/>
  <c r="H51" i="1"/>
  <c r="G51" i="1"/>
  <c r="E51" i="1"/>
  <c r="D51" i="1"/>
  <c r="P51" i="1" s="1"/>
  <c r="L50" i="1"/>
  <c r="G50" i="1"/>
  <c r="E50" i="1"/>
  <c r="H50" i="1" s="1"/>
  <c r="D50" i="1"/>
  <c r="V50" i="1" s="1"/>
  <c r="L49" i="1"/>
  <c r="G49" i="1"/>
  <c r="E49" i="1"/>
  <c r="H49" i="1" s="1"/>
  <c r="D49" i="1"/>
  <c r="V49" i="1" s="1"/>
  <c r="L48" i="1"/>
  <c r="G48" i="1"/>
  <c r="E48" i="1"/>
  <c r="H48" i="1" s="1"/>
  <c r="D48" i="1"/>
  <c r="T48" i="1" s="1"/>
  <c r="L47" i="1"/>
  <c r="G47" i="1"/>
  <c r="E47" i="1"/>
  <c r="H47" i="1" s="1"/>
  <c r="O47" i="1" s="1"/>
  <c r="D47" i="1"/>
  <c r="V47" i="1" s="1"/>
  <c r="L46" i="1"/>
  <c r="G46" i="1"/>
  <c r="E46" i="1"/>
  <c r="H46" i="1" s="1"/>
  <c r="D46" i="1"/>
  <c r="V46" i="1" s="1"/>
  <c r="L45" i="1"/>
  <c r="G45" i="1"/>
  <c r="E45" i="1"/>
  <c r="H45" i="1" s="1"/>
  <c r="D45" i="1"/>
  <c r="V45" i="1" s="1"/>
  <c r="L44" i="1"/>
  <c r="G44" i="1"/>
  <c r="E44" i="1"/>
  <c r="H44" i="1" s="1"/>
  <c r="D44" i="1"/>
  <c r="T44" i="1" s="1"/>
  <c r="L43" i="1"/>
  <c r="G43" i="1"/>
  <c r="E43" i="1"/>
  <c r="H43" i="1" s="1"/>
  <c r="O43" i="1" s="1"/>
  <c r="D43" i="1"/>
  <c r="V43" i="1" s="1"/>
  <c r="L42" i="1"/>
  <c r="G42" i="1"/>
  <c r="E42" i="1"/>
  <c r="H42" i="1" s="1"/>
  <c r="D42" i="1"/>
  <c r="V42" i="1" s="1"/>
  <c r="L41" i="1"/>
  <c r="G41" i="1"/>
  <c r="E41" i="1"/>
  <c r="H41" i="1" s="1"/>
  <c r="D41" i="1"/>
  <c r="P41" i="1" s="1"/>
  <c r="L28" i="5" l="1"/>
  <c r="L18" i="5"/>
  <c r="L19" i="5"/>
  <c r="L23" i="5"/>
  <c r="L27" i="5"/>
  <c r="T55" i="1"/>
  <c r="T39" i="1"/>
  <c r="P38" i="1"/>
  <c r="M33" i="1"/>
  <c r="T27" i="1"/>
  <c r="P47" i="1"/>
  <c r="P26" i="1"/>
  <c r="V31" i="1"/>
  <c r="V38" i="1"/>
  <c r="V26" i="1"/>
  <c r="O39" i="1"/>
  <c r="I39" i="1"/>
  <c r="O27" i="1"/>
  <c r="I27" i="1"/>
  <c r="O31" i="1"/>
  <c r="I31" i="1"/>
  <c r="V48" i="1"/>
  <c r="V51" i="1"/>
  <c r="I35" i="1"/>
  <c r="M37" i="1"/>
  <c r="T47" i="1"/>
  <c r="V56" i="1"/>
  <c r="M29" i="1"/>
  <c r="P34" i="1"/>
  <c r="T35" i="1"/>
  <c r="V39" i="1"/>
  <c r="V44" i="1"/>
  <c r="P55" i="1"/>
  <c r="M25" i="1"/>
  <c r="P30" i="1"/>
  <c r="T31" i="1"/>
  <c r="V34" i="1"/>
  <c r="V35" i="1"/>
  <c r="O51" i="1"/>
  <c r="V30" i="1"/>
  <c r="W33" i="1"/>
  <c r="P43" i="1"/>
  <c r="T43" i="1"/>
  <c r="V52" i="1"/>
  <c r="V27" i="1"/>
  <c r="O30" i="1"/>
  <c r="N30" i="1"/>
  <c r="M30" i="1"/>
  <c r="W30" i="1"/>
  <c r="J30" i="1"/>
  <c r="I30" i="1"/>
  <c r="W28" i="1"/>
  <c r="J28" i="1"/>
  <c r="I28" i="1"/>
  <c r="O28" i="1"/>
  <c r="N28" i="1"/>
  <c r="M28" i="1"/>
  <c r="O26" i="1"/>
  <c r="N26" i="1"/>
  <c r="M26" i="1"/>
  <c r="W26" i="1"/>
  <c r="J26" i="1"/>
  <c r="I26" i="1"/>
  <c r="W40" i="1"/>
  <c r="J40" i="1"/>
  <c r="I40" i="1"/>
  <c r="O40" i="1"/>
  <c r="N40" i="1"/>
  <c r="M40" i="1"/>
  <c r="W36" i="1"/>
  <c r="J36" i="1"/>
  <c r="I36" i="1"/>
  <c r="O36" i="1"/>
  <c r="N36" i="1"/>
  <c r="M36" i="1"/>
  <c r="O34" i="1"/>
  <c r="N34" i="1"/>
  <c r="M34" i="1"/>
  <c r="W34" i="1"/>
  <c r="J34" i="1"/>
  <c r="I34" i="1"/>
  <c r="W24" i="1"/>
  <c r="J24" i="1"/>
  <c r="I24" i="1"/>
  <c r="O24" i="1"/>
  <c r="N24" i="1"/>
  <c r="M24" i="1"/>
  <c r="W32" i="1"/>
  <c r="J32" i="1"/>
  <c r="I32" i="1"/>
  <c r="O32" i="1"/>
  <c r="N32" i="1"/>
  <c r="M32" i="1"/>
  <c r="O38" i="1"/>
  <c r="N38" i="1"/>
  <c r="M38" i="1"/>
  <c r="W38" i="1"/>
  <c r="J38" i="1"/>
  <c r="I38" i="1"/>
  <c r="N33" i="1"/>
  <c r="N37" i="1"/>
  <c r="O25" i="1"/>
  <c r="J27" i="1"/>
  <c r="W27" i="1"/>
  <c r="O29" i="1"/>
  <c r="J31" i="1"/>
  <c r="W31" i="1"/>
  <c r="O33" i="1"/>
  <c r="J35" i="1"/>
  <c r="W35" i="1"/>
  <c r="O37" i="1"/>
  <c r="J39" i="1"/>
  <c r="W39" i="1"/>
  <c r="P25" i="1"/>
  <c r="P29" i="1"/>
  <c r="P33" i="1"/>
  <c r="P37" i="1"/>
  <c r="T25" i="1"/>
  <c r="M27" i="1"/>
  <c r="T29" i="1"/>
  <c r="M31" i="1"/>
  <c r="T33" i="1"/>
  <c r="M35" i="1"/>
  <c r="T37" i="1"/>
  <c r="M39" i="1"/>
  <c r="P24" i="1"/>
  <c r="I25" i="1"/>
  <c r="V25" i="1"/>
  <c r="N27" i="1"/>
  <c r="P28" i="1"/>
  <c r="I29" i="1"/>
  <c r="V29" i="1"/>
  <c r="N31" i="1"/>
  <c r="P32" i="1"/>
  <c r="I33" i="1"/>
  <c r="V33" i="1"/>
  <c r="N35" i="1"/>
  <c r="P36" i="1"/>
  <c r="I37" i="1"/>
  <c r="V37" i="1"/>
  <c r="N39" i="1"/>
  <c r="P40" i="1"/>
  <c r="T24" i="1"/>
  <c r="J25" i="1"/>
  <c r="T28" i="1"/>
  <c r="J29" i="1"/>
  <c r="T32" i="1"/>
  <c r="J33" i="1"/>
  <c r="T36" i="1"/>
  <c r="J37" i="1"/>
  <c r="T40" i="1"/>
  <c r="N25" i="1"/>
  <c r="N29" i="1"/>
  <c r="W53" i="1"/>
  <c r="J53" i="1"/>
  <c r="N53" i="1"/>
  <c r="I53" i="1"/>
  <c r="O53" i="1"/>
  <c r="M53" i="1"/>
  <c r="W49" i="1"/>
  <c r="J49" i="1"/>
  <c r="M49" i="1"/>
  <c r="I49" i="1"/>
  <c r="O49" i="1"/>
  <c r="N49" i="1"/>
  <c r="I52" i="1"/>
  <c r="O52" i="1"/>
  <c r="N52" i="1"/>
  <c r="W52" i="1"/>
  <c r="J52" i="1"/>
  <c r="M52" i="1"/>
  <c r="I56" i="1"/>
  <c r="W56" i="1"/>
  <c r="O56" i="1"/>
  <c r="N56" i="1"/>
  <c r="M56" i="1"/>
  <c r="J56" i="1"/>
  <c r="M46" i="1"/>
  <c r="O46" i="1"/>
  <c r="W46" i="1"/>
  <c r="J46" i="1"/>
  <c r="I46" i="1"/>
  <c r="N46" i="1"/>
  <c r="W57" i="1"/>
  <c r="J57" i="1"/>
  <c r="I57" i="1"/>
  <c r="O57" i="1"/>
  <c r="N57" i="1"/>
  <c r="M57" i="1"/>
  <c r="N44" i="1"/>
  <c r="I44" i="1"/>
  <c r="J44" i="1"/>
  <c r="O44" i="1"/>
  <c r="W44" i="1"/>
  <c r="M44" i="1"/>
  <c r="M42" i="1"/>
  <c r="I42" i="1"/>
  <c r="O42" i="1"/>
  <c r="N42" i="1"/>
  <c r="W42" i="1"/>
  <c r="J42" i="1"/>
  <c r="W45" i="1"/>
  <c r="J45" i="1"/>
  <c r="I45" i="1"/>
  <c r="M45" i="1"/>
  <c r="N45" i="1"/>
  <c r="O45" i="1"/>
  <c r="I48" i="1"/>
  <c r="O48" i="1"/>
  <c r="N48" i="1"/>
  <c r="W48" i="1"/>
  <c r="J48" i="1"/>
  <c r="M48" i="1"/>
  <c r="W41" i="1"/>
  <c r="J41" i="1"/>
  <c r="I41" i="1"/>
  <c r="M41" i="1"/>
  <c r="N41" i="1"/>
  <c r="O41" i="1"/>
  <c r="M54" i="1"/>
  <c r="W54" i="1"/>
  <c r="J54" i="1"/>
  <c r="I54" i="1"/>
  <c r="O54" i="1"/>
  <c r="N54" i="1"/>
  <c r="M50" i="1"/>
  <c r="N50" i="1"/>
  <c r="W50" i="1"/>
  <c r="J50" i="1"/>
  <c r="O50" i="1"/>
  <c r="I50" i="1"/>
  <c r="P42" i="1"/>
  <c r="I51" i="1"/>
  <c r="P54" i="1"/>
  <c r="I55" i="1"/>
  <c r="T42" i="1"/>
  <c r="J43" i="1"/>
  <c r="W43" i="1"/>
  <c r="T46" i="1"/>
  <c r="J47" i="1"/>
  <c r="W47" i="1"/>
  <c r="T50" i="1"/>
  <c r="J51" i="1"/>
  <c r="W51" i="1"/>
  <c r="T54" i="1"/>
  <c r="J55" i="1"/>
  <c r="W55" i="1"/>
  <c r="P50" i="1"/>
  <c r="P57" i="1"/>
  <c r="P46" i="1"/>
  <c r="I47" i="1"/>
  <c r="P45" i="1"/>
  <c r="P49" i="1"/>
  <c r="P53" i="1"/>
  <c r="T41" i="1"/>
  <c r="M43" i="1"/>
  <c r="T45" i="1"/>
  <c r="M47" i="1"/>
  <c r="T49" i="1"/>
  <c r="M51" i="1"/>
  <c r="T53" i="1"/>
  <c r="M55" i="1"/>
  <c r="T57" i="1"/>
  <c r="V41" i="1"/>
  <c r="P48" i="1"/>
  <c r="N51" i="1"/>
  <c r="P52" i="1"/>
  <c r="N55" i="1"/>
  <c r="P56" i="1"/>
  <c r="I43" i="1"/>
  <c r="N43" i="1"/>
  <c r="P44" i="1"/>
  <c r="N47" i="1"/>
  <c r="B7" i="5"/>
  <c r="B6" i="5"/>
  <c r="B2" i="5"/>
  <c r="B8" i="5" l="1"/>
  <c r="B3" i="5"/>
  <c r="C64" i="5"/>
  <c r="B64" i="5"/>
  <c r="D64" i="5" s="1"/>
  <c r="C63" i="5"/>
  <c r="B63" i="5"/>
  <c r="D63" i="5" s="1"/>
  <c r="C62" i="5"/>
  <c r="B62" i="5"/>
  <c r="D62" i="5" s="1"/>
  <c r="C61" i="5"/>
  <c r="B61" i="5"/>
  <c r="D61" i="5" s="1"/>
  <c r="C60" i="5"/>
  <c r="B60" i="5"/>
  <c r="D60" i="5" s="1"/>
  <c r="C59" i="5"/>
  <c r="B59" i="5"/>
  <c r="D59" i="5" s="1"/>
  <c r="C58" i="5"/>
  <c r="B58" i="5"/>
  <c r="D58" i="5" s="1"/>
  <c r="C57" i="5"/>
  <c r="B57" i="5"/>
  <c r="D57" i="5" s="1"/>
  <c r="C56" i="5"/>
  <c r="B56" i="5"/>
  <c r="D56" i="5" s="1"/>
  <c r="C55" i="5"/>
  <c r="B55" i="5"/>
  <c r="D55" i="5" s="1"/>
  <c r="C54" i="5"/>
  <c r="B54" i="5"/>
  <c r="D54" i="5" s="1"/>
  <c r="C53" i="5"/>
  <c r="B53" i="5"/>
  <c r="D53" i="5" s="1"/>
  <c r="C52" i="5"/>
  <c r="B52" i="5"/>
  <c r="D52" i="5" s="1"/>
  <c r="C51" i="5"/>
  <c r="B51" i="5"/>
  <c r="D51" i="5" s="1"/>
  <c r="C50" i="5"/>
  <c r="B50" i="5"/>
  <c r="D50" i="5" s="1"/>
  <c r="C49" i="5"/>
  <c r="B49" i="5"/>
  <c r="D49" i="5" s="1"/>
  <c r="C48" i="5"/>
  <c r="B48" i="5"/>
  <c r="D48" i="5" s="1"/>
  <c r="D47" i="5"/>
  <c r="C47" i="5"/>
  <c r="B47" i="5"/>
  <c r="C46" i="5"/>
  <c r="B46" i="5"/>
  <c r="D46" i="5" s="1"/>
  <c r="C45" i="5"/>
  <c r="B45" i="5"/>
  <c r="D45" i="5" s="1"/>
  <c r="C44" i="5"/>
  <c r="B44" i="5"/>
  <c r="D44" i="5" s="1"/>
  <c r="C43" i="5"/>
  <c r="B43" i="5"/>
  <c r="D43" i="5" s="1"/>
  <c r="C42" i="5"/>
  <c r="B42" i="5"/>
  <c r="D42" i="5" s="1"/>
  <c r="C41" i="5"/>
  <c r="B41" i="5"/>
  <c r="D41" i="5" s="1"/>
  <c r="C40" i="5"/>
  <c r="B40" i="5"/>
  <c r="D40" i="5" s="1"/>
  <c r="C39" i="5"/>
  <c r="B39" i="5"/>
  <c r="D39" i="5" s="1"/>
  <c r="C38" i="5"/>
  <c r="B38" i="5"/>
  <c r="D38" i="5" s="1"/>
  <c r="C37" i="5"/>
  <c r="B37" i="5"/>
  <c r="D37" i="5" s="1"/>
  <c r="C36" i="5"/>
  <c r="B36" i="5"/>
  <c r="D36" i="5" s="1"/>
  <c r="C35" i="5"/>
  <c r="B35" i="5"/>
  <c r="D35" i="5" s="1"/>
  <c r="C34" i="5"/>
  <c r="B34" i="5"/>
  <c r="D34" i="5" s="1"/>
  <c r="C33" i="5"/>
  <c r="B33" i="5"/>
  <c r="D33" i="5" s="1"/>
  <c r="L58" i="1"/>
  <c r="G58" i="1"/>
  <c r="E58" i="1"/>
  <c r="H58" i="1" s="1"/>
  <c r="L43" i="5" s="1"/>
  <c r="D58" i="1"/>
  <c r="T58" i="1" s="1"/>
  <c r="L23" i="1"/>
  <c r="G23" i="1"/>
  <c r="E23" i="1"/>
  <c r="H23" i="1" s="1"/>
  <c r="D23" i="1"/>
  <c r="V23" i="1" s="1"/>
  <c r="G22" i="1"/>
  <c r="E22" i="1"/>
  <c r="H22" i="1" s="1"/>
  <c r="D22" i="1"/>
  <c r="T22" i="1" s="1"/>
  <c r="L21" i="1"/>
  <c r="G21" i="1"/>
  <c r="E21" i="1"/>
  <c r="H21" i="1" s="1"/>
  <c r="D21" i="1"/>
  <c r="V21" i="1" s="1"/>
  <c r="L20" i="1"/>
  <c r="G20" i="1"/>
  <c r="E20" i="1"/>
  <c r="H20" i="1" s="1"/>
  <c r="I20" i="1" s="1"/>
  <c r="D20" i="1"/>
  <c r="T20" i="1" s="1"/>
  <c r="L19" i="1"/>
  <c r="G19" i="1"/>
  <c r="E19" i="1"/>
  <c r="H19" i="1" s="1"/>
  <c r="D19" i="1"/>
  <c r="V19" i="1" s="1"/>
  <c r="G18" i="1"/>
  <c r="E18" i="1"/>
  <c r="H18" i="1" s="1"/>
  <c r="D18" i="1"/>
  <c r="T18" i="1" s="1"/>
  <c r="L17" i="1"/>
  <c r="G17" i="1"/>
  <c r="E17" i="1"/>
  <c r="H17" i="1" s="1"/>
  <c r="D17" i="1"/>
  <c r="V17" i="1" s="1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G14" i="1"/>
  <c r="E14" i="1"/>
  <c r="H14" i="1" s="1"/>
  <c r="D14" i="1"/>
  <c r="T14" i="1" s="1"/>
  <c r="L62" i="5" l="1"/>
  <c r="L64" i="5"/>
  <c r="L56" i="5"/>
  <c r="L48" i="5"/>
  <c r="L35" i="5"/>
  <c r="L50" i="5"/>
  <c r="L52" i="5"/>
  <c r="L58" i="5"/>
  <c r="L54" i="5"/>
  <c r="L60" i="5"/>
  <c r="L53" i="5"/>
  <c r="L63" i="5"/>
  <c r="L37" i="5"/>
  <c r="L41" i="5"/>
  <c r="L33" i="5"/>
  <c r="L38" i="5"/>
  <c r="L40" i="5"/>
  <c r="L42" i="5"/>
  <c r="L44" i="5"/>
  <c r="L46" i="5"/>
  <c r="L34" i="5"/>
  <c r="L36" i="5"/>
  <c r="M58" i="1"/>
  <c r="M18" i="1"/>
  <c r="I18" i="1"/>
  <c r="M22" i="1"/>
  <c r="I22" i="1"/>
  <c r="P15" i="1"/>
  <c r="I58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N58" i="1"/>
  <c r="V58" i="1"/>
  <c r="J18" i="1"/>
  <c r="O18" i="1"/>
  <c r="W18" i="1"/>
  <c r="T19" i="1"/>
  <c r="J20" i="1"/>
  <c r="O20" i="1"/>
  <c r="W20" i="1"/>
  <c r="T21" i="1"/>
  <c r="J22" i="1"/>
  <c r="O22" i="1"/>
  <c r="W22" i="1"/>
  <c r="T23" i="1"/>
  <c r="J58" i="1"/>
  <c r="O58" i="1"/>
  <c r="W58" i="1"/>
  <c r="P18" i="1"/>
  <c r="P20" i="1"/>
  <c r="P22" i="1"/>
  <c r="P58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C16" i="5"/>
  <c r="B16" i="5"/>
  <c r="D16" i="5" s="1"/>
  <c r="L57" i="5" l="1"/>
  <c r="L51" i="5"/>
  <c r="L39" i="5"/>
  <c r="L47" i="5"/>
  <c r="L45" i="5"/>
  <c r="L59" i="5"/>
  <c r="L49" i="5"/>
  <c r="L55" i="5"/>
  <c r="B6" i="1"/>
  <c r="G13" i="1"/>
  <c r="E13" i="1"/>
  <c r="H13" i="1" s="1"/>
  <c r="D13" i="1"/>
  <c r="V13" i="1" s="1"/>
  <c r="W13" i="1" l="1"/>
  <c r="N13" i="1"/>
  <c r="I13" i="1"/>
  <c r="M13" i="1"/>
  <c r="O13" i="1"/>
  <c r="J13" i="1"/>
  <c r="L13" i="1"/>
  <c r="P13" i="1"/>
  <c r="T13" i="1"/>
  <c r="C32" i="5"/>
  <c r="B32" i="5"/>
  <c r="D32" i="5" s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L31" i="5" l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L61" i="5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L16" i="5" l="1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60" i="1"/>
  <c r="K12" i="5" l="1"/>
  <c r="H12" i="5"/>
  <c r="V12" i="5"/>
  <c r="T12" i="5"/>
  <c r="U12" i="5"/>
  <c r="I12" i="5"/>
  <c r="L12" i="5"/>
  <c r="S12" i="5"/>
  <c r="R3" i="1" l="1"/>
  <c r="D1" i="1"/>
  <c r="F6" i="1"/>
  <c r="T60" i="1"/>
  <c r="T13" i="5"/>
  <c r="T7" i="1" l="1"/>
  <c r="W60" i="1"/>
  <c r="G6" i="1" l="1"/>
  <c r="H13" i="5"/>
  <c r="S13" i="5"/>
  <c r="V13" i="5"/>
  <c r="L13" i="5"/>
  <c r="K13" i="5"/>
  <c r="U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60" i="1"/>
  <c r="I60" i="1"/>
  <c r="N60" i="1"/>
  <c r="J60" i="1"/>
  <c r="P60" i="1"/>
  <c r="Q7" i="1" l="1"/>
  <c r="M68" i="3" s="1"/>
  <c r="L7" i="1"/>
  <c r="G68" i="3" s="1"/>
  <c r="K68" i="3"/>
  <c r="J68" i="3"/>
  <c r="K60" i="1"/>
  <c r="M6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<sst xmlns="http://schemas.openxmlformats.org/spreadsheetml/2006/main" count="631" uniqueCount="425">
  <si>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</si>
  <si>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</si>
  <si>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</si>
  <si>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</si>
  <si>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</si>
  <si>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</si>
  <si>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</si>
  <si>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</si>
  <si>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</si>
  <si>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</si>
  <si>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</si>
  <si>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</si>
  <si>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</si>
  <si>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</si>
  <si>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</si>
  <si>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</si>
  <si>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</si>
  <si>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</si>
  <si>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</si>
  <si>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</si>
  <si>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</si>
  <si>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</si>
  <si>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</si>
  <si>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</si>
  <si>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</si>
  <si>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</si>
  <si>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</si>
  <si>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</si>
  <si>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</si>
  <si>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</si>
  <si>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</si>
  <si>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</si>
  <si>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</si>
  <si>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</si>
  <si>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</si>
  <si>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</si>
  <si>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</si>
  <si>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</si>
  <si>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</si>
  <si>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</si>
  <si>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</si>
  <si>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</si>
  <si>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</si>
  <si>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</si>
  <si>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</si>
  <si>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</si>
  <si>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</si>
  <si>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</si>
  <si>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</si>
  <si>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</si>
  <si>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</si>
  <si>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</si>
  <si>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</si>
  <si>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</si>
  <si>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</si>
  <si>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</si>
  <si>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</si>
  <si>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</si>
  <si>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</si>
  <si>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</si>
  <si>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</si>
  <si>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</si>
  <si>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</si>
  <si>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</si>
  <si>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</si>
  <si>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</si>
  <si>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</si>
  <si>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</si>
  <si>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</si>
  <si>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</si>
  <si>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</si>
  <si>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</si>
  <si>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</si>
  <si>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</si>
  <si>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</si>
  <si>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</si>
  <si>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</si>
  <si>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</si>
  <si>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</si>
  <si>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</si>
  <si>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</si>
  <si>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</si>
  <si>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</si>
  <si>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</si>
  <si>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</si>
  <si>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</si>
  <si>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</si>
  <si>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</si>
  <si>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</si>
  <si>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</si>
  <si>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</si>
  <si>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</si>
  <si>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</si>
  <si>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</si>
  <si>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</si>
  <si>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</si>
  <si>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</si>
  <si>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</si>
  <si>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</si>
  <si>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</si>
  <si>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</si>
  <si>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</si>
  <si>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</si>
  <si>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</si>
  <si>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</si>
  <si>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</si>
  <si>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</si>
  <si>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</si>
  <si>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</si>
  <si>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</si>
  <si>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</si>
  <si>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</si>
  <si>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</si>
  <si>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</si>
  <si>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</si>
  <si>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</si>
  <si>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</si>
  <si>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</si>
  <si>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</si>
  <si>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</si>
  <si>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</si>
  <si>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</si>
  <si>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</si>
  <si>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</si>
  <si>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</si>
  <si>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</si>
  <si>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</si>
  <si>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</si>
  <si>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</si>
  <si>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</si>
  <si>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</si>
  <si>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</si>
  <si>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</si>
  <si>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</si>
  <si>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</si>
  <si>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</si>
  <si>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</si>
  <si>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</si>
  <si>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</si>
  <si>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</si>
  <si>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</si>
  <si>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</si>
  <si>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</si>
  <si>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</si>
  <si>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</si>
  <si>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</si>
  <si>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</si>
  <si>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</si>
  <si>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</si>
  <si>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</si>
  <si>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</si>
  <si>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</si>
  <si>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</si>
  <si>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</si>
  <si>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</si>
  <si>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</si>
  <si>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</si>
  <si>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</si>
  <si>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</si>
  <si>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</si>
  <si>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</si>
  <si>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</si>
  <si>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</si>
  <si>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</si>
  <si>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</si>
  <si>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</si>
  <si>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</si>
  <si>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</si>
  <si>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</si>
  <si>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</si>
  <si>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</si>
  <si>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</si>
  <si>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</si>
  <si>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</si>
  <si>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</si>
  <si>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</si>
  <si>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</si>
  <si>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</si>
  <si>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</si>
  <si>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</si>
  <si>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</si>
  <si>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</si>
  <si>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</si>
  <si>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</si>
  <si>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</si>
  <si>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</si>
  <si>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</si>
  <si>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</si>
  <si>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</si>
  <si>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</si>
  <si>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</si>
  <si>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</si>
  <si>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</si>
  <si>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</si>
  <si>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</si>
  <si>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</si>
  <si>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</si>
  <si>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</si>
  <si>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</si>
  <si>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</si>
  <si>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</si>
  <si>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</si>
  <si>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</si>
  <si>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</si>
  <si>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</si>
  <si>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</si>
  <si>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</si>
  <si>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</si>
  <si>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</si>
  <si>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</si>
  <si>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</si>
  <si>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</si>
  <si>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</si>
  <si>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</si>
  <si>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</si>
  <si>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</si>
  <si>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</si>
  <si>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</si>
  <si>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</si>
  <si>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</si>
  <si>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</si>
  <si>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</si>
  <si>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</si>
  <si>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</si>
  <si>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</si>
  <si>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</si>
  <si>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</si>
  <si>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</si>
  <si>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</si>
  <si>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</si>
  <si>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</si>
  <si>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</si>
  <si>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</si>
  <si>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</si>
  <si>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</si>
  <si>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</si>
  <si>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</si>
  <si>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</si>
  <si>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</si>
  <si>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</si>
  <si>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</si>
  <si>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</si>
  <si>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</si>
  <si>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</si>
  <si>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</si>
  <si>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</si>
  <si>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</si>
  <si>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</si>
  <si>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</si>
  <si>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</si>
  <si>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</si>
  <si>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</si>
  <si>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</si>
  <si>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</si>
  <si>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</si>
  <si>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</si>
  <si>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</si>
  <si>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</si>
  <si>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</si>
  <si>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</si>
  <si>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</si>
  <si>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</si>
  <si>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</si>
  <si>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</si>
  <si>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</si>
  <si>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</si>
  <si>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</si>
  <si>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</si>
  <si>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</si>
  <si>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</si>
  <si>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</si>
  <si>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</si>
  <si>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</si>
  <si>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</si>
  <si>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</si>
  <si>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</si>
  <si>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</si>
  <si>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</si>
  <si>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</si>
  <si>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</si>
  <si>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</si>
  <si>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</si>
  <si>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</si>
  <si>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</si>
  <si>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</si>
  <si>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</si>
  <si>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</si>
  <si>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</si>
  <si>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</si>
  <si>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</si>
  <si>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</si>
  <si>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</si>
  <si>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</si>
  <si>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</si>
  <si>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</si>
  <si>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</si>
  <si>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</si>
  <si>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</si>
  <si>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</si>
  <si>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</si>
  <si>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</si>
  <si>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</si>
  <si>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</si>
  <si>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</si>
  <si>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</si>
  <si>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</si>
  <si>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</si>
  <si>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</si>
  <si>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</si>
  <si>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</si>
  <si>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</si>
  <si>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</si>
  <si>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</si>
  <si>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</si>
  <si>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</si>
  <si>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</si>
  <si>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</si>
  <si>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</si>
  <si>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</si>
  <si>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</si>
  <si>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</si>
  <si>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</si>
  <si>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</si>
  <si>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</si>
  <si>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</si>
  <si>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</si>
  <si>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</si>
  <si>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</si>
  <si>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</si>
  <si>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</si>
  <si>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</si>
  <si>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</si>
  <si>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</si>
  <si>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</si>
  <si>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</si>
  <si>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</si>
  <si>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</si>
  <si>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</si>
  <si>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</si>
  <si>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</si>
  <si>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</si>
  <si>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</si>
  <si>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</si>
  <si>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</si>
  <si>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</si>
  <si>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</si>
  <si>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</si>
  <si>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</si>
  <si>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</si>
  <si>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</si>
  <si>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</si>
  <si>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INVOICE_PARENT_ID</t>
  </si>
  <si>
    <t>FOB</t>
  </si>
  <si>
    <t>FREIGHT</t>
  </si>
  <si>
    <t>INSURANCE</t>
  </si>
  <si>
    <t>CIF</t>
  </si>
  <si>
    <t>CEPT_TYPE</t>
  </si>
  <si>
    <t>SUPPLIER_NO</t>
  </si>
  <si>
    <t>FOB_VN</t>
  </si>
  <si>
    <t>CIF_VN</t>
  </si>
  <si>
    <t>PERIOD_ID</t>
  </si>
  <si>
    <t>int?</t>
  </si>
  <si>
    <t>long?</t>
  </si>
  <si>
    <t>DateTime?</t>
  </si>
  <si>
    <t>TimeSpan?</t>
  </si>
  <si>
    <t>decimal?</t>
  </si>
  <si>
    <t>byte?</t>
  </si>
  <si>
    <t>PART_NO</t>
  </si>
  <si>
    <t>VARCHAR(12)</t>
  </si>
  <si>
    <t>LOT_NO</t>
  </si>
  <si>
    <t>VARCHAR(10)</t>
  </si>
  <si>
    <t>FIXLOT</t>
  </si>
  <si>
    <t>VARCHAR(4)</t>
  </si>
  <si>
    <t>CASE_NO</t>
  </si>
  <si>
    <t>VARCHAR(30)</t>
  </si>
  <si>
    <t>MODULE_NO</t>
  </si>
  <si>
    <t>DECIMAL(14,5)</t>
  </si>
  <si>
    <t>CONTAINER_NO</t>
  </si>
  <si>
    <t>VARCHAR(15)</t>
  </si>
  <si>
    <t>INVOICE_ID</t>
  </si>
  <si>
    <t>VARCHAR(10</t>
  </si>
  <si>
    <t>FI</t>
  </si>
  <si>
    <t>DECIMAL(18,5)</t>
  </si>
  <si>
    <t>THC</t>
  </si>
  <si>
    <t>TAX</t>
  </si>
  <si>
    <t>TAX_RATE</t>
  </si>
  <si>
    <t>DECIMAL(7,5)</t>
  </si>
  <si>
    <t>VAT</t>
  </si>
  <si>
    <t>VAT_RATE</t>
  </si>
  <si>
    <t>INLAND</t>
  </si>
  <si>
    <t>USAGE_QTY</t>
  </si>
  <si>
    <t>PART_NAME</t>
  </si>
  <si>
    <t>VARCHAR(300)</t>
  </si>
  <si>
    <t>CARFAMILY_CODE</t>
  </si>
  <si>
    <t>PART_NET_WEIGHT</t>
  </si>
  <si>
    <t>DECIMAL(18,4)</t>
  </si>
  <si>
    <t>ORDER_NO</t>
  </si>
  <si>
    <t>FIRMPACKINGMONTH</t>
  </si>
  <si>
    <t>DATE</t>
  </si>
  <si>
    <t>REEXPORT_CODE</t>
  </si>
  <si>
    <t>VARCHAR(2)</t>
  </si>
  <si>
    <t>FREIGHT_VN</t>
  </si>
  <si>
    <t>INSURANCE_VN</t>
  </si>
  <si>
    <t>FI_VN</t>
  </si>
  <si>
    <t>THC_VN</t>
  </si>
  <si>
    <t>TAX_VN</t>
  </si>
  <si>
    <t>VAT_VN</t>
  </si>
  <si>
    <t>INLAND_VN</t>
  </si>
  <si>
    <t>PERIOD_DATE</t>
  </si>
  <si>
    <t>DECIMAL(19,5)</t>
  </si>
  <si>
    <t>HS_CODE</t>
  </si>
  <si>
    <t>VARCHAR(20)</t>
  </si>
  <si>
    <t>PARTNAME_VN</t>
  </si>
  <si>
    <t>CAR_NAME</t>
  </si>
  <si>
    <t>VARCHAR(200)</t>
  </si>
  <si>
    <t>PMHIST_ID</t>
  </si>
  <si>
    <t>PRE_CUSTOMS_ID</t>
  </si>
  <si>
    <t>ECUS5_TAX_RATE</t>
  </si>
  <si>
    <t>ECUS5_VAT_RATE</t>
  </si>
  <si>
    <t>ECUS5_HS_CODE</t>
  </si>
  <si>
    <t>DECLARE_TYPE</t>
  </si>
  <si>
    <t>VARCHAR(1)</t>
  </si>
  <si>
    <t>InvCkdInvoiceDetails</t>
  </si>
  <si>
    <t>InvoiceDetails</t>
  </si>
  <si>
    <t>Invoice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</si>
</sst>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C68" sqref="C68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71</v>
      </c>
    </row>
    <row r="2" spans="1:7" ht="15.5" x14ac:dyDescent="0.35">
      <c r="A2" s="1"/>
      <c r="B2" s="25" t="s">
        <v>193</v>
      </c>
    </row>
    <row r="3" spans="1:7" x14ac:dyDescent="0.35">
      <c r="A3" s="1"/>
      <c r="B3" s="1" t="s">
        <v>74</v>
      </c>
    </row>
    <row r="4" spans="1:7" x14ac:dyDescent="0.35">
      <c r="A4" s="1"/>
      <c r="B4" t="s">
        <v>73</v>
      </c>
    </row>
    <row r="5" spans="1:7" x14ac:dyDescent="0.35">
      <c r="A5" s="1"/>
      <c r="B5" t="s">
        <v>76</v>
      </c>
    </row>
    <row r="6" spans="1:7" x14ac:dyDescent="0.35">
      <c r="A6" s="1"/>
      <c r="B6" t="s">
        <v>84</v>
      </c>
    </row>
    <row r="7" spans="1:7" x14ac:dyDescent="0.3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5">
      <c r="A8" s="1"/>
      <c r="C8" t="s">
        <v>86</v>
      </c>
      <c r="F8" s="1" t="s">
        <v>230</v>
      </c>
      <c r="G8" t="s">
        <v>230</v>
      </c>
    </row>
    <row r="9" spans="1:7" x14ac:dyDescent="0.35">
      <c r="A9" s="1"/>
      <c r="C9" t="s">
        <v>85</v>
      </c>
      <c r="F9" s="1" t="s">
        <v>95</v>
      </c>
      <c r="G9" t="s">
        <v>95</v>
      </c>
    </row>
    <row r="10" spans="1:7" x14ac:dyDescent="0.35">
      <c r="A10" s="1"/>
      <c r="D10" t="s">
        <v>86</v>
      </c>
      <c r="F10" s="1" t="s">
        <v>230</v>
      </c>
      <c r="G10" t="s">
        <v>281</v>
      </c>
    </row>
    <row r="11" spans="1:7" x14ac:dyDescent="0.35">
      <c r="A11" s="1"/>
      <c r="D11" t="s">
        <v>87</v>
      </c>
      <c r="F11" s="1" t="s">
        <v>96</v>
      </c>
      <c r="G11" t="s">
        <v>282</v>
      </c>
    </row>
    <row r="12" spans="1:7" x14ac:dyDescent="0.35">
      <c r="A12" s="1"/>
      <c r="D12" t="s">
        <v>88</v>
      </c>
      <c r="F12" s="1" t="s">
        <v>97</v>
      </c>
      <c r="G12" t="s">
        <v>283</v>
      </c>
    </row>
    <row r="13" spans="1:7" x14ac:dyDescent="0.35">
      <c r="A13" s="1"/>
      <c r="D13" t="s">
        <v>89</v>
      </c>
      <c r="F13" s="1" t="s">
        <v>98</v>
      </c>
      <c r="G13" t="s">
        <v>284</v>
      </c>
    </row>
    <row r="14" spans="1:7" x14ac:dyDescent="0.35">
      <c r="A14" s="1"/>
      <c r="D14" t="s">
        <v>90</v>
      </c>
      <c r="F14" s="1" t="s">
        <v>99</v>
      </c>
      <c r="G14" t="s">
        <v>285</v>
      </c>
    </row>
    <row r="15" spans="1:7" x14ac:dyDescent="0.35">
      <c r="A15" s="1"/>
      <c r="D15" t="s">
        <v>91</v>
      </c>
      <c r="F15" s="1" t="s">
        <v>100</v>
      </c>
      <c r="G15" t="s">
        <v>286</v>
      </c>
    </row>
    <row r="16" spans="1:7" ht="12" customHeight="1" x14ac:dyDescent="0.3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5">
      <c r="A17" s="1"/>
      <c r="D17" t="s">
        <v>301</v>
      </c>
      <c r="F17" s="1" t="s">
        <v>302</v>
      </c>
      <c r="G17" t="s">
        <v>303</v>
      </c>
    </row>
    <row r="18" spans="1:7" x14ac:dyDescent="0.35">
      <c r="A18" s="1"/>
      <c r="D18" t="s">
        <v>346</v>
      </c>
      <c r="F18" s="1" t="s">
        <v>348</v>
      </c>
      <c r="G18" t="s">
        <v>347</v>
      </c>
    </row>
    <row r="19" spans="1:7" x14ac:dyDescent="0.35">
      <c r="A19" s="1"/>
      <c r="C19" t="s">
        <v>88</v>
      </c>
      <c r="F19" s="1" t="s">
        <v>97</v>
      </c>
      <c r="G19" t="s">
        <v>97</v>
      </c>
    </row>
    <row r="20" spans="1:7" x14ac:dyDescent="0.35">
      <c r="A20" s="1"/>
      <c r="D20" t="s">
        <v>92</v>
      </c>
      <c r="F20" s="1" t="s">
        <v>111</v>
      </c>
      <c r="G20" t="s">
        <v>288</v>
      </c>
    </row>
    <row r="21" spans="1:7" x14ac:dyDescent="0.35">
      <c r="A21" s="1"/>
      <c r="D21" t="s">
        <v>93</v>
      </c>
      <c r="F21" s="1" t="s">
        <v>101</v>
      </c>
      <c r="G21" t="s">
        <v>289</v>
      </c>
    </row>
    <row r="22" spans="1:7" x14ac:dyDescent="0.35">
      <c r="A22" s="1"/>
      <c r="C22" t="s">
        <v>89</v>
      </c>
      <c r="F22" s="1" t="s">
        <v>98</v>
      </c>
      <c r="G22" t="s">
        <v>98</v>
      </c>
    </row>
    <row r="23" spans="1:7" x14ac:dyDescent="0.35">
      <c r="A23" s="1"/>
      <c r="D23" t="s">
        <v>92</v>
      </c>
      <c r="F23" s="1" t="s">
        <v>111</v>
      </c>
      <c r="G23" t="s">
        <v>298</v>
      </c>
    </row>
    <row r="24" spans="1:7" x14ac:dyDescent="0.35">
      <c r="A24" s="1"/>
      <c r="C24" t="s">
        <v>87</v>
      </c>
      <c r="F24" s="1" t="s">
        <v>96</v>
      </c>
      <c r="G24" t="s">
        <v>96</v>
      </c>
    </row>
    <row r="25" spans="1:7" x14ac:dyDescent="0.35">
      <c r="A25" s="1"/>
      <c r="D25" t="s">
        <v>92</v>
      </c>
      <c r="F25" s="1" t="s">
        <v>111</v>
      </c>
      <c r="G25" t="s">
        <v>297</v>
      </c>
    </row>
    <row r="26" spans="1:7" x14ac:dyDescent="0.35">
      <c r="A26" s="1"/>
      <c r="C26" t="s">
        <v>90</v>
      </c>
      <c r="F26" s="1" t="s">
        <v>99</v>
      </c>
      <c r="G26" t="s">
        <v>99</v>
      </c>
    </row>
    <row r="27" spans="1:7" x14ac:dyDescent="0.35">
      <c r="A27" s="1"/>
      <c r="C27" t="s">
        <v>266</v>
      </c>
      <c r="F27" s="1" t="s">
        <v>267</v>
      </c>
      <c r="G27" t="s">
        <v>267</v>
      </c>
    </row>
    <row r="28" spans="1:7" x14ac:dyDescent="0.35">
      <c r="A28" s="1"/>
      <c r="D28" t="s">
        <v>268</v>
      </c>
      <c r="F28" s="1" t="s">
        <v>270</v>
      </c>
      <c r="G28" t="s">
        <v>290</v>
      </c>
    </row>
    <row r="29" spans="1:7" x14ac:dyDescent="0.35">
      <c r="A29" s="1"/>
      <c r="D29" t="s">
        <v>271</v>
      </c>
      <c r="F29" s="1" t="s">
        <v>269</v>
      </c>
      <c r="G29" t="s">
        <v>291</v>
      </c>
    </row>
    <row r="30" spans="1:7" x14ac:dyDescent="0.35">
      <c r="A30" s="1"/>
      <c r="D30" t="s">
        <v>272</v>
      </c>
      <c r="F30" s="1" t="s">
        <v>275</v>
      </c>
      <c r="G30" t="s">
        <v>292</v>
      </c>
    </row>
    <row r="31" spans="1:7" x14ac:dyDescent="0.35">
      <c r="A31" s="1"/>
      <c r="D31" t="s">
        <v>273</v>
      </c>
      <c r="F31" s="1" t="s">
        <v>276</v>
      </c>
      <c r="G31" t="s">
        <v>293</v>
      </c>
    </row>
    <row r="32" spans="1:7" x14ac:dyDescent="0.35">
      <c r="A32" s="1"/>
      <c r="D32" t="s">
        <v>274</v>
      </c>
      <c r="F32" s="1" t="s">
        <v>277</v>
      </c>
      <c r="G32" t="s">
        <v>294</v>
      </c>
    </row>
    <row r="33" spans="1:8" x14ac:dyDescent="0.35">
      <c r="A33" s="1"/>
      <c r="D33" t="s">
        <v>279</v>
      </c>
      <c r="F33" s="1" t="s">
        <v>278</v>
      </c>
      <c r="G33" t="s">
        <v>295</v>
      </c>
    </row>
    <row r="34" spans="1:8" x14ac:dyDescent="0.35">
      <c r="A34" s="1"/>
      <c r="C34" t="s">
        <v>301</v>
      </c>
      <c r="F34" s="1" t="s">
        <v>302</v>
      </c>
      <c r="G34" t="s">
        <v>302</v>
      </c>
    </row>
    <row r="35" spans="1:8" x14ac:dyDescent="0.35">
      <c r="A35" s="1"/>
      <c r="D35" t="s">
        <v>304</v>
      </c>
      <c r="F35" s="1" t="s">
        <v>305</v>
      </c>
      <c r="G35" t="s">
        <v>306</v>
      </c>
    </row>
    <row r="36" spans="1:8" x14ac:dyDescent="0.35">
      <c r="A36" s="1"/>
      <c r="D36" t="s">
        <v>93</v>
      </c>
      <c r="F36" s="1" t="s">
        <v>101</v>
      </c>
      <c r="G36" t="s">
        <v>307</v>
      </c>
    </row>
    <row r="37" spans="1:8" x14ac:dyDescent="0.35">
      <c r="A37" s="1"/>
      <c r="D37" t="s">
        <v>308</v>
      </c>
      <c r="F37" s="1" t="s">
        <v>309</v>
      </c>
      <c r="G37" t="s">
        <v>310</v>
      </c>
    </row>
    <row r="38" spans="1:8" x14ac:dyDescent="0.35">
      <c r="A38" s="1"/>
      <c r="D38" t="s">
        <v>311</v>
      </c>
      <c r="F38" s="1" t="s">
        <v>312</v>
      </c>
      <c r="G38" t="s">
        <v>313</v>
      </c>
    </row>
    <row r="39" spans="1:8" x14ac:dyDescent="0.35">
      <c r="A39" s="1"/>
      <c r="D39" t="s">
        <v>315</v>
      </c>
      <c r="F39" s="1" t="s">
        <v>316</v>
      </c>
      <c r="G39" t="s">
        <v>317</v>
      </c>
    </row>
    <row r="40" spans="1:8" x14ac:dyDescent="0.35">
      <c r="A40" s="1"/>
      <c r="C40" t="s">
        <v>314</v>
      </c>
      <c r="F40" s="1" t="s">
        <v>296</v>
      </c>
      <c r="G40" t="s">
        <v>296</v>
      </c>
    </row>
    <row r="41" spans="1:8" x14ac:dyDescent="0.3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5">
      <c r="A42" s="1"/>
      <c r="C42" t="s">
        <v>320</v>
      </c>
      <c r="F42" s="1" t="s">
        <v>333</v>
      </c>
      <c r="G42" t="s">
        <v>333</v>
      </c>
    </row>
    <row r="43" spans="1:8" x14ac:dyDescent="0.35">
      <c r="A43" s="1"/>
      <c r="D43" t="s">
        <v>321</v>
      </c>
      <c r="F43" s="1" t="s">
        <v>327</v>
      </c>
      <c r="G43" t="s">
        <v>334</v>
      </c>
    </row>
    <row r="44" spans="1:8" x14ac:dyDescent="0.35">
      <c r="A44" s="1"/>
      <c r="D44" t="s">
        <v>323</v>
      </c>
      <c r="F44" s="1" t="s">
        <v>328</v>
      </c>
      <c r="G44" t="s">
        <v>335</v>
      </c>
    </row>
    <row r="45" spans="1:8" x14ac:dyDescent="0.35">
      <c r="A45" s="1"/>
      <c r="D45" t="s">
        <v>322</v>
      </c>
      <c r="F45" s="1" t="s">
        <v>329</v>
      </c>
      <c r="G45" t="s">
        <v>336</v>
      </c>
    </row>
    <row r="46" spans="1:8" x14ac:dyDescent="0.35">
      <c r="A46" s="1"/>
      <c r="D46" t="s">
        <v>325</v>
      </c>
      <c r="F46" s="1" t="s">
        <v>330</v>
      </c>
      <c r="G46" t="s">
        <v>337</v>
      </c>
    </row>
    <row r="47" spans="1:8" x14ac:dyDescent="0.35">
      <c r="A47" s="1"/>
      <c r="D47" t="s">
        <v>343</v>
      </c>
      <c r="F47" s="1" t="s">
        <v>344</v>
      </c>
      <c r="G47" t="s">
        <v>345</v>
      </c>
    </row>
    <row r="48" spans="1:8" x14ac:dyDescent="0.35">
      <c r="A48" s="1"/>
      <c r="D48" t="s">
        <v>326</v>
      </c>
      <c r="F48" s="1" t="s">
        <v>331</v>
      </c>
      <c r="G48" t="s">
        <v>338</v>
      </c>
    </row>
    <row r="49" spans="1:7" x14ac:dyDescent="0.35">
      <c r="A49" s="1"/>
      <c r="D49" t="s">
        <v>324</v>
      </c>
      <c r="F49" s="1" t="s">
        <v>332</v>
      </c>
      <c r="G49" t="s">
        <v>339</v>
      </c>
    </row>
    <row r="50" spans="1:7" x14ac:dyDescent="0.35">
      <c r="A50" s="1"/>
      <c r="D50" t="s">
        <v>340</v>
      </c>
      <c r="F50" s="1" t="s">
        <v>341</v>
      </c>
      <c r="G50" t="s">
        <v>342</v>
      </c>
    </row>
    <row r="51" spans="1:7" x14ac:dyDescent="0.35">
      <c r="A51" s="1"/>
    </row>
    <row r="52" spans="1:7" x14ac:dyDescent="0.35">
      <c r="A52" s="1"/>
      <c r="B52" t="s">
        <v>83</v>
      </c>
    </row>
    <row r="53" spans="1:7" x14ac:dyDescent="0.35">
      <c r="A53" s="1"/>
      <c r="B53" t="s">
        <v>80</v>
      </c>
    </row>
    <row r="54" spans="1:7" x14ac:dyDescent="0.35">
      <c r="A54" s="1"/>
      <c r="C54" s="17" t="s">
        <v>77</v>
      </c>
    </row>
    <row r="55" spans="1:7" x14ac:dyDescent="0.35">
      <c r="A55" s="1"/>
      <c r="C55" s="16" t="s">
        <v>78</v>
      </c>
    </row>
    <row r="56" spans="1:7" x14ac:dyDescent="0.35">
      <c r="A56" s="1"/>
      <c r="C56" s="16" t="s">
        <v>79</v>
      </c>
    </row>
    <row r="57" spans="1:7" x14ac:dyDescent="0.35">
      <c r="A57" s="1"/>
      <c r="B57" t="s">
        <v>103</v>
      </c>
      <c r="C57" s="16"/>
    </row>
    <row r="58" spans="1:7" x14ac:dyDescent="0.35">
      <c r="A58" s="1"/>
      <c r="C58" s="16" t="s">
        <v>104</v>
      </c>
    </row>
    <row r="59" spans="1:7" x14ac:dyDescent="0.35">
      <c r="A59" s="1"/>
      <c r="C59" s="16" t="s">
        <v>105</v>
      </c>
    </row>
    <row r="60" spans="1:7" x14ac:dyDescent="0.35">
      <c r="A60" s="1"/>
      <c r="C60" s="16" t="s">
        <v>106</v>
      </c>
    </row>
    <row r="61" spans="1:7" x14ac:dyDescent="0.35">
      <c r="A61" s="1"/>
      <c r="C61" s="16" t="s">
        <v>108</v>
      </c>
    </row>
    <row r="62" spans="1:7" x14ac:dyDescent="0.35">
      <c r="A62" s="1"/>
      <c r="C62" s="16" t="s">
        <v>110</v>
      </c>
    </row>
    <row r="63" spans="1:7" x14ac:dyDescent="0.35">
      <c r="A63" s="1"/>
      <c r="C63" s="16" t="s">
        <v>109</v>
      </c>
    </row>
    <row r="64" spans="1:7" x14ac:dyDescent="0.35">
      <c r="A64" s="1"/>
      <c r="C64" s="16" t="s">
        <v>107</v>
      </c>
    </row>
    <row r="65" spans="2:14" ht="21" customHeight="1" x14ac:dyDescent="0.35">
      <c r="B65" s="19" t="s">
        <v>75</v>
      </c>
    </row>
    <row r="66" spans="2:14" ht="21" customHeight="1" x14ac:dyDescent="0.35">
      <c r="B66" s="59" t="s">
        <v>227</v>
      </c>
    </row>
    <row r="67" spans="2:14" ht="15" thickBot="1" x14ac:dyDescent="0.4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4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[Table("InvCkdInvoiceDetails")]
	public class InvCkdInvoiceDetails: FullAuditedEntity&lt;long&gt;, IEntity&lt;long&gt;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;
		public const int MaxCeptTypeLength = 10;
		public const int MaxPartNameLength = 300;
		public const int MaxCarfamilyCodeLength = 4;
		public const int MaxOrderNoLength = 12;
		public const int MaxReexportCodeLength = 2;
		public const int MaxStatusLength = 10;
		public const int MaxHsCodeLength = 20;
		public const int MaxPartnameVnLength = 300;
		public const int MaxCarNameLength = 200;
		public const int MaxEcus5HsCodeLength = 20;
		public const int MaxDeclareTypeLength = 10;
		public const int MaxIsActiveLength = 1;
		[StringLength(MaxPartNoLength)]
		public virtual string PartNo { get; set; }
		[StringLength(MaxLotNoLength)]
		public virtual string LotNo { get; set; }
		[StringLength(MaxFixlotLength)]
		public virtual string Fixlot { get; set; }
		[StringLength(MaxCaseNoLength)]
		public virtual string CaseNo { get; set; }
		[StringLength(MaxModuleNoLength)]
		public virtual string ModuleNo { get; set; }
		public virtual decimal? Insurance { get; set; }
		[StringLength(MaxContainerNoLength)]
		public virtual string ContainerNo { get; set; }
		public virtual long? InvoiceId { get; set; }
		[StringLength(MaxSupplierNoLength)]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[StringLength(MaxCeptTypeLength)]
		public virtual string CeptType { get; set; }
		[StringLength(MaxPartNameLength)]
		public virtual string PartName { get; set; }
		[StringLength(MaxCarfamilyCodeLength)]
		public virtual string CarfamilyCode { get; set; }
		public virtual decimal? PartNetWeight { get; set; }
		[StringLength(MaxOrderNoLength)]
		public virtual string OrderNo { get; set; }
		public virtual DateTime? Firmpackingmonth { get; set; }
		[StringLength(MaxReexportCodeLength)]
		public virtual string ReexportCode { get; set; }
		[StringLength(MaxStatusLength)]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[StringLength(MaxHsCodeLength)]
		public virtual string HsCode { get; set; }
		[StringLength(MaxPartnameVnLength)]
		public virtual string PartnameVn { get; set; }
		[StringLength(MaxCarNameLength)]
		public virtual string CarName { get; set; }
		public virtual long? PmhistId { get; set; }
		public virtual long? PreCustomsId { get; set; }
		public virtual int? Ecus5TaxRate { get; set; }
		public virtual int? Ecus5VatRate { get; set; }
		[StringLength(MaxEcus5HsCodeLength)]
		public virtual string Ecus5HsCode { get; set; }
		[StringLength(MaxDeclareTypeLength)]
		public virtual string DeclareType { get; set; }
		[StringLength(MaxIsActiveLength)]
		public virtual string IsActive { get; set; }
	}
}
</v>
      </c>
      <c r="D68" s="48" t="str">
        <f>A.Backend!O7</f>
        <v xml:space="preserve">		public const string Pages_Inventory_CKD_InvoiceDetails = "Pages.Inventory.CKD.InvoiceDetails";
		public const string Pages_Inventory_CKD_InvoiceDetails_CreateEdit = "Pages.Inventory.CKD.InvoiceDetails.CreateEdit";
		public const string Pages_Inventory_CKD_InvoiceDetails_Delete = "Pages.Inventory.CKD.InvoiceDetails.Delete";
</v>
      </c>
      <c r="E68" s="48" t="str">
        <f>A.Backend!N7</f>
        <v xml:space="preserve">		var perInvCkdInvoiceDetails = PARENTS.CreateChildPermission(AppPermissions.Pages_Inventory_CKD_InvoiceDetails, L( "InventoryCKDInvoiceDetails"), multiTenancySides: MultiTenancySides.Tenant);
		perInvCkdInvoiceDetails.CreateChildPermission(AppPermissions.Pages_Inventory_CKD_InvoiceDetails_CreateEdit, L( "InventoryCKDInvoiceDetailsCreateEdit"), multiTenancySides: MultiTenancySides.Tenant);
		perInvCkdInvoiceDetails.CreateChildPermission(AppPermissions.Pages_Inventory_CKD_InvoiceDetails_Delete, L( "InventoryCKDInvoiceDetailsDelete"), multiTenancySides: MultiTenancySides.Tenant);</v>
      </c>
      <c r="F68" s="48" t="str">
        <f>A.Backend!K7</f>
        <v>public virtual DbSet&lt;InvCkdInvoiceDetails&gt; InvCkdInvoiceDetailss { get; set; }</v>
      </c>
      <c r="G68" s="48" t="str">
        <f ca="1">A.Backend!L7</f>
        <v xml:space="preserve">namespace prod.Inventory.CKD
{
	public class InvCkdInvoiceDetailsConsts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;
		public const int MaxCeptTypeLength = 10;
		public const int MaxPartNameLength = 300;
		public const int MaxCarfamilyCodeLength = 4;
		public const int MaxOrderNoLength = 12;
		public const int MaxReexportCodeLength = 2;
		public const int MaxStatusLength = 10;
		public const int MaxHsCodeLength = 20;
		public const int MaxPartnameVnLength = 300;
		public const int MaxCarNameLength = 200;
		public const int MaxEcus5HsCodeLength = 20;
		public const int MaxDeclareTypeLength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InvCkdInvoiceDetailsDto : EntityDto&lt;long?&gt;	
	{
		public virtual string PartNo { get; set; }
		public virtual string LotNo { get; set; }
		public virtual string Fixlot { get; set; }
		public virtual string CaseNo { get; set; }
		public virtual string ModuleNo { get; set; }
		public virtual decimal? Insurance { get; set; }
		public virtual string ContainerNo { get; set; }
		public virtual long? InvoiceId { get; set; }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public virtual string CeptType { get; set; }
		public virtual string PartName { get; set; }
		public virtual string CarfamilyCode { get; set; }
		public virtual decimal? PartNetWeight { get; set; }
		public virtual string OrderNo { get; set; }
		public virtual DateTime? Firmpackingmonth { get; set; }
		public virtual string ReexportCode { get; set; }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public virtual string HsCode { get; set; }
		public virtual string PartnameVn { get; set; }
		public virtual string CarName { get; set; }
		public virtual long? PmhistId { get; set; }
		public virtual long? PreCustomsId { get; set; }
		public virtual int? Ecus5TaxRate { get; set; }
		public virtual int? Ecus5VatRate { get; set; }
		public virtual string Ecus5HsCode { get; set; }
		public virtual string DeclareType { get; set; }
		public virtual string IsActive { get; set; }
	}
	public class CreateOrEditInvCkdInvoiceDetailsDto : EntityDto&lt;long?&gt;	
	{
		[StringLength(InvCkdInvoiceDetailsConsts.MaxPartNoLength)]
		public virtual string PartNo { get; set; }
		[StringLength(InvCkdInvoiceDetailsConsts.MaxLotNoLength)]
		public virtual string LotNo { get; set; }
		[StringLength(InvCkdInvoiceDetailsConsts.MaxFixlotLength)]
		public virtual string Fixlot { get; set; }
		[StringLength(InvCkdInvoiceDetailsConsts.MaxCaseNoLength)]
		public virtual string CaseNo { get; set; }
		[StringLength(InvCkdInvoiceDetailsConsts.MaxModuleNoLength)]
		public virtual string ModuleNo { get; set; }
		public virtual decimal? Insurance { get; set; }
		[StringLength(InvCkdInvoiceDetailsConsts.MaxContainerNoLength)]
		public virtual string ContainerNo { get; set; }
		public virtual long? InvoiceId { get; set; }
		[StringLength(InvCkdInvoiceDetailsConsts.MaxSupplierNoLength)]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[StringLength(InvCkdInvoiceDetailsConsts.MaxCeptTypeLength)]
		public virtual string CeptType { get; set; }
		[StringLength(InvCkdInvoiceDetailsConsts.MaxPartNameLength)]
		public virtual string PartName { get; set; }
		[StringLength(InvCkdInvoiceDetailsConsts.MaxCarfamilyCodeLength)]
		public virtual string CarfamilyCode { get; set; }
		public virtual decimal? PartNetWeight { get; set; }
		[StringLength(InvCkdInvoiceDetailsConsts.MaxOrderNoLength)]
		public virtual string OrderNo { get; set; }
		public virtual DateTime? Firmpackingmonth { get; set; }
		[StringLength(InvCkdInvoiceDetailsConsts.MaxReexportCodeLength)]
		public virtual string ReexportCode { get; set; }
		[StringLength(InvCkdInvoiceDetailsConsts.MaxStatusLength)]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[StringLength(InvCkdInvoiceDetailsConsts.MaxHsCodeLength)]
		public virtual string HsCode { get; set; }
		[StringLength(InvCkdInvoiceDetailsConsts.MaxPartnameVnLength)]
		public virtual string PartnameVn { get; set; }
		[StringLength(InvCkdInvoiceDetailsConsts.MaxCarNameLength)]
		public virtual string CarName { get; set; }
		public virtual long? PmhistId { get; set; }
		public virtual long? PreCustomsId { get; set; }
		public virtual int? Ecus5TaxRate { get; set; }
		public virtual int? Ecus5VatRate { get; set; }
		[StringLength(InvCkdInvoiceDetailsConsts.MaxEcus5HsCodeLength)]
		public virtual string Ecus5HsCode { get; set; }
		[StringLength(InvCkdInvoiceDetailsConsts.MaxDeclareTypeLength)]
		public virtual string DeclareType { get; set; }
		[StringLength(InvCkdInvoiceDetailsConsts.MaxIsActiveLength)]
		public virtual string IsActive { get; set; }
	}
	public class GetInvCkdInvoiceDetailsInput : PagedAndSortedResultRequestDto	
	{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string CeptType { get; set; }
		public virtual string PartName { get; set; }
		public virtual string CarfamilyCode { get; set; }
		public virtual string OrderNo { get; set; }
		public virtual string ReexportCode { get; set; }
		public virtual string Status { get; set; }
		public virtual string HsCode { get; set; }
		public virtual string PartnameVn { get; set; }
		public virtual string CarName { get; set; }
		public virtual string Ecus5HsCode { get; set; }
		public virtual string DeclareType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InvCkdInvoiceDetailsExportInput{
		public virtual string PartNo { get; set; }
		public virtual string LotNo { get; set; }
		public virtual string Fixlot { get; set; }
		public virtual string CaseNo { get; set; }
		public virtual string ModuleNo { get; set; }
		public virtual decimal? Insurance { get; set; }
		public virtual string ContainerNo { get; set; }
		public virtual long? InvoiceId { get; set; }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public virtual string CeptType { get; set; }
		public virtual string PartName { get; set; }
		public virtual string CarfamilyCode { get; set; }
		public virtual decimal? PartNetWeight { get; set; }
		public virtual string OrderNo { get; set; }
		public virtual DateTime? Firmpackingmonth { get; set; }
		public virtual string ReexportCode { get; set; }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public virtual string HsCode { get; set; }
		public virtual string PartnameVn { get; set; }
		public virtual string CarName { get; set; }
		public virtual long? PmhistId { get; set; }
		public virtual long? PreCustomsId { get; set; }
		public virtual int? Ecus5TaxRate { get; set; }
		public virtual int? Ecus5VatRate { get; set; }
		public virtual string Ecus5HsCode { get; set; }
		public virtual string DeclareType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IInvCkdInvoiceDetailsAppService : IApplicationService
	{
		Task&lt;PagedResultDto&lt;InvCkdInvoiceDetailsDto&gt;&gt; GetAll(GetInvCkdInvoiceDetailsInput input);
		Task CreateOrEdit(CreateOrEditInvCkdInvoiceDetailsDto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IInvCkdInvoiceDetailsExcelExporter : IApplicationService
	{
		FileDto ExportToFile(List&lt;InvCkdInvoiceDetailsDto&gt; invckdinvoicedetails);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InvCkdInvoiceDetailsExcelExporter : NpoiExcelExporterBase, IInvCkdInvoiceDetailsExcelExporter
    {
        public InvCkdInvoiceDetailsExcelExporter(ITempFileCacheManager tempFileCacheManager) : base(tempFileCacheManager) { }
        public FileDto ExportToFile(List&lt;InvCkdInvoiceDetailsDto&gt; invoicedetails)
        {
            return CreateExcelPackage(
				"InventoryCKDInvoiceDetails.xlsx",
				excelPackage =&gt;
				 {
					var sheet = excelPackage.CreateSheet("InvoiceDetails");
					AddHeader(
								sheet,
								("PartNo"),
								("LotNo"),
								("Fixlot"),
								("CaseNo"),
								("ModuleNo"),
								("Insurance"),
								("ContainerNo"),
								("InvoiceId"),
								("SupplierNo"),
								("Fi"),
								("Fob"),
								("Freight"),
								("Thc"),
								("Cif"),
								("Tax"),
								("TaxRate"),
								("Vat"),
								("VatRate"),
								("Inland"),
								("UsageQty"),
								("CeptType"),
								("PartName"),
								("CarfamilyCode"),
								("PartNetWeight"),
								("OrderNo"),
								("Firmpackingmonth"),
								("ReexportCode"),
								("Status"),
								("FobVn"),
								("FreightVn"),
								("InsuranceVn"),
								("FiVn"),
								("ThcVn"),
								("CifVn"),
								("TaxVn"),
								("VatVn"),
								("InlandVn"),
								("InvoiceParentId"),
								("PeriodDate"),
								("PeriodId"),
								("HsCode"),
								("PartnameVn"),
								("CarName"),
								("PmhistId"),
								("PreCustomsId"),
								("Ecus5TaxRate"),
								("Ecus5VatRate"),
								("Ecus5HsCode"),
								("DeclareType"),
								("IsActive"),
							   );
					AddObjects(
						 sheet, 1, invoicedetails,                                       
								_ =&gt; _.PartNo,
								_ =&gt; _.LotNo,
								_ =&gt; _.Fixlot,
								_ =&gt; _.CaseNo,
								_ =&gt; _.ModuleNo,
								_ =&gt; _.Insurance,
								_ =&gt; _.ContainerNo,
								_ =&gt; _.InvoiceId,
								_ =&gt; _.SupplierNo,
								_ =&gt; _.Fi,
								_ =&gt; _.Fob,
								_ =&gt; _.Freight,
								_ =&gt; _.Thc,
								_ =&gt; _.Cif,
								_ =&gt; _.Tax,
								_ =&gt; _.TaxRate,
								_ =&gt; _.Vat,
								_ =&gt; _.VatRate,
								_ =&gt; _.Inland,
								_ =&gt; _.UsageQty,
								_ =&gt; _.CeptType,
								_ =&gt; _.PartName,
								_ =&gt; _.CarfamilyCode,
								_ =&gt; _.PartNetWeight,
								_ =&gt; _.OrderNo,
								_ =&gt; _.Firmpackingmonth,
								_ =&gt; _.ReexportCode,
								_ =&gt; _.Status,
								_ =&gt; _.FobVn,
								_ =&gt; _.FreightVn,
								_ =&gt; _.InsuranceVn,
								_ =&gt; _.FiVn,
								_ =&gt; _.ThcVn,
								_ =&gt; _.CifVn,
								_ =&gt; _.TaxVn,
								_ =&gt; _.VatVn,
								_ =&gt; _.InlandVn,
								_ =&gt; _.InvoiceParentId,
								_ =&gt; _.PeriodDate,
								_ =&gt; _.PeriodId,
								_ =&gt; _.HsCode,
								_ =&gt; _.PartnameVn,
								_ =&gt; _.CarName,
								_ =&gt; _.PmhistId,
								_ =&gt; _.PreCustomsId,
								_ =&gt; _.Ecus5TaxRate,
								_ =&gt; _.Ecus5VatRate,
								_ =&gt; _.Ecus5HsCode,
								_ =&gt; _.DeclareType,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[AbpAuthorize(AppPermissions.Pages_Inventory_CKD_InvoiceDetails)]
    public class InvCkdInvoiceDetailsAppService : vovinaAppServiceBase, IInvCkdInvoiceDetailsAppService
    {
        private readonly IDapperRepository&lt;InvCkdInvoiceDetails, long&gt; _dapperRepo;
        private readonly IRepository&lt;InvCkdInvoiceDetails, long&gt; _repo;
        private readonly IInvCkdInvoiceDetailsExcelExporter _calendarListExcelExporter;
        public InvCkdInvoiceDetailsAppService(IRepository&lt;InvCkdInvoiceDetails,long&gt; repo, 
                                         IDapperRepository&lt;InvCkdInvoiceDetails,long&gt; dapperRepo,
                                        IInvCkdInvoiceDetailsExcelExporter calendarListExcelExporter
            )
        {
            _repo = repo;
            _dapperRepo = dapperRepo;
            _calendarListExcelExporter = calendarListExcelExporter;
        }
        [AbpAuthorize(AppPermissions.Pages_Inventory_CKD_InvoiceDetails_CreateEdit)]
        public async Task CreateOrEdit(CreateOrEditInvCkdInvoiceDetailsDto input)
        {
            if (input.Id == null) await Create(input);
            else await Update(input);
        }
        //CREATE
        private async Task Create(CreateOrEditInvCkdInvoiceDetailsDto input)
        {          
            var mainObj = ObjectMapper.Map&lt;InvCkdInvoiceDetails&gt;(input);
            await CurrentUnitOfWork.GetDbContext&lt;vovinaDbContext&gt;().AddAsync(mainObj);
        }
        // EDIT
        private async Task Update(CreateOrEditInvCkdInvoiceDetailsDto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Task&lt;PagedResultDto&lt;InvCkdInvoiceDetailsDto&gt;&gt; GetAll(GetInvCkdInvoiceDetailsInput input)
        {
            var filtered = _repo.GetAll()
				.WhereIf(!string.IsNullOrWhiteSpace(input.PartNo), e =&gt; e.PartNo.Contains(input.PartNo))
				.WhereIf(!string.IsNullOrWhiteSpace(input.LotNo), e =&gt; e.LotNo.Contains(input.LotNo))
				.WhereIf(!string.IsNullOrWhiteSpace(input.Fixlot), e =&gt; e.Fixlot.Contains(input.Fixlot))
				.WhereIf(!string.IsNullOrWhiteSpace(input.CaseNo), e =&gt; e.CaseNo.Contains(input.CaseNo))
				.WhereIf(!string.IsNullOrWhiteSpace(input.ModuleNo), e =&gt; e.ModuleNo.Contains(input.ModuleNo))
				.WhereIf(!string.IsNullOrWhiteSpace(input.ContainerNo), e =&gt; e.ContainerNo.Contains(input.ContainerNo))
				.WhereIf(!string.IsNullOrWhiteSpace(input.SupplierNo), e =&gt; e.SupplierNo.Contains(input.SupplierNo))
				.WhereIf(!string.IsNullOrWhiteSpace(input.CeptType), e =&gt; e.CeptType.Contains(input.CeptType))
				.WhereIf(!string.IsNullOrWhiteSpace(input.PartName), e =&gt; e.PartName.Contains(input.PartName))
				.WhereIf(!string.IsNullOrWhiteSpace(input.CarfamilyCode), e =&gt; e.CarfamilyCode.Contains(input.CarfamilyCode))
				.WhereIf(!string.IsNullOrWhiteSpace(input.OrderNo), e =&gt; e.OrderNo.Contains(input.OrderNo))
				.WhereIf(!string.IsNullOrWhiteSpace(input.ReexportCode), e =&gt; e.ReexportCode.Contains(input.ReexportCode))
				.WhereIf(!string.IsNullOrWhiteSpace(input.Status), e =&gt; e.Status.Contains(input.Status))
				.WhereIf(!string.IsNullOrWhiteSpace(input.HsCode), e =&gt; e.HsCode.Contains(input.HsCode))
				.WhereIf(!string.IsNullOrWhiteSpace(input.PartnameVn), e =&gt; e.PartnameVn.Contains(input.PartnameVn))
				.WhereIf(!string.IsNullOrWhiteSpace(input.CarName), e =&gt; e.CarName.Contains(input.CarName))
				.WhereIf(!string.IsNullOrWhiteSpace(input.Ecus5HsCode), e =&gt; e.Ecus5HsCode.Contains(input.Ecus5HsCode))
				.WhereIf(!string.IsNullOrWhiteSpace(input.DeclareType), e =&gt; e.DeclareType.Contains(input.DeclareType))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InvCkdInvoiceDetailsDto
                        {
							Id = o.Id,
							PartNo = o.PartNo,
							LotNo = o.LotNo,
							Fixlot = o.Fixlot,
							CaseNo = o.CaseNo,
							ModuleNo = o.ModuleNo,
							Insurance = o.Insurance,
							ContainerNo = o.ContainerNo,
							InvoiceId = o.InvoiceId,
							SupplierNo = o.SupplierNo,
							Fi = o.Fi,
							Fob = o.Fob,
							Freight = o.Freight,
							Thc = o.Thc,
							Cif = o.Cif,
							Tax = o.Tax,
							TaxRate = o.TaxRate,
							Vat = o.Vat,
							VatRate = o.VatRate,
							Inland = o.Inland,
							UsageQty = o.UsageQty,
							CeptType = o.CeptType,
							PartName = o.PartName,
							CarfamilyCode = o.CarfamilyCode,
							PartNetWeight = o.PartNetWeight,
							OrderNo = o.OrderNo,
							Firmpackingmonth = o.Firmpackingmonth,
							ReexportCode = o.ReexportCode,
							Status = o.Status,
							FobVn = o.FobVn,
							FreightVn = o.FreightVn,
							InsuranceVn = o.InsuranceVn,
							FiVn = o.FiVn,
							ThcVn = o.ThcVn,
							CifVn = o.CifVn,
							TaxVn = o.TaxVn,
							VatVn = o.VatVn,
							InlandVn = o.InlandVn,
							InvoiceParentId = o.InvoiceParentId,
							PeriodDate = o.PeriodDate,
							PeriodId = o.PeriodId,
							HsCode = o.HsCode,
							PartnameVn = o.PartnameVn,
							CarName = o.CarName,
							PmhistId = o.PmhistId,
							PreCustomsId = o.PreCustomsId,
							Ecus5TaxRate = o.Ecus5TaxRate,
							Ecus5VatRate = o.Ecus5VatRate,
							Ecus5HsCode = o.Ecus5HsCode,
							DeclareType = o.DeclareType,
							IsActive = o.IsActive,
                        };
            var totalCount = await filtered.CountAsync();
			var paged = system.PageBy(input);
            return new PagedResultDto&lt;InvCkdInvoiceDetailsDto&gt;(
                totalCount,
                 await paged.ToListAsync()
            );
        }
        public async Task&lt;FileDto&gt; GetInvoiceDetailsToExcel(InvCkdInvoiceDetailsExportInput input)
        {
            var query = from o in _repo.GetAll()
                        select new InvCkdInvoiceDetailsDto
                        {
							Id = o.Id,
							PartNo = o.PartNo,
							LotNo = o.LotNo,
							Fixlot = o.Fixlot,
							CaseNo = o.CaseNo,
							ModuleNo = o.ModuleNo,
							Insurance = o.Insurance,
							ContainerNo = o.ContainerNo,
							InvoiceId = o.InvoiceId,
							SupplierNo = o.SupplierNo,
							Fi = o.Fi,
							Fob = o.Fob,
							Freight = o.Freight,
							Thc = o.Thc,
							Cif = o.Cif,
							Tax = o.Tax,
							TaxRate = o.TaxRate,
							Vat = o.Vat,
							VatRate = o.VatRate,
							Inland = o.Inland,
							UsageQty = o.UsageQty,
							CeptType = o.CeptType,
							PartName = o.PartName,
							CarfamilyCode = o.CarfamilyCode,
							PartNetWeight = o.PartNetWeight,
							OrderNo = o.OrderNo,
							Firmpackingmonth = o.Firmpackingmonth,
							ReexportCode = o.ReexportCode,
							Status = o.Status,
							FobVn = o.FobVn,
							FreightVn = o.FreightVn,
							InsuranceVn = o.InsuranceVn,
							FiVn = o.FiVn,
							ThcVn = o.ThcVn,
							CifVn = o.CifVn,
							TaxVn = o.TaxVn,
							VatVn = o.VatVn,
							InlandVn = o.InlandVn,
							InvoiceParentId = o.InvoiceParentId,
							PeriodDate = o.PeriodDate,
							PeriodId = o.PeriodId,
							HsCode = o.HsCode,
							PartnameVn = o.PartnameVn,
							CarName = o.CarName,
							PmhistId = o.PmhistId,
							PreCustomsId = o.PreCustomsId,
							Ecus5TaxRate = o.Ecus5TaxRate,
							Ecus5VatRate = o.Ecus5VatRate,
							Ecus5HsCode = o.Ecus5HsCode,
							DeclareType = o.DeclareType,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_dapperRepo.ExecuteAsync(InvCkdInvoiceDetailsConsts.SP_MST_WPT_CALENDAR_GENERATE);
       // }
    }
}</v>
      </c>
      <c r="N68" s="58" t="str">
        <f>A.Backend!U7</f>
        <v xml:space="preserve">  configuration.CreateMap&lt;InvCkdInvoiceDetailsDto, InvCkdInvoiceDetails&gt;();
  configuration.CreateMap&lt;InvCkdInvoiceDetails, InvCkdInvoiceDetailsDto&gt;();
  configuration.CreateMap&lt;CreateOrEditInvCkdInvoiceDetailsDto, InvCkdInvoiceDetails&gt;();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70</v>
      </c>
    </row>
    <row r="73" spans="2:14" ht="21" x14ac:dyDescent="0.5">
      <c r="B73" t="str">
        <f>B.Frontend!B8</f>
        <v>invoicedetails</v>
      </c>
      <c r="C73" s="66" t="str">
        <f>"create folder " &amp;B73</f>
        <v>create folder invoicedetails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5">
      <c r="B74" s="56" t="s">
        <v>225</v>
      </c>
      <c r="C74" s="28" t="str">
        <f>B.Frontend!H14</f>
        <v>invoicedetails.component.ts</v>
      </c>
      <c r="D74" s="28" t="str">
        <f>B.Frontend!I14</f>
        <v>invoicedetails.component.html</v>
      </c>
      <c r="E74" s="28" t="str">
        <f>B.Frontend!J14</f>
        <v>invoicedetails.component.less</v>
      </c>
      <c r="F74" s="28" t="str">
        <f>B.Frontend!K14</f>
        <v>create-or-edit-invoicedetails-modal.component.html</v>
      </c>
      <c r="G74" s="28" t="str">
        <f>B.Frontend!L14</f>
        <v>create-or-edit-invoicedetails-modal.component.ts</v>
      </c>
      <c r="H74" s="28" t="str">
        <f>B.Frontend!M14</f>
        <v>create-or-edit-invoicedetails-modal.component.less</v>
      </c>
      <c r="I74" s="28" t="str">
        <f>B.Frontend!N14</f>
        <v>invoicedetails.module.ts</v>
      </c>
      <c r="J74" s="28" t="str">
        <f>B.Frontend!O14</f>
        <v>invoicedetails-routing.module.ts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InvCkdInvoiceDetailsDto, InvCkdInvoiceDetailsServiceProxy } from '@shared/service-proxies/service-proxies';
import { finalize } from 'rxjs/internal/operators/finalize';
import { CreateOrEditInvoiceDetailsModalComponent } from './create-or-edit-invoicedetails-modal.component';
import { DatePipe } from '@angular/common';
import { FileDownloadService } from '@shared/utils/file-download.service';
import ceil from 'lodash-es/ceil';
import { Paginator } from 'primeng/paginator';
@Component({
    templateUrl: './invoicedetails.component.html',
    styleUrls: ['./invoicedetails.component.less'],
})
export class InvoiceDetailsComponent extends AppComponentBase implements OnInit {
    @ViewChild('createOrEditModalInvoiceDetails', { static: true }) createOrEditModalInvoiceDetails:| CreateOrEditInvoiceDetailsModalComponent|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InvCkdInvoiceDetailsDto = new InvCkdInvoiceDetailsDto();
    saveSelectedRow: InvCkdInvoiceDetailsDto = new InvCkdInvoiceDetailsDto();
    datas: InvCkdInvoiceDetailsDto = new InvCkdInvoiceDetailsDto();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lotNo : string = '' ; 
	fixlot : string = '' ; 
	caseNo : string = '' ; 
	moduleNo : string = '' ; 
	insurance
	containerNo : string = '' ; 
	invoiceId
	supplierNo : string = '' ; 
	fi
	fob
	freight
	thc
	cif
	tax
	taxRate
	vat
	vatRate
	inland
	usageQty
	ceptType : string = '' ; 
	partName : string = '' ; 
	carfamilyCode : string = '' ; 
	partNetWeight
	orderNo : string = '' ; 
	firmpackingmonth
	reexportCode : string = '' ; 
	status : string = '' ; 
	fobVn
	freightVn
	insuranceVn
	fiVn
	thcVn
	cifVn
	taxVn
	vatVn
	inlandVn
	invoiceParentId
	periodDate
	periodId
	hsCode : string = '' ; 
	partnameVn : string = '' ; 
	carName : string = '' ; 
	pmhistId
	preCustomsId
	ecus5TaxRate
	ecus5VatRate
	ecus5HsCode : string = '' ; 
	declareType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this.l('Lot No'),headerTooltip: this.l('Lot No'),field: 'lotNo',flex: 1},
			{headerName: this.l('Fixlot'),headerTooltip: this.l('Fixlot'),field: 'fixlot',flex: 1},
			{headerName: this.l('Case No'),headerTooltip: this.l('Case No'),field: 'caseNo',flex: 1},
			{headerName: this.l('Module No'),headerTooltip: this.l('Module No'),field: 'moduleNo',flex: 1},
			{headerName: this.l('Insurance'),headerTooltip: this.l('Insurance'),field: 'insurance',flex: 1},
			{headerName: this.l('Container No'),headerTooltip: this.l('Container No'),field: 'containerNo',flex: 1},
			{headerName: this.l('Invoice Id'),headerTooltip: this.l('Invoice Id'),field: 'invoiceId',flex: 1},
			{headerName: this.l('Supplier No'),headerTooltip: this.l('Supplier No'),field: 'supplierNo',flex: 1},
			{headerName: this.l('Fi'),headerTooltip: this.l('Fi'),field: 'fi',flex: 1},
			{headerName: this.l('Fob'),headerTooltip: this.l('Fob'),field: 'fob',flex: 1},
			{headerName: this.l('Freight'),headerTooltip: this.l('Freight'),field: 'freight',flex: 1},
			{headerName: this.l('Thc'),headerTooltip: this.l('Thc'),field: 'thc',flex: 1},
			{headerName: this.l('Cif'),headerTooltip: this.l('Cif'),field: 'cif',flex: 1},
			{headerName: this.l('Tax'),headerTooltip: this.l('Tax'),field: 'tax',flex: 1},
			{headerName: this.l('Tax Rate'),headerTooltip: this.l('Tax Rate'),field: 'taxRate',flex: 1},
			{headerName: this.l('Vat'),headerTooltip: this.l('Vat'),field: 'vat',flex: 1},
			{headerName: this.l('Vat Rate'),headerTooltip: this.l('Vat Rate'),field: 'vatRate',flex: 1},
			{headerName: this.l('Inland'),headerTooltip: this.l('Inland'),field: 'inland',flex: 1},
			{headerName: this.l('Usage Qty'),headerTooltip: this.l('Usage Qty'),field: 'usageQty',flex: 1},
			{headerName: this.l('Cept Type'),headerTooltip: this.l('Cept Type'),field: 'ceptType',flex: 1},
			{headerName: this.l('Part Name'),headerTooltip: this.l('Part Name'),field: 'partName',flex: 1},
			{headerName: this.l('Carfamily Code'),headerTooltip: this.l('Carfamily Code'),field: 'carfamilyCode',flex: 1},
			{headerName: this.l('Part Net Weight'),headerTooltip: this.l('Part Net Weight'),field: 'partNetWeight',flex: 1},
			{headerName: this.l('Order No'),headerTooltip: this.l('Order No'),field: 'orderNo',flex: 1},
			{headerName: this.l('Firmpackingmonth'),headerTooltip: this.l('Firmpackingmonth'),field: 'firmpackingmonth',flex: 1},
			{headerName: this.l('Reexport Code'),headerTooltip: this.l('Reexport Code'),field: 'reexportCode',flex: 1},
			{headerName: this.l('Status'),headerTooltip: this.l('Status'),field: 'status',flex: 1},
			{headerName: this.l('Fob Vn'),headerTooltip: this.l('Fob Vn'),field: 'fobVn',flex: 1},
			{headerName: this.l('Freight Vn'),headerTooltip: this.l('Freight Vn'),field: 'freightVn',flex: 1},
			{headerName: this.l('Insurance Vn'),headerTooltip: this.l('Insurance Vn'),field: 'insuranceVn',flex: 1},
			{headerName: this.l('Fi Vn'),headerTooltip: this.l('Fi Vn'),field: 'fiVn',flex: 1},
			{headerName: this.l('Thc Vn'),headerTooltip: this.l('Thc Vn'),field: 'thcVn',flex: 1},
			{headerName: this.l('Cif Vn'),headerTooltip: this.l('Cif Vn'),field: 'cifVn',flex: 1},
			{headerName: this.l('Tax Vn'),headerTooltip: this.l('Tax Vn'),field: 'taxVn',flex: 1},
			{headerName: this.l('Vat Vn'),headerTooltip: this.l('Vat Vn'),field: 'vatVn',flex: 1},
			{headerName: this.l('Inland Vn'),headerTooltip: this.l('Inland Vn'),field: 'inlandVn',flex: 1},
			{headerName: this.l('Invoice Parent Id'),headerTooltip: this.l('Invoice Parent Id'),field: 'invoiceParentId',flex: 1},
			{headerName: this.l('Period Date'),headerTooltip: this.l('Period Date'),field: 'periodDate',flex: 1},
			{headerName: this.l('Period Id'),headerTooltip: this.l('Period Id'),field: 'periodId',flex: 1},
			{headerName: this.l('Hs Code'),headerTooltip: this.l('Hs Code'),field: 'hsCode',flex: 1},
			{headerName: this.l('Partname Vn'),headerTooltip: this.l('Partname Vn'),field: 'partnameVn',flex: 1},
			{headerName: this.l('Car Name'),headerTooltip: this.l('Car Name'),field: 'carName',flex: 1},
			{headerName: this.l('Pmhist Id'),headerTooltip: this.l('Pmhist Id'),field: 'pmhistId',flex: 1},
			{headerName: this.l('Pre Customs Id'),headerTooltip: this.l('Pre Customs Id'),field: 'preCustomsId',flex: 1},
			{headerName: this.l('Ecus5 Tax Rate'),headerTooltip: this.l('Ecus5 Tax Rate'),field: 'ecus5TaxRate',flex: 1},
			{headerName: this.l('Ecus5 Vat Rate'),headerTooltip: this.l('Ecus5 Vat Rate'),field: 'ecus5VatRate',flex: 1},
			{headerName: this.l('Ecus5 Hs Code'),headerTooltip: this.l('Ecus5 Hs Code'),field: 'ecus5HsCode',flex: 1},
			{headerName: this.l('Declare Type'),headerTooltip: this.l('Declare Type'),field: 'declareType',flex: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this.lotNo = '',
		this.fixlot = '',
		this.caseNo = '',
		this.moduleNo = '',
		this.insurance = '',
		this.containerNo = '',
		this.invoiceId = '',
		this.supplierNo = '',
		this.fi = '',
		this.fob = '',
		this.freight = '',
		this.thc = '',
		this.cif = '',
		this.tax = '',
		this.taxRate = '',
		this.vat = '',
		this.vatRate = '',
		this.inland = '',
		this.usageQty = '',
		this.ceptType = '',
		this.partName = '',
		this.carfamilyCode = '',
		this.partNetWeight = '',
		this.orderNo = '',
		this.firmpackingmonth = '',
		this.reexportCode = '',
		this.status = '',
		this.fobVn = '',
		this.freightVn = '',
		this.insuranceVn = '',
		this.fiVn = '',
		this.thcVn = '',
		this.cifVn = '',
		this.taxVn = '',
		this.vatVn = '',
		this.inlandVn = '',
		this.invoiceParentId = '',
		this.periodDate = '',
		this.periodId = '',
		this.hsCode = '',
		this.partnameVn = '',
		this.carName = '',
		this.pmhistId = '',
		this.preCustomsId = '',
		this.ecus5TaxRate = '',
		this.ecus5VatRate = '',
		this.ecus5HsCode = '',
		this.declareType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
			'',
            this.paginationParams.skipCount,
            this.paginationParams.pageSize
        );
    }
    onChangeRowSelection(params: { api: { getSelectedRows: () =&gt; InvCkdInvoiceDetailsDto[] } }) {
        this.saveSelectedRow = params.api.getSelectedRows()[0] ?? new InvCkdInvoiceDetailsDto();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this._service.getInvoiceDetailsToExcel(
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[(ngModel)]='ceptType' name='ceptType'
									class='form-control' [placeholder]="l('Cept Type')"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[(ngModel)]='reexportCode' name='reexportCode'
									class='form-control' [placeholder]="l('Reexport Code')"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[(ngModel)]='hsCode' name='hsCode'
									class='form-control' [placeholder]="l('Hs Code')"
									type='text' (keyup.enter)='searchDatas()'&gt;
								&lt;/div&gt;
								&lt;div class='input-search'&gt;
									&lt;input [(ngModel)]='partnameVn' name='partnameVn'
									class='form-control' [placeholder]="l('Partname Vn')"
									type='text' (keyup.enter)='searchDatas()'&gt;
								&lt;/div&gt;
								&lt;div class='input-search'&gt;
									&lt;input [(ngModel)]='carName' name='carName'
									class='form-control' [placeholder]="l('Car Name')"
									type='text' (keyup.enter)='searchDatas()'&gt;
								&lt;/div&gt;
								&lt;div class='input-search'&gt;
									&lt;input [(ngModel)]='ecus5HsCode' name='ecus5HsCode'
									class='form-control' [placeholder]="l('Ecus5 Hs Code')"
									type='text' (keyup.enter)='searchDatas()'&gt;
								&lt;/div&gt;
								&lt;div class='input-search'&gt;
									&lt;input [(ngModel)]='declareType' name='declareType'
									class='form-control' [placeholder]="l('Declare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&lt;create-or-edit-invoicedetails-modal
    #createOrEditModalInvoiceDetails
    (modalSave)="callBackDataGrid(dataParams)"
    (modalClose)="onChangeRowSelection(dataParams)"
&gt;
&lt;/create-or-edit-invoicedetails-modal&gt;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#createOrEditModalInvoiceDetails="bs-modal"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InvoiceDetails')}}&lt;/h3&gt;
                    &lt;h3 *ngIf="!rowdata.id"&gt;{{('Create New InvoiceDetails')}}&lt;/h3&gt;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title'&gt;Cept Type&lt;/label&gt;
						&lt;input type='text' class='col-md-10 form-control input-text' name='CeptType' [(ngModel)]='rowdata.ceptType'&gt;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title'&gt;Reexport Code&lt;/label&gt;
						&lt;input type='text' class='col-md-10 form-control input-text' name='ReexportCode' [(ngModel)]='rowdata.reexportCode'&gt;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title'&gt;Hs Code&lt;/label&gt;
						&lt;input type='text' class='col-md-10 form-control input-text' name='HsCode' [(ngModel)]='rowdata.hsCode'&gt;
					&lt;/div&gt;
					&lt;div class='col-md-12 form-group row'&gt;
						&lt;label class='col-md-2 form-control title'&gt;Partname Vn&lt;/label&gt;
						&lt;input type='text' class='col-md-10 form-control input-text' name='PartnameVn' [(ngModel)]='rowdata.partnameVn'&gt;
					&lt;/div&gt;
					&lt;div class='col-md-12 form-group row'&gt;
						&lt;label class='col-md-2 form-control title'&gt;Car Name&lt;/label&gt;
						&lt;input type='text' class='col-md-10 form-control input-text' name='CarName' [(ngModel)]='rowdata.carName'&gt;
					&lt;/div&gt;
					&lt;div class='col-md-12 form-group row'&gt;
						&lt;label class='col-md-2 form-control title'&gt;Ecus5 Hs Code&lt;/label&gt;
						&lt;input type='text' class='col-md-10 form-control input-text' name='Ecus5HsCode' [(ngModel)]='rowdata.ecus5HsCode'&gt;
					&lt;/div&gt;
					&lt;div class='col-md-12 form-group row'&gt;
						&lt;label class='col-md-2 form-control title'&gt;Declare Type&lt;/label&gt;
						&lt;input type='text' class='col-md-10 form-control input-text' name='DeclareType' [(ngModel)]='rowdata.declareType'&gt;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CreateOrEditInvCkdInvoiceDetailsDto, InvCkdInvoiceDetailsServiceProxy } from '@shared/service-proxies/service-proxies';
import { BsDatepickerDirective } from 'ngx-bootstrap/datepicker';
@Component({
    selector: 'create-or-edit-invoicedetails-modal',
    templateUrl: './create-or-edit-invoicedetails-modal.component.html',
    styleUrls: ['./create-or-edit-invoicedetails-modal.component.less']
    })
export class CreateOrEditInvoiceDetailsModalComponent extends AppComponentBase {
    @ViewChild('createOrEditModalInvoiceDetails',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CreateOrEditInvCkdInvoiceDetailsDto = new CreateOrEditInvCkdInvoiceDetailsDto();
    active: boolean = false;
    saving: boolean = false;
    _isActive: boolean;
    constructor(
        injector: Injector,
        private _mstwptInvoiceDetailsService: InvCkdInvoiceDetailsServiceProxy,
    ) 
    {
        super(injector);
    }
    show(rowdata?: CreateOrEditInvCkdInvoiceDetailsDto): void {
        if (!rowdata) this.rowdata = new CreateOrEditInvCkdInvoiceDetailsDto();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InvoiceDetailsRoutingModule } from './invoicedetails-routing.module';
import { InvoiceDetailsComponent } from './invoicedetails.component';
import { CreateOrEditInvoiceDetailsModalComponent } from './create-or-edit-invoicedetails-modal.component';
@NgModule({
    declarations: [
       InvoiceDetailsComponent, 
        CreateOrEditInvoiceDetailsModalComponent
    ],
    imports: [
        AppSharedModule, InvoiceDetailsRoutingModule]
})
export class InvoiceDetailsModule {}</v>
      </c>
      <c r="J75" s="46" t="str">
        <f>B.Frontend!O10</f>
        <v>import {NgModule} from '@angular/core';
import {RouterModule, Routes} from '@angular/router';
import { InvoiceDetailsComponent } from './invoicedetails.component';
const routes: Routes = [{
    path: '',
    component: InvoiceDetailsComponent,
    pathMatch: 'full'
}];
@NgModule({
    imports: [RouterModule.forChild(routes)],
    exports: [RouterModule],
})
export class InvoiceDetailsRoutingModule {}</v>
      </c>
      <c r="K75" s="46" t="str">
        <f>B.Frontend!P10</f>
        <v xml:space="preserve"> new AppMenuItem("InvoiceDetails", "Pages.Inventory.CKD.InvoiceDetails", "flaticon-book",   "/app/main/inventory/ckd/invoicedetails"),</v>
      </c>
      <c r="L75" s="47" t="str">
        <f>B.Frontend!Q10</f>
        <v>{
    path: 'inventory/ckd/invoicedetails',
    loadChildren: () =&gt; import('./inventory/ckd/invoicedetails/invoicedetails.module').then(m =&gt; m.InvoiceDetailsModule),
    data: { permission: 'Pages.Inventory.CKD.InvoiceDetails' }
},</v>
      </c>
      <c r="M75" s="45" t="str">
        <f>B.Frontend!R10</f>
        <v>ApiServiceProxies.InvCkdInvoiceDetailsServiceProxy,</v>
      </c>
    </row>
    <row r="77" spans="2:14" x14ac:dyDescent="0.3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0"/>
  <sheetViews>
    <sheetView tabSelected="1" topLeftCell="A37" workbookViewId="0">
      <pane xSplit="1" topLeftCell="B1" activePane="topRight" state="frozen"/>
      <selection pane="topRight" activeCell="B37" sqref="B37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5">
      <c r="A3" s="1" t="s">
        <v>5</v>
      </c>
      <c r="B3" s="27" t="s">
        <v>422</v>
      </c>
      <c r="C3" s="9" t="s">
        <v>41</v>
      </c>
      <c r="D3" s="9" t="s">
        <v>42</v>
      </c>
      <c r="E3" s="9" t="s">
        <v>37</v>
      </c>
      <c r="F3" s="10" t="str">
        <f>"J"&amp;COUNTA($A:$A)</f>
        <v>J58</v>
      </c>
      <c r="G3" s="4" t="s">
        <v>54</v>
      </c>
      <c r="H3" s="9" t="str">
        <f>"I"&amp;COUNTA($A:$A)</f>
        <v>I58</v>
      </c>
      <c r="I3" s="9" t="str">
        <f>REPT(CHAR(9),2)&amp;"[Required]"&amp;"
"</f>
        <v xml:space="preserve">		[Required]
</v>
      </c>
      <c r="J3" s="10" t="str">
        <f>"L"&amp;COUNTA($A:$A)</f>
        <v>L58</v>
      </c>
      <c r="K3" s="5" t="s">
        <v>53</v>
      </c>
      <c r="L3" s="10" t="str">
        <f>"M"&amp;COUNTA($A:$A)</f>
        <v>M58</v>
      </c>
      <c r="M3" s="10" t="str">
        <f>"N"&amp;COUNTA($A:$A)</f>
        <v>N58</v>
      </c>
      <c r="N3" s="10" t="str">
        <f>"O"&amp;COUNTA($A:$A)</f>
        <v>O58</v>
      </c>
      <c r="O3" s="10" t="str">
        <f>"P"&amp;COUNTA($A:$A)</f>
        <v>P58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InvCkdInvoiceDetailsExportInput{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T58</v>
      </c>
      <c r="V3" s="10" t="str">
        <f>"V"&amp;COUNTA($A:$A)</f>
        <v>V58</v>
      </c>
      <c r="W3" s="9" t="str">
        <f>"W"&amp;COUNTA($A:$A)</f>
        <v>W58</v>
      </c>
    </row>
    <row r="4" spans="1:23" s="10" customFormat="1" ht="33" customHeight="1" x14ac:dyDescent="0.3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234</v>
      </c>
      <c r="B5" s="65" t="s">
        <v>423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InvCkdInvoiceDetails: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InvCkdInvoiceDetailsConsts	
	{
</v>
      </c>
      <c r="F6" s="10" t="str">
        <f>REPT(CHAR(9),1)&amp;"public class "&amp;B3&amp;"Dto"&amp;K3&amp;REPT(CHAR(9),1)&amp;"
"&amp;REPT(CHAR(9),1)&amp;C3</f>
        <v xml:space="preserve">	public class InvCkdInvoiceDetailsDto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CreateOrEditInvCkdInvoiceDetailsDto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GetInvCkdInvoiceDetailsInput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" customHeight="1" x14ac:dyDescent="0.35">
      <c r="A7" s="1" t="s">
        <v>13</v>
      </c>
      <c r="B7" s="9" t="str">
        <f>B3</f>
        <v>InvCkdInvoiceDetails</v>
      </c>
      <c r="C7" s="10" t="str">
        <f>REPT(CHAR(9),1)&amp;"[Table("""&amp;B7&amp;""")]"&amp;"
"</f>
        <v xml:space="preserve">	[Table("InvCkdInvoiceDetails")]
</v>
      </c>
      <c r="D7" s="10"/>
      <c r="E7" s="10"/>
      <c r="F7" s="10"/>
      <c r="G7" s="10"/>
      <c r="H7" s="10"/>
      <c r="I7" s="10"/>
      <c r="J7" t="str">
        <f ca="1">SUBSTITUTE(SUBSTITUTE((B1&amp;C6&amp;C7&amp;K60&amp;D6&amp;I60&amp;E3&amp;J60&amp;""&amp;REPT(CHAR(9),1)&amp;D3&amp;D3),"WorkingPattern",$Q$3),"Master",$B$4)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[Table("InvCkdInvoiceDetails")]
	public class InvCkdInvoiceDetails: FullAuditedEntity&lt;long&gt;, IEntity&lt;long&gt;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;
		public const int MaxCeptTypeLength = 10;
		public const int MaxPartNameLength = 300;
		public const int MaxCarfamilyCodeLength = 4;
		public const int MaxOrderNoLength = 12;
		public const int MaxReexportCodeLength = 2;
		public const int MaxStatusLength = 10;
		public const int MaxHsCodeLength = 20;
		public const int MaxPartnameVnLength = 300;
		public const int MaxCarNameLength = 200;
		public const int MaxEcus5HsCodeLength = 20;
		public const int MaxDeclareTypeLength = 10;
		public const int MaxIsActiveLength = 1;
		[StringLength(MaxPartNoLength)]
		public virtual string PartNo { get; set; }
		[StringLength(MaxLotNoLength)]
		public virtual string LotNo { get; set; }
		[StringLength(MaxFixlotLength)]
		public virtual string Fixlot { get; set; }
		[StringLength(MaxCaseNoLength)]
		public virtual string CaseNo { get; set; }
		[StringLength(MaxModuleNoLength)]
		public virtual string ModuleNo { get; set; }
		public virtual decimal? Insurance { get; set; }
		[StringLength(MaxContainerNoLength)]
		public virtual string ContainerNo { get; set; }
		public virtual long? InvoiceId { get; set; }
		[StringLength(MaxSupplierNoLength)]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[StringLength(MaxCeptTypeLength)]
		public virtual string CeptType { get; set; }
		[StringLength(MaxPartNameLength)]
		public virtual string PartName { get; set; }
		[StringLength(MaxCarfamilyCodeLength)]
		public virtual string CarfamilyCode { get; set; }
		public virtual decimal? PartNetWeight { get; set; }
		[StringLength(MaxOrderNoLength)]
		public virtual string OrderNo { get; set; }
		public virtual DateTime? Firmpackingmonth { get; set; }
		[StringLength(MaxReexportCodeLength)]
		public virtual string ReexportCode { get; set; }
		[StringLength(MaxStatusLength)]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[StringLength(MaxHsCodeLength)]
		public virtual string HsCode { get; set; }
		[StringLength(MaxPartnameVnLength)]
		public virtual string PartnameVn { get; set; }
		[StringLength(MaxCarNameLength)]
		public virtual string CarName { get; set; }
		public virtual long? PmhistId { get; set; }
		public virtual long? PreCustomsId { get; set; }
		public virtual int? Ecus5TaxRate { get; set; }
		public virtual int? Ecus5VatRate { get; set; }
		[StringLength(MaxEcus5HsCodeLength)]
		public virtual string Ecus5HsCode { get; set; }
		[StringLength(MaxDeclareTypeLength)]
		public virtual string DeclareType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DbSet&lt;InvCkdInvoiceDetails&gt; InvCkdInvoiceDetailss { get; set; }</v>
      </c>
      <c r="L7" t="str">
        <f ca="1">SUBSTITUTE(SUBSTITUTE((C6&amp;E6&amp;I60&amp;"
"&amp;REPT(CHAR(9),2)&amp;"// Define Store Name: Format SP_ + &lt;Store Name&gt; = &lt;Store Name&gt;
"&amp;E3&amp;REPT(CHAR(9),1)&amp;D3&amp;D3),"WorkingPattern",$Q$3),"Master",$B$4)</f>
        <v xml:space="preserve">namespace prod.Inventory.CKD
{
	public class InvCkdInvoiceDetailsConsts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;
		public const int MaxCeptTypeLength = 10;
		public const int MaxPartNameLength = 300;
		public const int MaxCarfamilyCodeLength = 4;
		public const int MaxOrderNoLength = 12;
		public const int MaxReexportCodeLength = 2;
		public const int MaxStatusLength = 10;
		public const int MaxHsCodeLength = 20;
		public const int MaxPartnameVnLength = 300;
		public const int MaxCarNameLength = 200;
		public const int MaxEcus5HsCodeLength = 20;
		public const int MaxDeclareTypeLength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"&amp;B6&amp;".Dto"&amp;E3&amp;C3&amp;F6&amp;M60&amp;E3&amp;REPT(CHAR(9),1)&amp;D3&amp;G6&amp;N60&amp;REPT(CHAR(9),1)&amp;D3&amp;H6&amp;O60&amp;"
"&amp;REPT(CHAR(9),1)&amp;D3&amp;D3),"WorkingPattern",$Q$3),"Master",$B$4)</f>
        <v xml:space="preserve">using Abp.Application.Services.Dto;
using System;
using System.ComponentModel.DataAnnotations;
namespace prod.Inventory.CKD.Dto
{
	public class InvCkdInvoiceDetailsDto : EntityDto&lt;long?&gt;	
	{
		public virtual string PartNo { get; set; }
		public virtual string LotNo { get; set; }
		public virtual string Fixlot { get; set; }
		public virtual string CaseNo { get; set; }
		public virtual string ModuleNo { get; set; }
		public virtual decimal? Insurance { get; set; }
		public virtual string ContainerNo { get; set; }
		public virtual long? InvoiceId { get; set; }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public virtual string CeptType { get; set; }
		public virtual string PartName { get; set; }
		public virtual string CarfamilyCode { get; set; }
		public virtual decimal? PartNetWeight { get; set; }
		public virtual string OrderNo { get; set; }
		public virtual DateTime? Firmpackingmonth { get; set; }
		public virtual string ReexportCode { get; set; }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public virtual string HsCode { get; set; }
		public virtual string PartnameVn { get; set; }
		public virtual string CarName { get; set; }
		public virtual long? PmhistId { get; set; }
		public virtual long? PreCustomsId { get; set; }
		public virtual int? Ecus5TaxRate { get; set; }
		public virtual int? Ecus5VatRate { get; set; }
		public virtual string Ecus5HsCode { get; set; }
		public virtual string DeclareType { get; set; }
		public virtual string IsActive { get; set; }
	}
	public class CreateOrEditInvCkdInvoiceDetailsDto : EntityDto&lt;long?&gt;	
	{
		[StringLength(InvCkdInvoiceDetailsConsts.MaxPartNoLength)]
		public virtual string PartNo { get; set; }
		[StringLength(InvCkdInvoiceDetailsConsts.MaxLotNoLength)]
		public virtual string LotNo { get; set; }
		[StringLength(InvCkdInvoiceDetailsConsts.MaxFixlotLength)]
		public virtual string Fixlot { get; set; }
		[StringLength(InvCkdInvoiceDetailsConsts.MaxCaseNoLength)]
		public virtual string CaseNo { get; set; }
		[StringLength(InvCkdInvoiceDetailsConsts.MaxModuleNoLength)]
		public virtual string ModuleNo { get; set; }
		public virtual decimal? Insurance { get; set; }
		[StringLength(InvCkdInvoiceDetailsConsts.MaxContainerNoLength)]
		public virtual string ContainerNo { get; set; }
		public virtual long? InvoiceId { get; set; }
		[StringLength(InvCkdInvoiceDetailsConsts.MaxSupplierNoLength)]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[StringLength(InvCkdInvoiceDetailsConsts.MaxCeptTypeLength)]
		public virtual string CeptType { get; set; }
		[StringLength(InvCkdInvoiceDetailsConsts.MaxPartNameLength)]
		public virtual string PartName { get; set; }
		[StringLength(InvCkdInvoiceDetailsConsts.MaxCarfamilyCodeLength)]
		public virtual string CarfamilyCode { get; set; }
		public virtual decimal? PartNetWeight { get; set; }
		[StringLength(InvCkdInvoiceDetailsConsts.MaxOrderNoLength)]
		public virtual string OrderNo { get; set; }
		public virtual DateTime? Firmpackingmonth { get; set; }
		[StringLength(InvCkdInvoiceDetailsConsts.MaxReexportCodeLength)]
		public virtual string ReexportCode { get; set; }
		[StringLength(InvCkdInvoiceDetailsConsts.MaxStatusLength)]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[StringLength(InvCkdInvoiceDetailsConsts.MaxHsCodeLength)]
		public virtual string HsCode { get; set; }
		[StringLength(InvCkdInvoiceDetailsConsts.MaxPartnameVnLength)]
		public virtual string PartnameVn { get; set; }
		[StringLength(InvCkdInvoiceDetailsConsts.MaxCarNameLength)]
		public virtual string CarName { get; set; }
		public virtual long? PmhistId { get; set; }
		public virtual long? PreCustomsId { get; set; }
		public virtual int? Ecus5TaxRate { get; set; }
		public virtual int? Ecus5VatRate { get; set; }
		[StringLength(InvCkdInvoiceDetailsConsts.MaxEcus5HsCodeLength)]
		public virtual string Ecus5HsCode { get; set; }
		[StringLength(InvCkdInvoiceDetailsConsts.MaxDeclareTypeLength)]
		public virtual string DeclareType { get; set; }
		[StringLength(InvCkdInvoiceDetailsConsts.MaxIsActiveLength)]
		public virtual string IsActive { get; set; }
	}
	public class GetInvCkdInvoiceDetailsInput : PagedAndSortedResultRequestDto	
	{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string CeptType { get; set; }
		public virtual string PartName { get; set; }
		public virtual string CarfamilyCode { get; set; }
		public virtual string OrderNo { get; set; }
		public virtual string ReexportCode { get; set; }
		public virtual string Status { get; set; }
		public virtual string HsCode { get; set; }
		public virtual string PartnameVn { get; set; }
		public virtual string CarName { get; set; }
		public virtual string Ecus5HsCode { get; set; }
		public virtual string DeclareType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perInvCkdInvoiceDetails = PARENTS.CreateChildPermission(AppPermissions.Pages_Inventory_CKD_InvoiceDetails, L( "InventoryCKDInvoiceDetails"), multiTenancySides: MultiTenancySides.Tenant);
		perInvCkdInvoiceDetails.CreateChildPermission(AppPermissions.Pages_Inventory_CKD_InvoiceDetails_CreateEdit, L( "InventoryCKDInvoiceDetailsCreateEdit"), multiTenancySides: MultiTenancySides.Tenant);
		perInvCkdInvoiceDetails.CreateChildPermission(AppPermissions.Pages_Inventory_CKD_InvoiceDetails_Delete, L( "InventoryCKDInvoiceDetailsDelete"),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Pages_Inventory_CKD_InvoiceDetails = "Pages.Inventory.CKD.InvoiceDetails";
		public const string Pages_Inventory_CKD_InvoiceDetails_CreateEdit = "Pages.Inventory.CKD.InvoiceDetails.CreateEdit";
		public const string Pages_Inventory_CKD_InvoiceDetails_Delete = "Pages.Inventory.CKD.InvoiceDetails.Delete";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IInvCkdInvoiceDetailsAppService : IApplicationService
	{
		Task&lt;PagedResultDto&lt;InvCkdInvoiceDetailsDto&gt;&gt; GetAll(GetInvCkdInvoiceDetailsInput input);
		Task CreateOrEdit(CreateOrEditInvCkdInvoiceDetailsDto input);
		Task Delete(EntityDto input);
	}
}
</v>
      </c>
      <c r="Q7" t="str">
        <f ca="1">SUBSTITUTE(SUBSTITUTE(SUBSTITUTE(SUBSTITUTE(SUBSTITUTE(SUBSTITUTE(E1,"MstWptCalendar",$B$3),"&lt;PROPERTIES&gt;",P60),"Calendar",$B$5),"WorkingPattern",$Q$3),"Master",$B$4),"&lt;PARAMS_SEARCH&gt;",$W$60)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[AbpAuthorize(AppPermissions.Pages_Inventory_CKD_InvoiceDetails)]
    public class InvCkdInvoiceDetailsAppService : vovinaAppServiceBase, IInvCkdInvoiceDetailsAppService
    {
        private readonly IDapperRepository&lt;InvCkdInvoiceDetails, long&gt; _dapperRepo;
        private readonly IRepository&lt;InvCkdInvoiceDetails, long&gt; _repo;
        private readonly IInvCkdInvoiceDetailsExcelExporter _calendarListExcelExporter;
        public InvCkdInvoiceDetailsAppService(IRepository&lt;InvCkdInvoiceDetails,long&gt; repo, 
                                         IDapperRepository&lt;InvCkdInvoiceDetails,long&gt; dapperRepo,
                                        IInvCkdInvoiceDetailsExcelExporter calendarListExcelExporter
            )
        {
            _repo = repo;
            _dapperRepo = dapperRepo;
            _calendarListExcelExporter = calendarListExcelExporter;
        }
        [AbpAuthorize(AppPermissions.Pages_Inventory_CKD_InvoiceDetails_CreateEdit)]
        public async Task CreateOrEdit(CreateOrEditInvCkdInvoiceDetailsDto input)
        {
            if (input.Id == null) await Create(input);
            else await Update(input);
        }
        //CREATE
        private async Task Create(CreateOrEditInvCkdInvoiceDetailsDto input)
        {          
            var mainObj = ObjectMapper.Map&lt;InvCkdInvoiceDetails&gt;(input);
            await CurrentUnitOfWork.GetDbContext&lt;vovinaDbContext&gt;().AddAsync(mainObj);
        }
        // EDIT
        private async Task Update(CreateOrEditInvCkdInvoiceDetailsDto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Task&lt;PagedResultDto&lt;InvCkdInvoiceDetailsDto&gt;&gt; GetAll(GetInvCkdInvoiceDetailsInput input)
        {
            var filtered = _repo.GetAll()
				.WhereIf(!string.IsNullOrWhiteSpace(input.PartNo), e =&gt; e.PartNo.Contains(input.PartNo))
				.WhereIf(!string.IsNullOrWhiteSpace(input.LotNo), e =&gt; e.LotNo.Contains(input.LotNo))
				.WhereIf(!string.IsNullOrWhiteSpace(input.Fixlot), e =&gt; e.Fixlot.Contains(input.Fixlot))
				.WhereIf(!string.IsNullOrWhiteSpace(input.CaseNo), e =&gt; e.CaseNo.Contains(input.CaseNo))
				.WhereIf(!string.IsNullOrWhiteSpace(input.ModuleNo), e =&gt; e.ModuleNo.Contains(input.ModuleNo))
				.WhereIf(!string.IsNullOrWhiteSpace(input.ContainerNo), e =&gt; e.ContainerNo.Contains(input.ContainerNo))
				.WhereIf(!string.IsNullOrWhiteSpace(input.SupplierNo), e =&gt; e.SupplierNo.Contains(input.SupplierNo))
				.WhereIf(!string.IsNullOrWhiteSpace(input.CeptType), e =&gt; e.CeptType.Contains(input.CeptType))
				.WhereIf(!string.IsNullOrWhiteSpace(input.PartName), e =&gt; e.PartName.Contains(input.PartName))
				.WhereIf(!string.IsNullOrWhiteSpace(input.CarfamilyCode), e =&gt; e.CarfamilyCode.Contains(input.CarfamilyCode))
				.WhereIf(!string.IsNullOrWhiteSpace(input.OrderNo), e =&gt; e.OrderNo.Contains(input.OrderNo))
				.WhereIf(!string.IsNullOrWhiteSpace(input.ReexportCode), e =&gt; e.ReexportCode.Contains(input.ReexportCode))
				.WhereIf(!string.IsNullOrWhiteSpace(input.Status), e =&gt; e.Status.Contains(input.Status))
				.WhereIf(!string.IsNullOrWhiteSpace(input.HsCode), e =&gt; e.HsCode.Contains(input.HsCode))
				.WhereIf(!string.IsNullOrWhiteSpace(input.PartnameVn), e =&gt; e.PartnameVn.Contains(input.PartnameVn))
				.WhereIf(!string.IsNullOrWhiteSpace(input.CarName), e =&gt; e.CarName.Contains(input.CarName))
				.WhereIf(!string.IsNullOrWhiteSpace(input.Ecus5HsCode), e =&gt; e.Ecus5HsCode.Contains(input.Ecus5HsCode))
				.WhereIf(!string.IsNullOrWhiteSpace(input.DeclareType), e =&gt; e.DeclareType.Contains(input.DeclareType))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InvCkdInvoiceDetailsDto
                        {
							Id = o.Id,
							PartNo = o.PartNo,
							LotNo = o.LotNo,
							Fixlot = o.Fixlot,
							CaseNo = o.CaseNo,
							ModuleNo = o.ModuleNo,
							Insurance = o.Insurance,
							ContainerNo = o.ContainerNo,
							InvoiceId = o.InvoiceId,
							SupplierNo = o.SupplierNo,
							Fi = o.Fi,
							Fob = o.Fob,
							Freight = o.Freight,
							Thc = o.Thc,
							Cif = o.Cif,
							Tax = o.Tax,
							TaxRate = o.TaxRate,
							Vat = o.Vat,
							VatRate = o.VatRate,
							Inland = o.Inland,
							UsageQty = o.UsageQty,
							CeptType = o.CeptType,
							PartName = o.PartName,
							CarfamilyCode = o.CarfamilyCode,
							PartNetWeight = o.PartNetWeight,
							OrderNo = o.OrderNo,
							Firmpackingmonth = o.Firmpackingmonth,
							ReexportCode = o.ReexportCode,
							Status = o.Status,
							FobVn = o.FobVn,
							FreightVn = o.FreightVn,
							InsuranceVn = o.InsuranceVn,
							FiVn = o.FiVn,
							ThcVn = o.ThcVn,
							CifVn = o.CifVn,
							TaxVn = o.TaxVn,
							VatVn = o.VatVn,
							InlandVn = o.InlandVn,
							InvoiceParentId = o.InvoiceParentId,
							PeriodDate = o.PeriodDate,
							PeriodId = o.PeriodId,
							HsCode = o.HsCode,
							PartnameVn = o.PartnameVn,
							CarName = o.CarName,
							PmhistId = o.PmhistId,
							PreCustomsId = o.PreCustomsId,
							Ecus5TaxRate = o.Ecus5TaxRate,
							Ecus5VatRate = o.Ecus5VatRate,
							Ecus5HsCode = o.Ecus5HsCode,
							DeclareType = o.DeclareType,
							IsActive = o.IsActive,
                        };
            var totalCount = await filtered.CountAsync();
			var paged = system.PageBy(input);
            return new PagedResultDto&lt;InvCkdInvoiceDetailsDto&gt;(
                totalCount,
                 await paged.ToListAsync()
            );
        }
        public async Task&lt;FileDto&gt; GetInvoiceDetailsToExcel(InvCkdInvoiceDetailsExportInput input)
        {
            var query = from o in _repo.GetAll()
                        select new InvCkdInvoiceDetailsDto
                        {
							Id = o.Id,
							PartNo = o.PartNo,
							LotNo = o.LotNo,
							Fixlot = o.Fixlot,
							CaseNo = o.CaseNo,
							ModuleNo = o.ModuleNo,
							Insurance = o.Insurance,
							ContainerNo = o.ContainerNo,
							InvoiceId = o.InvoiceId,
							SupplierNo = o.SupplierNo,
							Fi = o.Fi,
							Fob = o.Fob,
							Freight = o.Freight,
							Thc = o.Thc,
							Cif = o.Cif,
							Tax = o.Tax,
							TaxRate = o.TaxRate,
							Vat = o.Vat,
							VatRate = o.VatRate,
							Inland = o.Inland,
							UsageQty = o.UsageQty,
							CeptType = o.CeptType,
							PartName = o.PartName,
							CarfamilyCode = o.CarfamilyCode,
							PartNetWeight = o.PartNetWeight,
							OrderNo = o.OrderNo,
							Firmpackingmonth = o.Firmpackingmonth,
							ReexportCode = o.ReexportCode,
							Status = o.Status,
							FobVn = o.FobVn,
							FreightVn = o.FreightVn,
							InsuranceVn = o.InsuranceVn,
							FiVn = o.FiVn,
							ThcVn = o.ThcVn,
							CifVn = o.CifVn,
							TaxVn = o.TaxVn,
							VatVn = o.VatVn,
							InlandVn = o.InlandVn,
							InvoiceParentId = o.InvoiceParentId,
							PeriodDate = o.PeriodDate,
							PeriodId = o.PeriodId,
							HsCode = o.HsCode,
							PartnameVn = o.PartnameVn,
							CarName = o.CarName,
							PmhistId = o.PmhistId,
							PreCustomsId = o.PreCustomsId,
							Ecus5TaxRate = o.Ecus5TaxRate,
							Ecus5VatRate = o.Ecus5VatRate,
							Ecus5HsCode = o.Ecus5HsCode,
							DeclareType = o.DeclareType,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_dapperRepo.ExecuteAsync(InvCkdInvoiceDetailsConsts.SP_MST_WPT_CALENDAR_GENERATE);
       // }
    }
}</v>
      </c>
      <c r="R7" t="str">
        <f ca="1">SUBSTITUTE(SUBSTITUTE((C1&amp;"namespace "&amp;B6&amp;".Dto"&amp;E3&amp;C3&amp;R3&amp;M60&amp;E3&amp;REPT(CHAR(9),1)&amp;D3&amp;D3),"WorkingPattern",$Q$3),"Master",$B$4)</f>
        <v xml:space="preserve">using Abp.Application.Services.Dto;
using System;
using System.ComponentModel.DataAnnotations;
namespace prod.Inventory.CKD.Dto
{
	public class InvCkdInvoiceDetailsExportInput{
		public virtual string PartNo { get; set; }
		public virtual string LotNo { get; set; }
		public virtual string Fixlot { get; set; }
		public virtual string CaseNo { get; set; }
		public virtual string ModuleNo { get; set; }
		public virtual decimal? Insurance { get; set; }
		public virtual string ContainerNo { get; set; }
		public virtual long? InvoiceId { get; set; }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public virtual string CeptType { get; set; }
		public virtual string PartName { get; set; }
		public virtual string CarfamilyCode { get; set; }
		public virtual decimal? PartNetWeight { get; set; }
		public virtual string OrderNo { get; set; }
		public virtual DateTime? Firmpackingmonth { get; set; }
		public virtual string ReexportCode { get; set; }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public virtual string HsCode { get; set; }
		public virtual string PartnameVn { get; set; }
		public virtual string CarName { get; set; }
		public virtual long? PmhistId { get; set; }
		public virtual long? PreCustomsId { get; set; }
		public virtual int? Ecus5TaxRate { get; set; }
		public virtual int? Ecus5VatRate { get; set; }
		public virtual string Ecus5HsCode { get; set; }
		public virtual string DeclareType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IInvCkdInvoiceDetailsExcelExporter : IApplicationService
	{
		FileDto ExportToFile(List&lt;InvCkdInvoiceDetailsDto&gt; invckdinvoicedetails);
	}
}
</v>
      </c>
      <c r="T7" s="26" t="str">
        <f ca="1">SUBSTITUTE(SUBSTITUTE(SUBSTITUTE(SUBSTITUTE(SUBSTITUTE(SUBSTITUTE(SUBSTITUTE(T1,"MstWptCalendar",$B$3),"&lt;PROPERTIES1&gt;",V60),"&lt;PROPERTIES&gt;",T60),"Calendar",$B$5),"calendar",LOWER(B5)),"WorkingPattern",$Q$3),"Master",$B$4)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InvCkdInvoiceDetailsExcelExporter : NpoiExcelExporterBase, IInvCkdInvoiceDetailsExcelExporter
    {
        public InvCkdInvoiceDetailsExcelExporter(ITempFileCacheManager tempFileCacheManager) : base(tempFileCacheManager) { }
        public FileDto ExportToFile(List&lt;InvCkdInvoiceDetailsDto&gt; invoicedetails)
        {
            return CreateExcelPackage(
				"InventoryCKDInvoiceDetails.xlsx",
				excelPackage =&gt;
				 {
					var sheet = excelPackage.CreateSheet("InvoiceDetails");
					AddHeader(
								sheet,
								("PartNo"),
								("LotNo"),
								("Fixlot"),
								("CaseNo"),
								("ModuleNo"),
								("Insurance"),
								("ContainerNo"),
								("InvoiceId"),
								("SupplierNo"),
								("Fi"),
								("Fob"),
								("Freight"),
								("Thc"),
								("Cif"),
								("Tax"),
								("TaxRate"),
								("Vat"),
								("VatRate"),
								("Inland"),
								("UsageQty"),
								("CeptType"),
								("PartName"),
								("CarfamilyCode"),
								("PartNetWeight"),
								("OrderNo"),
								("Firmpackingmonth"),
								("ReexportCode"),
								("Status"),
								("FobVn"),
								("FreightVn"),
								("InsuranceVn"),
								("FiVn"),
								("ThcVn"),
								("CifVn"),
								("TaxVn"),
								("VatVn"),
								("InlandVn"),
								("InvoiceParentId"),
								("PeriodDate"),
								("PeriodId"),
								("HsCode"),
								("PartnameVn"),
								("CarName"),
								("PmhistId"),
								("PreCustomsId"),
								("Ecus5TaxRate"),
								("Ecus5VatRate"),
								("Ecus5HsCode"),
								("DeclareType"),
								("IsActive"),
							   );
					AddObjects(
						 sheet, 1, invoicedetails,                                       
								_ =&gt; _.PartNo,
								_ =&gt; _.LotNo,
								_ =&gt; _.Fixlot,
								_ =&gt; _.CaseNo,
								_ =&gt; _.ModuleNo,
								_ =&gt; _.Insurance,
								_ =&gt; _.ContainerNo,
								_ =&gt; _.InvoiceId,
								_ =&gt; _.SupplierNo,
								_ =&gt; _.Fi,
								_ =&gt; _.Fob,
								_ =&gt; _.Freight,
								_ =&gt; _.Thc,
								_ =&gt; _.Cif,
								_ =&gt; _.Tax,
								_ =&gt; _.TaxRate,
								_ =&gt; _.Vat,
								_ =&gt; _.VatRate,
								_ =&gt; _.Inland,
								_ =&gt; _.UsageQty,
								_ =&gt; _.CeptType,
								_ =&gt; _.PartName,
								_ =&gt; _.CarfamilyCode,
								_ =&gt; _.PartNetWeight,
								_ =&gt; _.OrderNo,
								_ =&gt; _.Firmpackingmonth,
								_ =&gt; _.ReexportCode,
								_ =&gt; _.Status,
								_ =&gt; _.FobVn,
								_ =&gt; _.FreightVn,
								_ =&gt; _.InsuranceVn,
								_ =&gt; _.FiVn,
								_ =&gt; _.ThcVn,
								_ =&gt; _.CifVn,
								_ =&gt; _.TaxVn,
								_ =&gt; _.VatVn,
								_ =&gt; _.InlandVn,
								_ =&gt; _.InvoiceParentId,
								_ =&gt; _.PeriodDate,
								_ =&gt; _.PeriodId,
								_ =&gt; _.HsCode,
								_ =&gt; _.PartnameVn,
								_ =&gt; _.CarName,
								_ =&gt; _.PmhistId,
								_ =&gt; _.PreCustomsId,
								_ =&gt; _.Ecus5TaxRate,
								_ =&gt; _.Ecus5VatRate,
								_ =&gt; _.Ecus5HsCode,
								_ =&gt; _.DeclareType,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configuration.CreateMap&lt;InvCkdInvoiceDetailsDto, InvCkdInvoiceDetails&gt;();
  configuration.CreateMap&lt;InvCkdInvoiceDetails, InvCkdInvoiceDetailsDto&gt;();
  configuration.CreateMap&lt;CreateOrEditInvCkdInvoiceDetailsDto, InvCkdInvoiceDetails&gt;();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5">
      <c r="A9" t="s">
        <v>367</v>
      </c>
      <c r="B9" t="s">
        <v>368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12;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[StringLength(InvCkdInvoiceDetailsConsts.MaxPartNoLength)]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35">
      <c r="A10" t="s">
        <v>369</v>
      </c>
      <c r="B10" t="s">
        <v>370</v>
      </c>
      <c r="C10" t="s">
        <v>1</v>
      </c>
      <c r="D10" t="str">
        <f t="shared" ref="D10:D11" si="13">SUBSTITUTE(PROPER(A10),"_","")</f>
        <v>LotNo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MaxLotNoLength = 10;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[StringLength(MaxLotNoLength)]
		public virtual string LotNo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[StringLength(InvCkdInvoiceDetailsConsts.MaxLotNoLength)]
		public virtual string LotNo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ref="P10:P11" si="22">REPT(CHAR(9),7)&amp;D10&amp;" = o." &amp;D10 &amp;","</f>
        <v xml:space="preserve">							LotNo = o.LotNo,</v>
      </c>
      <c r="T10" s="63" t="str">
        <f t="shared" ref="T10:T11" si="23">REPT(CHAR(9),8)&amp;"("""&amp;D10&amp;"""),"</f>
        <v xml:space="preserve">								("LotNo"),</v>
      </c>
      <c r="V10" s="64" t="str">
        <f t="shared" ref="V10:V11" si="24">REPT(CHAR(9),8)&amp;"_ =&gt; _."&amp;D10&amp;","</f>
        <v xml:space="preserve">								_ =&gt; _.LotNo,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18.75" customHeight="1" x14ac:dyDescent="0.35">
      <c r="A11" t="s">
        <v>371</v>
      </c>
      <c r="B11" t="s">
        <v>372</v>
      </c>
      <c r="C11" t="s">
        <v>1</v>
      </c>
      <c r="D11" t="str">
        <f t="shared" si="13"/>
        <v>Fixlot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MaxFixlotLength = 4;
</v>
      </c>
      <c r="J11" t="str">
        <f t="shared" si="17"/>
        <v xml:space="preserve">		[StringLength(MaxFixlotLength)]
		public virtual string Fixlot { get; set; }
</v>
      </c>
      <c r="K11" s="6"/>
      <c r="L11" t="str">
        <f t="shared" si="18"/>
        <v/>
      </c>
      <c r="M11" t="str">
        <f t="shared" si="19"/>
        <v xml:space="preserve">		public virtual string Fixlot { get; set; }
</v>
      </c>
      <c r="N11" t="str">
        <f t="shared" si="20"/>
        <v xml:space="preserve">		[StringLength(InvCkdInvoiceDetailsConsts.MaxFixlotLength)]
		public virtual string Fixlot { get; set; }
</v>
      </c>
      <c r="O11" t="str">
        <f t="shared" si="21"/>
        <v xml:space="preserve">		public virtual string Fixlot { get; set; }
</v>
      </c>
      <c r="P11" t="str">
        <f t="shared" si="22"/>
        <v xml:space="preserve">							Fixlot = o.Fixlot,</v>
      </c>
      <c r="T11" s="63" t="str">
        <f t="shared" si="23"/>
        <v xml:space="preserve">								("Fixlot"),</v>
      </c>
      <c r="V11" s="64" t="str">
        <f t="shared" si="24"/>
        <v xml:space="preserve">								_ =&gt; _.Fixlot,</v>
      </c>
      <c r="W11" s="63" t="str">
        <f t="shared" si="25"/>
        <v xml:space="preserve">				.WhereIf(!string.IsNullOrWhiteSpace(input.Fixlot), e =&gt; e.Fixlot.Contains(input.Fixlot))</v>
      </c>
    </row>
    <row r="12" spans="1:23" customFormat="1" ht="18.75" customHeight="1" x14ac:dyDescent="0.35">
      <c r="A12" t="s">
        <v>373</v>
      </c>
      <c r="B12" t="s">
        <v>374</v>
      </c>
      <c r="C12" t="s">
        <v>1</v>
      </c>
      <c r="D12" t="str">
        <f t="shared" ref="D12:D15" si="26">SUBSTITUTE(PROPER(A12),"_","")</f>
        <v>CaseNo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30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MaxCaseNoLength = 30;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[StringLength(MaxCaseNoLength)]
		public virtual string CaseNo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CaseNo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[StringLength(InvCkdInvoiceDetailsConsts.MaxCaseNoLength)]
		public virtual string CaseNo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CaseNo { get; set; }
</v>
      </c>
      <c r="P12" t="str">
        <f t="shared" ref="P12:P15" si="35">REPT(CHAR(9),7)&amp;D12&amp;" = o." &amp;D12 &amp;","</f>
        <v xml:space="preserve">							CaseNo = o.CaseNo,</v>
      </c>
      <c r="T12" s="63" t="str">
        <f t="shared" ref="T12:T15" si="36">REPT(CHAR(9),8)&amp;"("""&amp;D12&amp;"""),"</f>
        <v xml:space="preserve">								("CaseNo"),</v>
      </c>
      <c r="V12" s="64" t="str">
        <f t="shared" ref="V12:V15" si="37">REPT(CHAR(9),8)&amp;"_ =&gt; _."&amp;D12&amp;","</f>
        <v xml:space="preserve">								_ =&gt; _.CaseNo,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.WhereIf(!string.IsNullOrWhiteSpace(input.CaseNo), e =&gt; e.CaseNo.Contains(input.CaseNo))</v>
      </c>
    </row>
    <row r="13" spans="1:23" customFormat="1" ht="18.75" customHeight="1" x14ac:dyDescent="0.35">
      <c r="A13" t="s">
        <v>375</v>
      </c>
      <c r="B13" t="s">
        <v>374</v>
      </c>
      <c r="C13" t="s">
        <v>1</v>
      </c>
      <c r="D13" t="str">
        <f t="shared" si="26"/>
        <v>ModuleNo</v>
      </c>
      <c r="E13" t="str">
        <f t="shared" si="27"/>
        <v>VARCHAR</v>
      </c>
      <c r="F13" s="6"/>
      <c r="G13" t="str">
        <f t="shared" si="28"/>
        <v>30</v>
      </c>
      <c r="H13" t="str">
        <f>+VLOOKUP(E13,'Data Type Mapping'!A:B,2,)</f>
        <v>string</v>
      </c>
      <c r="I13" t="str">
        <f t="shared" si="29"/>
        <v xml:space="preserve">		public const int MaxModuleNoLength = 30;
</v>
      </c>
      <c r="J13" t="str">
        <f t="shared" si="30"/>
        <v xml:space="preserve">		[StringLength(MaxModuleNoLength)]
		public virtual string ModuleNo { get; set; }
</v>
      </c>
      <c r="K13" s="6"/>
      <c r="L13" t="str">
        <f t="shared" si="31"/>
        <v/>
      </c>
      <c r="M13" t="str">
        <f t="shared" si="32"/>
        <v xml:space="preserve">		public virtual string ModuleNo { get; set; }
</v>
      </c>
      <c r="N13" t="str">
        <f t="shared" si="33"/>
        <v xml:space="preserve">		[StringLength(InvCkdInvoiceDetailsConsts.MaxModuleNoLength)]
		public virtual string ModuleNo { get; set; }
</v>
      </c>
      <c r="O13" t="str">
        <f t="shared" si="34"/>
        <v xml:space="preserve">		public virtual string ModuleNo { get; set; }
</v>
      </c>
      <c r="P13" t="str">
        <f t="shared" si="35"/>
        <v xml:space="preserve">							ModuleNo = o.ModuleNo,</v>
      </c>
      <c r="T13" s="63" t="str">
        <f t="shared" si="36"/>
        <v xml:space="preserve">								("ModuleNo"),</v>
      </c>
      <c r="V13" s="64" t="str">
        <f t="shared" si="37"/>
        <v xml:space="preserve">								_ =&gt; _.ModuleNo,</v>
      </c>
      <c r="W13" s="63" t="str">
        <f t="shared" si="38"/>
        <v xml:space="preserve">				.WhereIf(!string.IsNullOrWhiteSpace(input.ModuleNo), e =&gt; e.ModuleNo.Contains(input.ModuleNo))</v>
      </c>
    </row>
    <row r="14" spans="1:23" customFormat="1" ht="18.75" customHeight="1" x14ac:dyDescent="0.35">
      <c r="A14" t="s">
        <v>354</v>
      </c>
      <c r="B14" t="s">
        <v>376</v>
      </c>
      <c r="C14" t="s">
        <v>1</v>
      </c>
      <c r="D14" t="str">
        <f t="shared" si="26"/>
        <v>Insurance</v>
      </c>
      <c r="E14" t="str">
        <f t="shared" si="27"/>
        <v>DECIMAL</v>
      </c>
      <c r="F14" s="6"/>
      <c r="G14" t="str">
        <f t="shared" si="28"/>
        <v>14,5</v>
      </c>
      <c r="H14" t="str">
        <f>+VLOOKUP(E14,'Data Type Mapping'!A:B,2,)</f>
        <v>decimal?</v>
      </c>
      <c r="I14" t="str">
        <f t="shared" si="29"/>
        <v/>
      </c>
      <c r="J14" t="str">
        <f t="shared" si="30"/>
        <v xml:space="preserve">		public virtual decimal? Insurance { get; set; }
</v>
      </c>
      <c r="K14" s="6"/>
      <c r="L14" t="str">
        <f t="shared" si="31"/>
        <v/>
      </c>
      <c r="M14" t="str">
        <f t="shared" si="32"/>
        <v xml:space="preserve">		public virtual decimal? Insurance { get; set; }
</v>
      </c>
      <c r="N14" t="str">
        <f t="shared" si="33"/>
        <v xml:space="preserve">		public virtual decimal? Insurance { get; set; }
</v>
      </c>
      <c r="O14" t="str">
        <f t="shared" si="34"/>
        <v/>
      </c>
      <c r="P14" t="str">
        <f t="shared" si="35"/>
        <v xml:space="preserve">							Insurance = o.Insurance,</v>
      </c>
      <c r="T14" s="63" t="str">
        <f t="shared" si="36"/>
        <v xml:space="preserve">								("Insurance"),</v>
      </c>
      <c r="V14" s="64" t="str">
        <f t="shared" si="37"/>
        <v xml:space="preserve">								_ =&gt; _.Insurance,</v>
      </c>
      <c r="W14" s="63" t="str">
        <f t="shared" si="38"/>
        <v/>
      </c>
    </row>
    <row r="15" spans="1:23" customFormat="1" ht="18.75" customHeight="1" x14ac:dyDescent="0.35">
      <c r="A15" t="s">
        <v>377</v>
      </c>
      <c r="B15" t="s">
        <v>378</v>
      </c>
      <c r="C15" t="s">
        <v>1</v>
      </c>
      <c r="D15" t="str">
        <f t="shared" si="26"/>
        <v>ContainerNo</v>
      </c>
      <c r="E15" t="str">
        <f t="shared" si="27"/>
        <v>VARCHAR</v>
      </c>
      <c r="F15" s="6"/>
      <c r="G15" t="str">
        <f t="shared" si="28"/>
        <v>15</v>
      </c>
      <c r="H15" t="str">
        <f>+VLOOKUP(E15,'Data Type Mapping'!A:B,2,)</f>
        <v>string</v>
      </c>
      <c r="I15" t="str">
        <f t="shared" si="29"/>
        <v xml:space="preserve">		public const int MaxContainerNoLength = 15;
</v>
      </c>
      <c r="J15" t="str">
        <f t="shared" si="30"/>
        <v xml:space="preserve">		[StringLength(MaxContainerNoLength)]
		public virtual string ContainerNo { get; set; }
</v>
      </c>
      <c r="K15" s="6"/>
      <c r="L15" t="str">
        <f t="shared" si="31"/>
        <v/>
      </c>
      <c r="M15" t="str">
        <f t="shared" si="32"/>
        <v xml:space="preserve">		public virtual string ContainerNo { get; set; }
</v>
      </c>
      <c r="N15" t="str">
        <f t="shared" si="33"/>
        <v xml:space="preserve">		[StringLength(InvCkdInvoiceDetailsConsts.MaxContainerNoLength)]
		public virtual string ContainerNo { get; set; }
</v>
      </c>
      <c r="O15" t="str">
        <f t="shared" si="34"/>
        <v xml:space="preserve">		public virtual string ContainerNo { get; set; }
</v>
      </c>
      <c r="P15" t="str">
        <f t="shared" si="35"/>
        <v xml:space="preserve">							ContainerNo = o.ContainerNo,</v>
      </c>
      <c r="T15" s="63" t="str">
        <f t="shared" si="36"/>
        <v xml:space="preserve">								("ContainerNo"),</v>
      </c>
      <c r="V15" s="64" t="str">
        <f t="shared" si="37"/>
        <v xml:space="preserve">								_ =&gt; _.ContainerNo,</v>
      </c>
      <c r="W15" s="63" t="str">
        <f t="shared" si="38"/>
        <v xml:space="preserve">				.WhereIf(!string.IsNullOrWhiteSpace(input.ContainerNo), e =&gt; e.ContainerNo.Contains(input.ContainerNo))</v>
      </c>
    </row>
    <row r="16" spans="1:23" customFormat="1" ht="18.75" customHeight="1" x14ac:dyDescent="0.35">
      <c r="A16" t="s">
        <v>379</v>
      </c>
      <c r="B16" t="s">
        <v>0</v>
      </c>
      <c r="C16" t="s">
        <v>1</v>
      </c>
      <c r="D16" t="str">
        <f t="shared" ref="D16:D57" si="39">SUBSTITUTE(PROPER(A16),"_","")</f>
        <v>InvoiceId</v>
      </c>
      <c r="E16" t="str">
        <f t="shared" ref="E16:E57" si="40">IFERROR(LEFT(B16, FIND("(",B16)-1),B16)</f>
        <v>bigint</v>
      </c>
      <c r="F16" s="6"/>
      <c r="G16" t="str">
        <f t="shared" ref="G16:G57" si="41">IFERROR(MID(B16,FIND("(",B16) +1, FIND(")",B16) - FIND("(",B16) - 1),"")</f>
        <v/>
      </c>
      <c r="H16" t="str">
        <f>+VLOOKUP(E16,'Data Type Mapping'!A:B,2,)</f>
        <v>long?</v>
      </c>
      <c r="I16" t="str">
        <f t="shared" ref="I16:I57" si="42">IF(H16="string",REPT(CHAR(9),2)&amp;"public const int Max"&amp;D16&amp;"Length = "&amp;G16&amp;";"&amp;$E$3,"" )</f>
        <v/>
      </c>
      <c r="J16" t="str">
        <f t="shared" ref="J16:J57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InvoiceId { get; set; }
</v>
      </c>
      <c r="K16" s="6"/>
      <c r="L16" t="str">
        <f t="shared" ref="L16:L57" si="44">IF(K16="","",REPT(CHAR(9),1)&amp;"[Index(nameof("&amp;IF(D16="","",""&amp;D16)&amp;")"&amp;", Name="&amp;"""IX_"&amp;$B$7&amp;"_"&amp;D16&amp;""")]")</f>
        <v/>
      </c>
      <c r="M16" t="str">
        <f t="shared" ref="M16:M57" si="45">REPT(CHAR(9),2)&amp;"public virtual "&amp;IF(OR(H16="DateTime",H16="TimeSpan"),H16&amp;"?",H16)&amp;IF(C16="?","? "," ")&amp;D16&amp;" { get; set; }" &amp; "
"</f>
        <v xml:space="preserve">		public virtual long? InvoiceId { get; set; }
</v>
      </c>
      <c r="N16" t="str">
        <f t="shared" ref="N16:N57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InvoiceId { get; set; }
</v>
      </c>
      <c r="O16" t="str">
        <f t="shared" ref="O16:O57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57" si="48">REPT(CHAR(9),7)&amp;D16&amp;" = o." &amp;D16 &amp;","</f>
        <v xml:space="preserve">							InvoiceId = o.InvoiceId,</v>
      </c>
      <c r="T16" s="63" t="str">
        <f t="shared" ref="T16:T57" si="49">REPT(CHAR(9),8)&amp;"("""&amp;D16&amp;"""),"</f>
        <v xml:space="preserve">								("InvoiceId"),</v>
      </c>
      <c r="V16" s="64" t="str">
        <f t="shared" ref="V16:V57" si="50">REPT(CHAR(9),8)&amp;"_ =&gt; _."&amp;D16&amp;","</f>
        <v xml:space="preserve">								_ =&gt; _.InvoiceId,</v>
      </c>
      <c r="W16" s="63" t="str">
        <f t="shared" ref="W16:W57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35">
      <c r="A17" t="s">
        <v>357</v>
      </c>
      <c r="B17" t="s">
        <v>380</v>
      </c>
      <c r="C17" t="s">
        <v>1</v>
      </c>
      <c r="D17" t="str">
        <f t="shared" si="39"/>
        <v>SupplierNo</v>
      </c>
      <c r="E17" t="str">
        <f t="shared" si="40"/>
        <v>VARCHAR</v>
      </c>
      <c r="F17" s="6"/>
      <c r="G17" t="str">
        <f t="shared" si="41"/>
        <v/>
      </c>
      <c r="H17" t="str">
        <f>+VLOOKUP(E17,'Data Type Mapping'!A:B,2,)</f>
        <v>string</v>
      </c>
      <c r="I17" t="str">
        <f t="shared" si="42"/>
        <v xml:space="preserve">		public const int MaxSupplierNoLength = ;
</v>
      </c>
      <c r="J17" t="str">
        <f t="shared" si="43"/>
        <v xml:space="preserve">		[StringLength(MaxSupplierNoLength)]
		public virtual string SupplierNo { get; set; }
</v>
      </c>
      <c r="K17" s="6"/>
      <c r="L17" t="str">
        <f t="shared" si="44"/>
        <v/>
      </c>
      <c r="M17" t="str">
        <f t="shared" si="45"/>
        <v xml:space="preserve">		public virtual string SupplierNo { get; set; }
</v>
      </c>
      <c r="N17" t="str">
        <f t="shared" si="46"/>
        <v xml:space="preserve">		[StringLength(InvCkdInvoiceDetailsConsts.MaxSupplierNoLength)]
		public virtual string SupplierNo { get; set; }
</v>
      </c>
      <c r="O17" t="str">
        <f t="shared" si="47"/>
        <v xml:space="preserve">		public virtual string SupplierNo { get; set; }
</v>
      </c>
      <c r="P17" t="str">
        <f t="shared" si="48"/>
        <v xml:space="preserve">							SupplierNo = o.SupplierNo,</v>
      </c>
      <c r="T17" s="63" t="str">
        <f t="shared" si="49"/>
        <v xml:space="preserve">								("SupplierNo"),</v>
      </c>
      <c r="V17" s="64" t="str">
        <f t="shared" si="50"/>
        <v xml:space="preserve">								_ =&gt; _.SupplierNo,</v>
      </c>
      <c r="W17" s="63" t="str">
        <f t="shared" si="51"/>
        <v xml:space="preserve">				.WhereIf(!string.IsNullOrWhiteSpace(input.SupplierNo), e =&gt; e.SupplierNo.Contains(input.SupplierNo))</v>
      </c>
    </row>
    <row r="18" spans="1:23" customFormat="1" ht="18.75" customHeight="1" x14ac:dyDescent="0.35">
      <c r="A18" t="s">
        <v>381</v>
      </c>
      <c r="B18" t="s">
        <v>382</v>
      </c>
      <c r="C18" t="s">
        <v>1</v>
      </c>
      <c r="D18" t="str">
        <f t="shared" si="39"/>
        <v>Fi</v>
      </c>
      <c r="E18" t="str">
        <f t="shared" si="40"/>
        <v>DECIMAL</v>
      </c>
      <c r="F18" s="6"/>
      <c r="G18" t="str">
        <f t="shared" si="41"/>
        <v>18,5</v>
      </c>
      <c r="H18" t="str">
        <f>+VLOOKUP(E18,'Data Type Mapping'!A:B,2,)</f>
        <v>decimal?</v>
      </c>
      <c r="I18" t="str">
        <f t="shared" si="42"/>
        <v/>
      </c>
      <c r="J18" t="str">
        <f t="shared" si="43"/>
        <v xml:space="preserve">		public virtual decimal? Fi { get; set; }
</v>
      </c>
      <c r="K18" s="6"/>
      <c r="L18" t="str">
        <f t="shared" si="44"/>
        <v/>
      </c>
      <c r="M18" t="str">
        <f t="shared" si="45"/>
        <v xml:space="preserve">		public virtual decimal? Fi { get; set; }
</v>
      </c>
      <c r="N18" t="str">
        <f t="shared" si="46"/>
        <v xml:space="preserve">		public virtual decimal? Fi { get; set; }
</v>
      </c>
      <c r="O18" t="str">
        <f t="shared" si="47"/>
        <v/>
      </c>
      <c r="P18" t="str">
        <f t="shared" si="48"/>
        <v xml:space="preserve">							Fi = o.Fi,</v>
      </c>
      <c r="T18" s="63" t="str">
        <f t="shared" si="49"/>
        <v xml:space="preserve">								("Fi"),</v>
      </c>
      <c r="V18" s="64" t="str">
        <f t="shared" si="50"/>
        <v xml:space="preserve">								_ =&gt; _.Fi,</v>
      </c>
      <c r="W18" s="63" t="str">
        <f t="shared" si="51"/>
        <v/>
      </c>
    </row>
    <row r="19" spans="1:23" customFormat="1" ht="18.75" customHeight="1" x14ac:dyDescent="0.35">
      <c r="A19" t="s">
        <v>352</v>
      </c>
      <c r="B19" t="s">
        <v>376</v>
      </c>
      <c r="C19" t="s">
        <v>1</v>
      </c>
      <c r="D19" t="str">
        <f t="shared" si="39"/>
        <v>Fob</v>
      </c>
      <c r="E19" t="str">
        <f t="shared" si="40"/>
        <v>DECIMAL</v>
      </c>
      <c r="F19" s="6"/>
      <c r="G19" t="str">
        <f t="shared" si="41"/>
        <v>14,5</v>
      </c>
      <c r="H19" t="str">
        <f>+VLOOKUP(E19,'Data Type Mapping'!A:B,2,)</f>
        <v>decimal?</v>
      </c>
      <c r="I19" t="str">
        <f t="shared" si="42"/>
        <v/>
      </c>
      <c r="J19" t="str">
        <f t="shared" si="43"/>
        <v xml:space="preserve">		public virtual decimal? Fob { get; set; }
</v>
      </c>
      <c r="K19" s="6"/>
      <c r="L19" t="str">
        <f t="shared" si="44"/>
        <v/>
      </c>
      <c r="M19" t="str">
        <f t="shared" si="45"/>
        <v xml:space="preserve">		public virtual decimal? Fob { get; set; }
</v>
      </c>
      <c r="N19" t="str">
        <f t="shared" si="46"/>
        <v xml:space="preserve">		public virtual decimal? Fob { get; set; }
</v>
      </c>
      <c r="O19" t="str">
        <f t="shared" si="47"/>
        <v/>
      </c>
      <c r="P19" t="str">
        <f t="shared" si="48"/>
        <v xml:space="preserve">							Fob = o.Fob,</v>
      </c>
      <c r="T19" s="63" t="str">
        <f t="shared" si="49"/>
        <v xml:space="preserve">								("Fob"),</v>
      </c>
      <c r="V19" s="64" t="str">
        <f t="shared" si="50"/>
        <v xml:space="preserve">								_ =&gt; _.Fob,</v>
      </c>
      <c r="W19" s="63" t="str">
        <f t="shared" si="51"/>
        <v/>
      </c>
    </row>
    <row r="20" spans="1:23" customFormat="1" ht="18.75" customHeight="1" x14ac:dyDescent="0.35">
      <c r="A20" t="s">
        <v>353</v>
      </c>
      <c r="B20" t="s">
        <v>376</v>
      </c>
      <c r="C20" t="s">
        <v>1</v>
      </c>
      <c r="D20" t="str">
        <f t="shared" si="39"/>
        <v>Freight</v>
      </c>
      <c r="E20" t="str">
        <f t="shared" si="40"/>
        <v>DECIMAL</v>
      </c>
      <c r="F20" s="6"/>
      <c r="G20" t="str">
        <f t="shared" si="41"/>
        <v>14,5</v>
      </c>
      <c r="H20" t="str">
        <f>+VLOOKUP(E20,'Data Type Mapping'!A:B,2,)</f>
        <v>decimal?</v>
      </c>
      <c r="I20" t="str">
        <f t="shared" si="42"/>
        <v/>
      </c>
      <c r="J20" t="str">
        <f t="shared" si="43"/>
        <v xml:space="preserve">		public virtual decimal? Freight { get; set; }
</v>
      </c>
      <c r="K20" s="6"/>
      <c r="L20" t="str">
        <f t="shared" si="44"/>
        <v/>
      </c>
      <c r="M20" t="str">
        <f t="shared" si="45"/>
        <v xml:space="preserve">		public virtual decimal? Freight { get; set; }
</v>
      </c>
      <c r="N20" t="str">
        <f t="shared" si="46"/>
        <v xml:space="preserve">		public virtual decimal? Freight { get; set; }
</v>
      </c>
      <c r="O20" t="str">
        <f t="shared" si="47"/>
        <v/>
      </c>
      <c r="P20" t="str">
        <f t="shared" si="48"/>
        <v xml:space="preserve">							Freight = o.Freight,</v>
      </c>
      <c r="T20" s="63" t="str">
        <f t="shared" si="49"/>
        <v xml:space="preserve">								("Freight"),</v>
      </c>
      <c r="V20" s="64" t="str">
        <f t="shared" si="50"/>
        <v xml:space="preserve">								_ =&gt; _.Freight,</v>
      </c>
      <c r="W20" s="63" t="str">
        <f t="shared" si="51"/>
        <v/>
      </c>
    </row>
    <row r="21" spans="1:23" customFormat="1" ht="18.75" customHeight="1" x14ac:dyDescent="0.35">
      <c r="A21" t="s">
        <v>383</v>
      </c>
      <c r="B21" t="s">
        <v>376</v>
      </c>
      <c r="C21" t="s">
        <v>1</v>
      </c>
      <c r="D21" t="str">
        <f t="shared" si="39"/>
        <v>Thc</v>
      </c>
      <c r="E21" t="str">
        <f t="shared" si="40"/>
        <v>DECIMAL</v>
      </c>
      <c r="F21" s="6"/>
      <c r="G21" t="str">
        <f t="shared" si="41"/>
        <v>14,5</v>
      </c>
      <c r="H21" t="str">
        <f>+VLOOKUP(E21,'Data Type Mapping'!A:B,2,)</f>
        <v>decimal?</v>
      </c>
      <c r="I21" t="str">
        <f t="shared" si="42"/>
        <v/>
      </c>
      <c r="J21" t="str">
        <f t="shared" si="43"/>
        <v xml:space="preserve">		public virtual decimal? Thc { get; set; }
</v>
      </c>
      <c r="K21" s="6"/>
      <c r="L21" t="str">
        <f t="shared" si="44"/>
        <v/>
      </c>
      <c r="M21" t="str">
        <f t="shared" si="45"/>
        <v xml:space="preserve">		public virtual decimal? Thc { get; set; }
</v>
      </c>
      <c r="N21" t="str">
        <f t="shared" si="46"/>
        <v xml:space="preserve">		public virtual decimal? Thc { get; set; }
</v>
      </c>
      <c r="O21" t="str">
        <f t="shared" si="47"/>
        <v/>
      </c>
      <c r="P21" t="str">
        <f t="shared" si="48"/>
        <v xml:space="preserve">							Thc = o.Thc,</v>
      </c>
      <c r="T21" s="63" t="str">
        <f t="shared" si="49"/>
        <v xml:space="preserve">								("Thc"),</v>
      </c>
      <c r="V21" s="64" t="str">
        <f t="shared" si="50"/>
        <v xml:space="preserve">								_ =&gt; _.Thc,</v>
      </c>
      <c r="W21" s="63" t="str">
        <f t="shared" si="51"/>
        <v/>
      </c>
    </row>
    <row r="22" spans="1:23" customFormat="1" ht="18.75" customHeight="1" x14ac:dyDescent="0.35">
      <c r="A22" t="s">
        <v>355</v>
      </c>
      <c r="B22" t="s">
        <v>382</v>
      </c>
      <c r="C22" t="s">
        <v>1</v>
      </c>
      <c r="D22" t="str">
        <f t="shared" si="39"/>
        <v>Cif</v>
      </c>
      <c r="E22" t="str">
        <f t="shared" si="40"/>
        <v>DECIMAL</v>
      </c>
      <c r="F22" s="6"/>
      <c r="G22" t="str">
        <f t="shared" si="41"/>
        <v>18,5</v>
      </c>
      <c r="H22" t="str">
        <f>+VLOOKUP(E22,'Data Type Mapping'!A:B,2,)</f>
        <v>decimal?</v>
      </c>
      <c r="I22" t="str">
        <f t="shared" si="42"/>
        <v/>
      </c>
      <c r="J22" t="str">
        <f t="shared" si="43"/>
        <v xml:space="preserve">		public virtual decimal? Cif { get; set; }
</v>
      </c>
      <c r="K22" s="6"/>
      <c r="L22" t="str">
        <f t="shared" si="44"/>
        <v/>
      </c>
      <c r="M22" t="str">
        <f t="shared" si="45"/>
        <v xml:space="preserve">		public virtual decimal? Cif { get; set; }
</v>
      </c>
      <c r="N22" t="str">
        <f t="shared" si="46"/>
        <v xml:space="preserve">		public virtual decimal? Cif { get; set; }
</v>
      </c>
      <c r="O22" t="str">
        <f t="shared" si="47"/>
        <v/>
      </c>
      <c r="P22" t="str">
        <f t="shared" si="48"/>
        <v xml:space="preserve">							Cif = o.Cif,</v>
      </c>
      <c r="T22" s="63" t="str">
        <f t="shared" si="49"/>
        <v xml:space="preserve">								("Cif"),</v>
      </c>
      <c r="V22" s="64" t="str">
        <f t="shared" si="50"/>
        <v xml:space="preserve">								_ =&gt; _.Cif,</v>
      </c>
      <c r="W22" s="63" t="str">
        <f t="shared" si="51"/>
        <v/>
      </c>
    </row>
    <row r="23" spans="1:23" customFormat="1" ht="18.75" customHeight="1" x14ac:dyDescent="0.35">
      <c r="A23" t="s">
        <v>384</v>
      </c>
      <c r="B23" t="s">
        <v>376</v>
      </c>
      <c r="C23" t="s">
        <v>1</v>
      </c>
      <c r="D23" t="str">
        <f t="shared" si="39"/>
        <v>Tax</v>
      </c>
      <c r="E23" t="str">
        <f t="shared" si="40"/>
        <v>DECIMAL</v>
      </c>
      <c r="F23" s="6"/>
      <c r="G23" t="str">
        <f t="shared" si="41"/>
        <v>14,5</v>
      </c>
      <c r="H23" t="str">
        <f>+VLOOKUP(E23,'Data Type Mapping'!A:B,2,)</f>
        <v>decimal?</v>
      </c>
      <c r="I23" t="str">
        <f t="shared" si="42"/>
        <v/>
      </c>
      <c r="J23" t="str">
        <f t="shared" si="43"/>
        <v xml:space="preserve">		public virtual decimal? Tax { get; set; }
</v>
      </c>
      <c r="K23" s="6"/>
      <c r="L23" t="str">
        <f t="shared" si="44"/>
        <v/>
      </c>
      <c r="M23" t="str">
        <f t="shared" si="45"/>
        <v xml:space="preserve">		public virtual decimal? Tax { get; set; }
</v>
      </c>
      <c r="N23" t="str">
        <f t="shared" si="46"/>
        <v xml:space="preserve">		public virtual decimal? Tax { get; set; }
</v>
      </c>
      <c r="O23" t="str">
        <f t="shared" si="47"/>
        <v/>
      </c>
      <c r="P23" t="str">
        <f t="shared" si="48"/>
        <v xml:space="preserve">							Tax = o.Tax,</v>
      </c>
      <c r="T23" s="63" t="str">
        <f t="shared" si="49"/>
        <v xml:space="preserve">								("Tax"),</v>
      </c>
      <c r="V23" s="64" t="str">
        <f t="shared" si="50"/>
        <v xml:space="preserve">								_ =&gt; _.Tax,</v>
      </c>
      <c r="W23" s="63" t="str">
        <f t="shared" si="51"/>
        <v/>
      </c>
    </row>
    <row r="24" spans="1:23" customFormat="1" ht="18.75" customHeight="1" x14ac:dyDescent="0.35">
      <c r="A24" t="s">
        <v>385</v>
      </c>
      <c r="B24" t="s">
        <v>386</v>
      </c>
      <c r="C24" t="s">
        <v>1</v>
      </c>
      <c r="D24" t="str">
        <f t="shared" ref="D24:D40" si="52">SUBSTITUTE(PROPER(A24),"_","")</f>
        <v>TaxRate</v>
      </c>
      <c r="E24" t="str">
        <f t="shared" ref="E24:E40" si="53">IFERROR(LEFT(B24, FIND("(",B24)-1),B24)</f>
        <v>DECIMAL</v>
      </c>
      <c r="F24" s="6"/>
      <c r="G24" t="str">
        <f t="shared" ref="G24:G40" si="54">IFERROR(MID(B24,FIND("(",B24) +1, FIND(")",B24) - FIND("(",B24) - 1),"")</f>
        <v>7,5</v>
      </c>
      <c r="H24" t="str">
        <f>+VLOOKUP(E24,'Data Type Mapping'!A:B,2,)</f>
        <v>decimal?</v>
      </c>
      <c r="I24" t="str">
        <f t="shared" ref="I24:I40" si="55">IF(H24="string",REPT(CHAR(9),2)&amp;"public const int Max"&amp;D24&amp;"Length = "&amp;G24&amp;";"&amp;$E$3,"" )</f>
        <v/>
      </c>
      <c r="J24" t="str">
        <f t="shared" ref="J24:J40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decimal? TaxRate { get; set; }
</v>
      </c>
      <c r="K24" s="6"/>
      <c r="L24" t="str">
        <f t="shared" ref="L24:L40" si="57">IF(K24="","",REPT(CHAR(9),1)&amp;"[Index(nameof("&amp;IF(D24="","",""&amp;D24)&amp;")"&amp;", Name="&amp;"""IX_"&amp;$B$7&amp;"_"&amp;D24&amp;""")]")</f>
        <v/>
      </c>
      <c r="M24" t="str">
        <f t="shared" ref="M24:M40" si="58">REPT(CHAR(9),2)&amp;"public virtual "&amp;IF(OR(H24="DateTime",H24="TimeSpan"),H24&amp;"?",H24)&amp;IF(C24="?","? "," ")&amp;D24&amp;" { get; set; }" &amp; "
"</f>
        <v xml:space="preserve">		public virtual decimal? TaxRate { get; set; }
</v>
      </c>
      <c r="N24" t="str">
        <f t="shared" ref="N24:N40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decimal? TaxRate { get; set; }
</v>
      </c>
      <c r="O24" t="str">
        <f t="shared" ref="O24:O40" si="60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40" si="61">REPT(CHAR(9),7)&amp;D24&amp;" = o." &amp;D24 &amp;","</f>
        <v xml:space="preserve">							TaxRate = o.TaxRate,</v>
      </c>
      <c r="T24" s="63" t="str">
        <f t="shared" ref="T24:T40" si="62">REPT(CHAR(9),8)&amp;"("""&amp;D24&amp;"""),"</f>
        <v xml:space="preserve">								("TaxRate"),</v>
      </c>
      <c r="V24" s="64" t="str">
        <f t="shared" ref="V24:V40" si="63">REPT(CHAR(9),8)&amp;"_ =&gt; _."&amp;D24&amp;","</f>
        <v xml:space="preserve">								_ =&gt; _.TaxRate,</v>
      </c>
      <c r="W24" s="63" t="str">
        <f t="shared" ref="W24:W40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35">
      <c r="A25" t="s">
        <v>387</v>
      </c>
      <c r="B25" t="s">
        <v>376</v>
      </c>
      <c r="C25" t="s">
        <v>1</v>
      </c>
      <c r="D25" t="str">
        <f t="shared" si="52"/>
        <v>Vat</v>
      </c>
      <c r="E25" t="str">
        <f t="shared" si="53"/>
        <v>DECIMAL</v>
      </c>
      <c r="F25" s="6"/>
      <c r="G25" t="str">
        <f t="shared" si="54"/>
        <v>14,5</v>
      </c>
      <c r="H25" t="str">
        <f>+VLOOKUP(E25,'Data Type Mapping'!A:B,2,)</f>
        <v>decimal?</v>
      </c>
      <c r="I25" t="str">
        <f t="shared" si="55"/>
        <v/>
      </c>
      <c r="J25" t="str">
        <f t="shared" si="56"/>
        <v xml:space="preserve">		public virtual decimal? Vat { get; set; }
</v>
      </c>
      <c r="K25" s="6"/>
      <c r="L25" t="str">
        <f t="shared" si="57"/>
        <v/>
      </c>
      <c r="M25" t="str">
        <f t="shared" si="58"/>
        <v xml:space="preserve">		public virtual decimal? Vat { get; set; }
</v>
      </c>
      <c r="N25" t="str">
        <f t="shared" si="59"/>
        <v xml:space="preserve">		public virtual decimal? Vat { get; set; }
</v>
      </c>
      <c r="O25" t="str">
        <f t="shared" si="60"/>
        <v/>
      </c>
      <c r="P25" t="str">
        <f t="shared" si="61"/>
        <v xml:space="preserve">							Vat = o.Vat,</v>
      </c>
      <c r="T25" s="63" t="str">
        <f t="shared" si="62"/>
        <v xml:space="preserve">								("Vat"),</v>
      </c>
      <c r="V25" s="64" t="str">
        <f t="shared" si="63"/>
        <v xml:space="preserve">								_ =&gt; _.Vat,</v>
      </c>
      <c r="W25" s="63" t="str">
        <f t="shared" si="64"/>
        <v/>
      </c>
    </row>
    <row r="26" spans="1:23" customFormat="1" ht="18.75" customHeight="1" x14ac:dyDescent="0.35">
      <c r="A26" t="s">
        <v>388</v>
      </c>
      <c r="B26" t="s">
        <v>386</v>
      </c>
      <c r="C26" t="s">
        <v>1</v>
      </c>
      <c r="D26" t="str">
        <f t="shared" si="52"/>
        <v>VatRate</v>
      </c>
      <c r="E26" t="str">
        <f t="shared" si="53"/>
        <v>DECIMAL</v>
      </c>
      <c r="F26" s="6"/>
      <c r="G26" t="str">
        <f t="shared" si="54"/>
        <v>7,5</v>
      </c>
      <c r="H26" t="str">
        <f>+VLOOKUP(E26,'Data Type Mapping'!A:B,2,)</f>
        <v>decimal?</v>
      </c>
      <c r="I26" t="str">
        <f t="shared" si="55"/>
        <v/>
      </c>
      <c r="J26" t="str">
        <f t="shared" si="56"/>
        <v xml:space="preserve">		public virtual decimal? VatRate { get; set; }
</v>
      </c>
      <c r="K26" s="6"/>
      <c r="L26" t="str">
        <f t="shared" si="57"/>
        <v/>
      </c>
      <c r="M26" t="str">
        <f t="shared" si="58"/>
        <v xml:space="preserve">		public virtual decimal? VatRate { get; set; }
</v>
      </c>
      <c r="N26" t="str">
        <f t="shared" si="59"/>
        <v xml:space="preserve">		public virtual decimal? VatRate { get; set; }
</v>
      </c>
      <c r="O26" t="str">
        <f t="shared" si="60"/>
        <v/>
      </c>
      <c r="P26" t="str">
        <f t="shared" si="61"/>
        <v xml:space="preserve">							VatRate = o.VatRate,</v>
      </c>
      <c r="T26" s="63" t="str">
        <f t="shared" si="62"/>
        <v xml:space="preserve">								("VatRate"),</v>
      </c>
      <c r="V26" s="64" t="str">
        <f t="shared" si="63"/>
        <v xml:space="preserve">								_ =&gt; _.VatRate,</v>
      </c>
      <c r="W26" s="63" t="str">
        <f t="shared" si="64"/>
        <v/>
      </c>
    </row>
    <row r="27" spans="1:23" customFormat="1" ht="18.75" customHeight="1" x14ac:dyDescent="0.35">
      <c r="A27" t="s">
        <v>389</v>
      </c>
      <c r="B27" t="s">
        <v>376</v>
      </c>
      <c r="C27" t="s">
        <v>1</v>
      </c>
      <c r="D27" t="str">
        <f t="shared" si="52"/>
        <v>Inland</v>
      </c>
      <c r="E27" t="str">
        <f t="shared" si="53"/>
        <v>DECIMAL</v>
      </c>
      <c r="F27" s="6"/>
      <c r="G27" t="str">
        <f t="shared" si="54"/>
        <v>14,5</v>
      </c>
      <c r="H27" t="str">
        <f>+VLOOKUP(E27,'Data Type Mapping'!A:B,2,)</f>
        <v>decimal?</v>
      </c>
      <c r="I27" t="str">
        <f t="shared" si="55"/>
        <v/>
      </c>
      <c r="J27" t="str">
        <f t="shared" si="56"/>
        <v xml:space="preserve">		public virtual decimal? Inland { get; set; }
</v>
      </c>
      <c r="K27" s="6"/>
      <c r="L27" t="str">
        <f t="shared" si="57"/>
        <v/>
      </c>
      <c r="M27" t="str">
        <f t="shared" si="58"/>
        <v xml:space="preserve">		public virtual decimal? Inland { get; set; }
</v>
      </c>
      <c r="N27" t="str">
        <f t="shared" si="59"/>
        <v xml:space="preserve">		public virtual decimal? Inland { get; set; }
</v>
      </c>
      <c r="O27" t="str">
        <f t="shared" si="60"/>
        <v/>
      </c>
      <c r="P27" t="str">
        <f t="shared" si="61"/>
        <v xml:space="preserve">							Inland = o.Inland,</v>
      </c>
      <c r="T27" s="63" t="str">
        <f t="shared" si="62"/>
        <v xml:space="preserve">								("Inland"),</v>
      </c>
      <c r="V27" s="64" t="str">
        <f t="shared" si="63"/>
        <v xml:space="preserve">								_ =&gt; _.Inland,</v>
      </c>
      <c r="W27" s="63" t="str">
        <f t="shared" si="64"/>
        <v/>
      </c>
    </row>
    <row r="28" spans="1:23" customFormat="1" ht="18.75" customHeight="1" x14ac:dyDescent="0.35">
      <c r="A28" t="s">
        <v>390</v>
      </c>
      <c r="B28" t="s">
        <v>4</v>
      </c>
      <c r="C28" t="s">
        <v>1</v>
      </c>
      <c r="D28" t="str">
        <f t="shared" si="52"/>
        <v>UsageQty</v>
      </c>
      <c r="E28" t="str">
        <f t="shared" si="53"/>
        <v>int</v>
      </c>
      <c r="F28" s="6"/>
      <c r="G28" t="str">
        <f t="shared" si="54"/>
        <v/>
      </c>
      <c r="H28" t="str">
        <f>+VLOOKUP(E28,'Data Type Mapping'!A:B,2,)</f>
        <v>int?</v>
      </c>
      <c r="I28" t="str">
        <f t="shared" si="55"/>
        <v/>
      </c>
      <c r="J28" t="str">
        <f t="shared" si="56"/>
        <v xml:space="preserve">		public virtual int? UsageQty { get; set; }
</v>
      </c>
      <c r="K28" s="6"/>
      <c r="L28" t="str">
        <f t="shared" si="57"/>
        <v/>
      </c>
      <c r="M28" t="str">
        <f t="shared" si="58"/>
        <v xml:space="preserve">		public virtual int? UsageQty { get; set; }
</v>
      </c>
      <c r="N28" t="str">
        <f t="shared" si="59"/>
        <v xml:space="preserve">		public virtual int? UsageQty { get; set; }
</v>
      </c>
      <c r="O28" t="str">
        <f t="shared" si="60"/>
        <v/>
      </c>
      <c r="P28" t="str">
        <f t="shared" si="61"/>
        <v xml:space="preserve">							UsageQty = o.UsageQty,</v>
      </c>
      <c r="T28" s="63" t="str">
        <f t="shared" si="62"/>
        <v xml:space="preserve">								("UsageQty"),</v>
      </c>
      <c r="V28" s="64" t="str">
        <f t="shared" si="63"/>
        <v xml:space="preserve">								_ =&gt; _.UsageQty,</v>
      </c>
      <c r="W28" s="63" t="str">
        <f t="shared" si="64"/>
        <v/>
      </c>
    </row>
    <row r="29" spans="1:23" customFormat="1" ht="18.75" customHeight="1" x14ac:dyDescent="0.35">
      <c r="A29" t="s">
        <v>356</v>
      </c>
      <c r="B29" t="s">
        <v>370</v>
      </c>
      <c r="C29" t="s">
        <v>1</v>
      </c>
      <c r="D29" t="str">
        <f t="shared" si="52"/>
        <v>CeptType</v>
      </c>
      <c r="E29" t="str">
        <f t="shared" si="53"/>
        <v>VARCHAR</v>
      </c>
      <c r="F29" s="6"/>
      <c r="G29" t="str">
        <f t="shared" si="54"/>
        <v>10</v>
      </c>
      <c r="H29" t="str">
        <f>+VLOOKUP(E29,'Data Type Mapping'!A:B,2,)</f>
        <v>string</v>
      </c>
      <c r="I29" t="str">
        <f t="shared" si="55"/>
        <v xml:space="preserve">		public const int MaxCeptTypeLength = 10;
</v>
      </c>
      <c r="J29" t="str">
        <f t="shared" si="56"/>
        <v xml:space="preserve">		[StringLength(MaxCeptTypeLength)]
		public virtual string CeptType { get; set; }
</v>
      </c>
      <c r="K29" s="6"/>
      <c r="L29" t="str">
        <f t="shared" si="57"/>
        <v/>
      </c>
      <c r="M29" t="str">
        <f t="shared" si="58"/>
        <v xml:space="preserve">		public virtual string CeptType { get; set; }
</v>
      </c>
      <c r="N29" t="str">
        <f t="shared" si="59"/>
        <v xml:space="preserve">		[StringLength(InvCkdInvoiceDetailsConsts.MaxCeptTypeLength)]
		public virtual string CeptType { get; set; }
</v>
      </c>
      <c r="O29" t="str">
        <f t="shared" si="60"/>
        <v xml:space="preserve">		public virtual string CeptType { get; set; }
</v>
      </c>
      <c r="P29" t="str">
        <f t="shared" si="61"/>
        <v xml:space="preserve">							CeptType = o.CeptType,</v>
      </c>
      <c r="T29" s="63" t="str">
        <f t="shared" si="62"/>
        <v xml:space="preserve">								("CeptType"),</v>
      </c>
      <c r="V29" s="64" t="str">
        <f t="shared" si="63"/>
        <v xml:space="preserve">								_ =&gt; _.CeptType,</v>
      </c>
      <c r="W29" s="63" t="str">
        <f t="shared" si="64"/>
        <v xml:space="preserve">				.WhereIf(!string.IsNullOrWhiteSpace(input.CeptType), e =&gt; e.CeptType.Contains(input.CeptType))</v>
      </c>
    </row>
    <row r="30" spans="1:23" customFormat="1" ht="18.75" customHeight="1" x14ac:dyDescent="0.35">
      <c r="A30" t="s">
        <v>391</v>
      </c>
      <c r="B30" t="s">
        <v>392</v>
      </c>
      <c r="C30" t="s">
        <v>1</v>
      </c>
      <c r="D30" t="str">
        <f t="shared" si="52"/>
        <v>PartName</v>
      </c>
      <c r="E30" t="str">
        <f t="shared" si="53"/>
        <v>VARCHAR</v>
      </c>
      <c r="F30" s="6"/>
      <c r="G30" t="str">
        <f t="shared" si="54"/>
        <v>300</v>
      </c>
      <c r="H30" t="str">
        <f>+VLOOKUP(E30,'Data Type Mapping'!A:B,2,)</f>
        <v>string</v>
      </c>
      <c r="I30" t="str">
        <f t="shared" si="55"/>
        <v xml:space="preserve">		public const int MaxPartNameLength = 300;
</v>
      </c>
      <c r="J30" t="str">
        <f t="shared" si="56"/>
        <v xml:space="preserve">		[StringLength(MaxPartNameLength)]
		public virtual string PartName { get; set; }
</v>
      </c>
      <c r="K30" s="6"/>
      <c r="L30" t="str">
        <f t="shared" si="57"/>
        <v/>
      </c>
      <c r="M30" t="str">
        <f t="shared" si="58"/>
        <v xml:space="preserve">		public virtual string PartName { get; set; }
</v>
      </c>
      <c r="N30" t="str">
        <f t="shared" si="59"/>
        <v xml:space="preserve">		[StringLength(InvCkdInvoiceDetailsConsts.MaxPartNameLength)]
		public virtual string PartName { get; set; }
</v>
      </c>
      <c r="O30" t="str">
        <f t="shared" si="60"/>
        <v xml:space="preserve">		public virtual string PartName { get; set; }
</v>
      </c>
      <c r="P30" t="str">
        <f t="shared" si="61"/>
        <v xml:space="preserve">							PartName = o.PartName,</v>
      </c>
      <c r="T30" s="63" t="str">
        <f t="shared" si="62"/>
        <v xml:space="preserve">								("PartName"),</v>
      </c>
      <c r="V30" s="64" t="str">
        <f t="shared" si="63"/>
        <v xml:space="preserve">								_ =&gt; _.PartName,</v>
      </c>
      <c r="W30" s="63" t="str">
        <f t="shared" si="64"/>
        <v xml:space="preserve">				.WhereIf(!string.IsNullOrWhiteSpace(input.PartName), e =&gt; e.PartName.Contains(input.PartName))</v>
      </c>
    </row>
    <row r="31" spans="1:23" customFormat="1" ht="18.75" customHeight="1" x14ac:dyDescent="0.35">
      <c r="A31" t="s">
        <v>393</v>
      </c>
      <c r="B31" t="s">
        <v>372</v>
      </c>
      <c r="C31" t="s">
        <v>1</v>
      </c>
      <c r="D31" t="str">
        <f t="shared" si="52"/>
        <v>CarfamilyCode</v>
      </c>
      <c r="E31" t="str">
        <f t="shared" si="53"/>
        <v>VARCHAR</v>
      </c>
      <c r="F31" s="6"/>
      <c r="G31" t="str">
        <f t="shared" si="54"/>
        <v>4</v>
      </c>
      <c r="H31" t="str">
        <f>+VLOOKUP(E31,'Data Type Mapping'!A:B,2,)</f>
        <v>string</v>
      </c>
      <c r="I31" t="str">
        <f t="shared" si="55"/>
        <v xml:space="preserve">		public const int MaxCarfamilyCodeLength = 4;
</v>
      </c>
      <c r="J31" t="str">
        <f t="shared" si="56"/>
        <v xml:space="preserve">		[StringLength(MaxCarfamilyCodeLength)]
		public virtual string CarfamilyCode { get; set; }
</v>
      </c>
      <c r="K31" s="6"/>
      <c r="L31" t="str">
        <f t="shared" si="57"/>
        <v/>
      </c>
      <c r="M31" t="str">
        <f t="shared" si="58"/>
        <v xml:space="preserve">		public virtual string CarfamilyCode { get; set; }
</v>
      </c>
      <c r="N31" t="str">
        <f t="shared" si="59"/>
        <v xml:space="preserve">		[StringLength(InvCkdInvoiceDetailsConsts.MaxCarfamilyCodeLength)]
		public virtual string CarfamilyCode { get; set; }
</v>
      </c>
      <c r="O31" t="str">
        <f t="shared" si="60"/>
        <v xml:space="preserve">		public virtual string CarfamilyCode { get; set; }
</v>
      </c>
      <c r="P31" t="str">
        <f t="shared" si="61"/>
        <v xml:space="preserve">							CarfamilyCode = o.CarfamilyCode,</v>
      </c>
      <c r="T31" s="63" t="str">
        <f t="shared" si="62"/>
        <v xml:space="preserve">								("CarfamilyCode"),</v>
      </c>
      <c r="V31" s="64" t="str">
        <f t="shared" si="63"/>
        <v xml:space="preserve">								_ =&gt; _.CarfamilyCode,</v>
      </c>
      <c r="W31" s="63" t="str">
        <f t="shared" si="64"/>
        <v xml:space="preserve">				.WhereIf(!string.IsNullOrWhiteSpace(input.CarfamilyCode), e =&gt; e.CarfamilyCode.Contains(input.CarfamilyCode))</v>
      </c>
    </row>
    <row r="32" spans="1:23" customFormat="1" ht="18.75" customHeight="1" x14ac:dyDescent="0.35">
      <c r="A32" t="s">
        <v>394</v>
      </c>
      <c r="B32" t="s">
        <v>395</v>
      </c>
      <c r="C32" t="s">
        <v>1</v>
      </c>
      <c r="D32" t="str">
        <f t="shared" si="52"/>
        <v>PartNetWeight</v>
      </c>
      <c r="E32" t="str">
        <f t="shared" si="53"/>
        <v>DECIMAL</v>
      </c>
      <c r="F32" s="6"/>
      <c r="G32" t="str">
        <f t="shared" si="54"/>
        <v>18,4</v>
      </c>
      <c r="H32" t="str">
        <f>+VLOOKUP(E32,'Data Type Mapping'!A:B,2,)</f>
        <v>decimal?</v>
      </c>
      <c r="I32" t="str">
        <f t="shared" si="55"/>
        <v/>
      </c>
      <c r="J32" t="str">
        <f t="shared" si="56"/>
        <v xml:space="preserve">		public virtual decimal? PartNetWeight { get; set; }
</v>
      </c>
      <c r="K32" s="6"/>
      <c r="L32" t="str">
        <f t="shared" si="57"/>
        <v/>
      </c>
      <c r="M32" t="str">
        <f t="shared" si="58"/>
        <v xml:space="preserve">		public virtual decimal? PartNetWeight { get; set; }
</v>
      </c>
      <c r="N32" t="str">
        <f t="shared" si="59"/>
        <v xml:space="preserve">		public virtual decimal? PartNetWeight { get; set; }
</v>
      </c>
      <c r="O32" t="str">
        <f t="shared" si="60"/>
        <v/>
      </c>
      <c r="P32" t="str">
        <f t="shared" si="61"/>
        <v xml:space="preserve">							PartNetWeight = o.PartNetWeight,</v>
      </c>
      <c r="T32" s="63" t="str">
        <f t="shared" si="62"/>
        <v xml:space="preserve">								("PartNetWeight"),</v>
      </c>
      <c r="V32" s="64" t="str">
        <f t="shared" si="63"/>
        <v xml:space="preserve">								_ =&gt; _.PartNetWeight,</v>
      </c>
      <c r="W32" s="63" t="str">
        <f t="shared" si="64"/>
        <v/>
      </c>
    </row>
    <row r="33" spans="1:23" customFormat="1" ht="18.75" customHeight="1" x14ac:dyDescent="0.35">
      <c r="A33" t="s">
        <v>396</v>
      </c>
      <c r="B33" t="s">
        <v>368</v>
      </c>
      <c r="C33" t="s">
        <v>1</v>
      </c>
      <c r="D33" t="str">
        <f t="shared" si="52"/>
        <v>OrderNo</v>
      </c>
      <c r="E33" t="str">
        <f t="shared" si="53"/>
        <v>VARCHAR</v>
      </c>
      <c r="F33" s="6"/>
      <c r="G33" t="str">
        <f t="shared" si="54"/>
        <v>12</v>
      </c>
      <c r="H33" t="str">
        <f>+VLOOKUP(E33,'Data Type Mapping'!A:B,2,)</f>
        <v>string</v>
      </c>
      <c r="I33" t="str">
        <f t="shared" si="55"/>
        <v xml:space="preserve">		public const int MaxOrderNoLength = 12;
</v>
      </c>
      <c r="J33" t="str">
        <f t="shared" si="56"/>
        <v xml:space="preserve">		[StringLength(MaxOrderNoLength)]
		public virtual string OrderNo { get; set; }
</v>
      </c>
      <c r="K33" s="6"/>
      <c r="L33" t="str">
        <f t="shared" si="57"/>
        <v/>
      </c>
      <c r="M33" t="str">
        <f t="shared" si="58"/>
        <v xml:space="preserve">		public virtual string OrderNo { get; set; }
</v>
      </c>
      <c r="N33" t="str">
        <f t="shared" si="59"/>
        <v xml:space="preserve">		[StringLength(InvCkdInvoiceDetailsConsts.MaxOrderNoLength)]
		public virtual string OrderNo { get; set; }
</v>
      </c>
      <c r="O33" t="str">
        <f t="shared" si="60"/>
        <v xml:space="preserve">		public virtual string OrderNo { get; set; }
</v>
      </c>
      <c r="P33" t="str">
        <f t="shared" si="61"/>
        <v xml:space="preserve">							OrderNo = o.OrderNo,</v>
      </c>
      <c r="T33" s="63" t="str">
        <f t="shared" si="62"/>
        <v xml:space="preserve">								("OrderNo"),</v>
      </c>
      <c r="V33" s="64" t="str">
        <f t="shared" si="63"/>
        <v xml:space="preserve">								_ =&gt; _.OrderNo,</v>
      </c>
      <c r="W33" s="63" t="str">
        <f t="shared" si="64"/>
        <v xml:space="preserve">				.WhereIf(!string.IsNullOrWhiteSpace(input.OrderNo), e =&gt; e.OrderNo.Contains(input.OrderNo))</v>
      </c>
    </row>
    <row r="34" spans="1:23" customFormat="1" ht="18.75" customHeight="1" x14ac:dyDescent="0.35">
      <c r="A34" t="s">
        <v>397</v>
      </c>
      <c r="B34" t="s">
        <v>398</v>
      </c>
      <c r="C34" t="s">
        <v>1</v>
      </c>
      <c r="D34" t="str">
        <f t="shared" si="52"/>
        <v>Firmpackingmonth</v>
      </c>
      <c r="E34" t="str">
        <f t="shared" si="53"/>
        <v>DATE</v>
      </c>
      <c r="F34" s="6"/>
      <c r="G34" t="str">
        <f t="shared" si="54"/>
        <v/>
      </c>
      <c r="H34" t="str">
        <f>+VLOOKUP(E34,'Data Type Mapping'!A:B,2,)</f>
        <v>DateTime?</v>
      </c>
      <c r="I34" t="str">
        <f t="shared" si="55"/>
        <v/>
      </c>
      <c r="J34" t="str">
        <f t="shared" si="56"/>
        <v xml:space="preserve">		public virtual DateTime? Firmpackingmonth { get; set; }
</v>
      </c>
      <c r="K34" s="6"/>
      <c r="L34" t="str">
        <f t="shared" si="57"/>
        <v/>
      </c>
      <c r="M34" t="str">
        <f t="shared" si="58"/>
        <v xml:space="preserve">		public virtual DateTime? Firmpackingmonth { get; set; }
</v>
      </c>
      <c r="N34" t="str">
        <f t="shared" si="59"/>
        <v xml:space="preserve">		public virtual DateTime? Firmpackingmonth { get; set; }
</v>
      </c>
      <c r="O34" t="str">
        <f t="shared" si="60"/>
        <v/>
      </c>
      <c r="P34" t="str">
        <f t="shared" si="61"/>
        <v xml:space="preserve">							Firmpackingmonth = o.Firmpackingmonth,</v>
      </c>
      <c r="T34" s="63" t="str">
        <f t="shared" si="62"/>
        <v xml:space="preserve">								("Firmpackingmonth"),</v>
      </c>
      <c r="V34" s="64" t="str">
        <f t="shared" si="63"/>
        <v xml:space="preserve">								_ =&gt; _.Firmpackingmonth,</v>
      </c>
      <c r="W34" s="63" t="str">
        <f t="shared" si="64"/>
        <v/>
      </c>
    </row>
    <row r="35" spans="1:23" customFormat="1" ht="18.75" customHeight="1" x14ac:dyDescent="0.35">
      <c r="A35" t="s">
        <v>399</v>
      </c>
      <c r="B35" t="s">
        <v>400</v>
      </c>
      <c r="C35" t="s">
        <v>1</v>
      </c>
      <c r="D35" t="str">
        <f t="shared" si="52"/>
        <v>ReexportCode</v>
      </c>
      <c r="E35" t="str">
        <f t="shared" si="53"/>
        <v>VARCHAR</v>
      </c>
      <c r="F35" s="6"/>
      <c r="G35" t="str">
        <f t="shared" si="54"/>
        <v>2</v>
      </c>
      <c r="H35" t="str">
        <f>+VLOOKUP(E35,'Data Type Mapping'!A:B,2,)</f>
        <v>string</v>
      </c>
      <c r="I35" t="str">
        <f t="shared" si="55"/>
        <v xml:space="preserve">		public const int MaxReexportCodeLength = 2;
</v>
      </c>
      <c r="J35" t="str">
        <f t="shared" si="56"/>
        <v xml:space="preserve">		[StringLength(MaxReexportCodeLength)]
		public virtual string ReexportCode { get; set; }
</v>
      </c>
      <c r="K35" s="6"/>
      <c r="L35" t="str">
        <f t="shared" si="57"/>
        <v/>
      </c>
      <c r="M35" t="str">
        <f t="shared" si="58"/>
        <v xml:space="preserve">		public virtual string ReexportCode { get; set; }
</v>
      </c>
      <c r="N35" t="str">
        <f t="shared" si="59"/>
        <v xml:space="preserve">		[StringLength(InvCkdInvoiceDetailsConsts.MaxReexportCodeLength)]
		public virtual string ReexportCode { get; set; }
</v>
      </c>
      <c r="O35" t="str">
        <f t="shared" si="60"/>
        <v xml:space="preserve">		public virtual string ReexportCode { get; set; }
</v>
      </c>
      <c r="P35" t="str">
        <f t="shared" si="61"/>
        <v xml:space="preserve">							ReexportCode = o.ReexportCode,</v>
      </c>
      <c r="T35" s="63" t="str">
        <f t="shared" si="62"/>
        <v xml:space="preserve">								("ReexportCode"),</v>
      </c>
      <c r="V35" s="64" t="str">
        <f t="shared" si="63"/>
        <v xml:space="preserve">								_ =&gt; _.ReexportCode,</v>
      </c>
      <c r="W35" s="63" t="str">
        <f t="shared" si="64"/>
        <v xml:space="preserve">				.WhereIf(!string.IsNullOrWhiteSpace(input.ReexportCode), e =&gt; e.ReexportCode.Contains(input.ReexportCode))</v>
      </c>
    </row>
    <row r="36" spans="1:23" customFormat="1" ht="18.75" customHeight="1" x14ac:dyDescent="0.35">
      <c r="A36" t="s">
        <v>350</v>
      </c>
      <c r="B36" t="s">
        <v>370</v>
      </c>
      <c r="C36" t="s">
        <v>1</v>
      </c>
      <c r="D36" t="str">
        <f t="shared" si="52"/>
        <v>Status</v>
      </c>
      <c r="E36" t="str">
        <f t="shared" si="53"/>
        <v>VARCHAR</v>
      </c>
      <c r="F36" s="6"/>
      <c r="G36" t="str">
        <f t="shared" si="54"/>
        <v>10</v>
      </c>
      <c r="H36" t="str">
        <f>+VLOOKUP(E36,'Data Type Mapping'!A:B,2,)</f>
        <v>string</v>
      </c>
      <c r="I36" t="str">
        <f t="shared" si="55"/>
        <v xml:space="preserve">		public const int MaxStatusLength = 10;
</v>
      </c>
      <c r="J36" t="str">
        <f t="shared" si="56"/>
        <v xml:space="preserve">		[StringLength(MaxStatusLength)]
		public virtual string Status { get; set; }
</v>
      </c>
      <c r="K36" s="6"/>
      <c r="L36" t="str">
        <f t="shared" si="57"/>
        <v/>
      </c>
      <c r="M36" t="str">
        <f t="shared" si="58"/>
        <v xml:space="preserve">		public virtual string Status { get; set; }
</v>
      </c>
      <c r="N36" t="str">
        <f t="shared" si="59"/>
        <v xml:space="preserve">		[StringLength(InvCkdInvoiceDetailsConsts.MaxStatusLength)]
		public virtual string Status { get; set; }
</v>
      </c>
      <c r="O36" t="str">
        <f t="shared" si="60"/>
        <v xml:space="preserve">		public virtual string Status { get; set; }
</v>
      </c>
      <c r="P36" t="str">
        <f t="shared" si="61"/>
        <v xml:space="preserve">							Status = o.Status,</v>
      </c>
      <c r="T36" s="63" t="str">
        <f t="shared" si="62"/>
        <v xml:space="preserve">								("Status"),</v>
      </c>
      <c r="V36" s="64" t="str">
        <f t="shared" si="63"/>
        <v xml:space="preserve">								_ =&gt; _.Status,</v>
      </c>
      <c r="W36" s="63" t="str">
        <f t="shared" si="64"/>
        <v xml:space="preserve">				.WhereIf(!string.IsNullOrWhiteSpace(input.Status), e =&gt; e.Status.Contains(input.Status))</v>
      </c>
    </row>
    <row r="37" spans="1:23" customFormat="1" ht="18.75" customHeight="1" x14ac:dyDescent="0.35">
      <c r="A37" t="s">
        <v>358</v>
      </c>
      <c r="B37" t="s">
        <v>382</v>
      </c>
      <c r="C37" t="s">
        <v>1</v>
      </c>
      <c r="D37" t="str">
        <f t="shared" si="52"/>
        <v>FobVn</v>
      </c>
      <c r="E37" t="str">
        <f t="shared" si="53"/>
        <v>DECIMAL</v>
      </c>
      <c r="F37" s="6"/>
      <c r="G37" t="str">
        <f t="shared" si="54"/>
        <v>18,5</v>
      </c>
      <c r="H37" t="str">
        <f>+VLOOKUP(E37,'Data Type Mapping'!A:B,2,)</f>
        <v>decimal?</v>
      </c>
      <c r="I37" t="str">
        <f t="shared" si="55"/>
        <v/>
      </c>
      <c r="J37" t="str">
        <f t="shared" si="56"/>
        <v xml:space="preserve">		public virtual decimal? FobVn { get; set; }
</v>
      </c>
      <c r="K37" s="6"/>
      <c r="L37" t="str">
        <f t="shared" si="57"/>
        <v/>
      </c>
      <c r="M37" t="str">
        <f t="shared" si="58"/>
        <v xml:space="preserve">		public virtual decimal? FobVn { get; set; }
</v>
      </c>
      <c r="N37" t="str">
        <f t="shared" si="59"/>
        <v xml:space="preserve">		public virtual decimal? FobVn { get; set; }
</v>
      </c>
      <c r="O37" t="str">
        <f t="shared" si="60"/>
        <v/>
      </c>
      <c r="P37" t="str">
        <f t="shared" si="61"/>
        <v xml:space="preserve">							FobVn = o.FobVn,</v>
      </c>
      <c r="T37" s="63" t="str">
        <f t="shared" si="62"/>
        <v xml:space="preserve">								("FobVn"),</v>
      </c>
      <c r="V37" s="64" t="str">
        <f t="shared" si="63"/>
        <v xml:space="preserve">								_ =&gt; _.FobVn,</v>
      </c>
      <c r="W37" s="63" t="str">
        <f t="shared" si="64"/>
        <v/>
      </c>
    </row>
    <row r="38" spans="1:23" customFormat="1" ht="18.75" customHeight="1" x14ac:dyDescent="0.35">
      <c r="A38" t="s">
        <v>401</v>
      </c>
      <c r="B38" t="s">
        <v>382</v>
      </c>
      <c r="C38" t="s">
        <v>1</v>
      </c>
      <c r="D38" t="str">
        <f t="shared" si="52"/>
        <v>FreightVn</v>
      </c>
      <c r="E38" t="str">
        <f t="shared" si="53"/>
        <v>DECIMAL</v>
      </c>
      <c r="F38" s="6"/>
      <c r="G38" t="str">
        <f t="shared" si="54"/>
        <v>18,5</v>
      </c>
      <c r="H38" t="str">
        <f>+VLOOKUP(E38,'Data Type Mapping'!A:B,2,)</f>
        <v>decimal?</v>
      </c>
      <c r="I38" t="str">
        <f t="shared" si="55"/>
        <v/>
      </c>
      <c r="J38" t="str">
        <f t="shared" si="56"/>
        <v xml:space="preserve">		public virtual decimal? FreightVn { get; set; }
</v>
      </c>
      <c r="K38" s="6"/>
      <c r="L38" t="str">
        <f t="shared" si="57"/>
        <v/>
      </c>
      <c r="M38" t="str">
        <f t="shared" si="58"/>
        <v xml:space="preserve">		public virtual decimal? FreightVn { get; set; }
</v>
      </c>
      <c r="N38" t="str">
        <f t="shared" si="59"/>
        <v xml:space="preserve">		public virtual decimal? FreightVn { get; set; }
</v>
      </c>
      <c r="O38" t="str">
        <f t="shared" si="60"/>
        <v/>
      </c>
      <c r="P38" t="str">
        <f t="shared" si="61"/>
        <v xml:space="preserve">							FreightVn = o.FreightVn,</v>
      </c>
      <c r="T38" s="63" t="str">
        <f t="shared" si="62"/>
        <v xml:space="preserve">								("FreightVn"),</v>
      </c>
      <c r="V38" s="64" t="str">
        <f t="shared" si="63"/>
        <v xml:space="preserve">								_ =&gt; _.FreightVn,</v>
      </c>
      <c r="W38" s="63" t="str">
        <f t="shared" si="64"/>
        <v/>
      </c>
    </row>
    <row r="39" spans="1:23" customFormat="1" ht="18.75" customHeight="1" x14ac:dyDescent="0.35">
      <c r="A39" t="s">
        <v>402</v>
      </c>
      <c r="B39" t="s">
        <v>382</v>
      </c>
      <c r="C39" t="s">
        <v>1</v>
      </c>
      <c r="D39" t="str">
        <f t="shared" si="52"/>
        <v>InsuranceVn</v>
      </c>
      <c r="E39" t="str">
        <f t="shared" si="53"/>
        <v>DECIMAL</v>
      </c>
      <c r="F39" s="6"/>
      <c r="G39" t="str">
        <f t="shared" si="54"/>
        <v>18,5</v>
      </c>
      <c r="H39" t="str">
        <f>+VLOOKUP(E39,'Data Type Mapping'!A:B,2,)</f>
        <v>decimal?</v>
      </c>
      <c r="I39" t="str">
        <f t="shared" si="55"/>
        <v/>
      </c>
      <c r="J39" t="str">
        <f t="shared" si="56"/>
        <v xml:space="preserve">		public virtual decimal? InsuranceVn { get; set; }
</v>
      </c>
      <c r="K39" s="6"/>
      <c r="L39" t="str">
        <f t="shared" si="57"/>
        <v/>
      </c>
      <c r="M39" t="str">
        <f t="shared" si="58"/>
        <v xml:space="preserve">		public virtual decimal? InsuranceVn { get; set; }
</v>
      </c>
      <c r="N39" t="str">
        <f t="shared" si="59"/>
        <v xml:space="preserve">		public virtual decimal? InsuranceVn { get; set; }
</v>
      </c>
      <c r="O39" t="str">
        <f t="shared" si="60"/>
        <v/>
      </c>
      <c r="P39" t="str">
        <f t="shared" si="61"/>
        <v xml:space="preserve">							InsuranceVn = o.InsuranceVn,</v>
      </c>
      <c r="T39" s="63" t="str">
        <f t="shared" si="62"/>
        <v xml:space="preserve">								("InsuranceVn"),</v>
      </c>
      <c r="V39" s="64" t="str">
        <f t="shared" si="63"/>
        <v xml:space="preserve">								_ =&gt; _.InsuranceVn,</v>
      </c>
      <c r="W39" s="63" t="str">
        <f t="shared" si="64"/>
        <v/>
      </c>
    </row>
    <row r="40" spans="1:23" customFormat="1" ht="18.75" customHeight="1" x14ac:dyDescent="0.35">
      <c r="A40" t="s">
        <v>403</v>
      </c>
      <c r="B40" t="s">
        <v>382</v>
      </c>
      <c r="C40" t="s">
        <v>1</v>
      </c>
      <c r="D40" t="str">
        <f t="shared" si="52"/>
        <v>FiVn</v>
      </c>
      <c r="E40" t="str">
        <f t="shared" si="53"/>
        <v>DECIMAL</v>
      </c>
      <c r="F40" s="6"/>
      <c r="G40" t="str">
        <f t="shared" si="54"/>
        <v>18,5</v>
      </c>
      <c r="H40" t="str">
        <f>+VLOOKUP(E40,'Data Type Mapping'!A:B,2,)</f>
        <v>decimal?</v>
      </c>
      <c r="I40" t="str">
        <f t="shared" si="55"/>
        <v/>
      </c>
      <c r="J40" t="str">
        <f t="shared" si="56"/>
        <v xml:space="preserve">		public virtual decimal? FiVn { get; set; }
</v>
      </c>
      <c r="K40" s="6"/>
      <c r="L40" t="str">
        <f t="shared" si="57"/>
        <v/>
      </c>
      <c r="M40" t="str">
        <f t="shared" si="58"/>
        <v xml:space="preserve">		public virtual decimal? FiVn { get; set; }
</v>
      </c>
      <c r="N40" t="str">
        <f t="shared" si="59"/>
        <v xml:space="preserve">		public virtual decimal? FiVn { get; set; }
</v>
      </c>
      <c r="O40" t="str">
        <f t="shared" si="60"/>
        <v/>
      </c>
      <c r="P40" t="str">
        <f t="shared" si="61"/>
        <v xml:space="preserve">							FiVn = o.FiVn,</v>
      </c>
      <c r="T40" s="63" t="str">
        <f t="shared" si="62"/>
        <v xml:space="preserve">								("FiVn"),</v>
      </c>
      <c r="V40" s="64" t="str">
        <f t="shared" si="63"/>
        <v xml:space="preserve">								_ =&gt; _.FiVn,</v>
      </c>
      <c r="W40" s="63" t="str">
        <f t="shared" si="64"/>
        <v/>
      </c>
    </row>
    <row r="41" spans="1:23" customFormat="1" ht="18.75" customHeight="1" x14ac:dyDescent="0.35">
      <c r="A41" t="s">
        <v>404</v>
      </c>
      <c r="B41" t="s">
        <v>382</v>
      </c>
      <c r="C41" t="s">
        <v>1</v>
      </c>
      <c r="D41" t="str">
        <f t="shared" si="39"/>
        <v>ThcVn</v>
      </c>
      <c r="E41" t="str">
        <f t="shared" si="40"/>
        <v>DECIMAL</v>
      </c>
      <c r="F41" s="6"/>
      <c r="G41" t="str">
        <f t="shared" si="41"/>
        <v>18,5</v>
      </c>
      <c r="H41" t="str">
        <f>+VLOOKUP(E41,'Data Type Mapping'!A:B,2,)</f>
        <v>decimal?</v>
      </c>
      <c r="I41" t="str">
        <f t="shared" si="42"/>
        <v/>
      </c>
      <c r="J41" t="str">
        <f t="shared" si="43"/>
        <v xml:space="preserve">		public virtual decimal? ThcVn { get; set; }
</v>
      </c>
      <c r="K41" s="6"/>
      <c r="L41" t="str">
        <f t="shared" si="44"/>
        <v/>
      </c>
      <c r="M41" t="str">
        <f t="shared" si="45"/>
        <v xml:space="preserve">		public virtual decimal? ThcVn { get; set; }
</v>
      </c>
      <c r="N41" t="str">
        <f t="shared" si="46"/>
        <v xml:space="preserve">		public virtual decimal? ThcVn { get; set; }
</v>
      </c>
      <c r="O41" t="str">
        <f t="shared" si="47"/>
        <v/>
      </c>
      <c r="P41" t="str">
        <f t="shared" si="48"/>
        <v xml:space="preserve">							ThcVn = o.ThcVn,</v>
      </c>
      <c r="T41" s="63" t="str">
        <f t="shared" si="49"/>
        <v xml:space="preserve">								("ThcVn"),</v>
      </c>
      <c r="V41" s="64" t="str">
        <f t="shared" si="50"/>
        <v xml:space="preserve">								_ =&gt; _.ThcVn,</v>
      </c>
      <c r="W41" s="63" t="str">
        <f t="shared" si="51"/>
        <v/>
      </c>
    </row>
    <row r="42" spans="1:23" customFormat="1" ht="18.75" customHeight="1" x14ac:dyDescent="0.35">
      <c r="A42" t="s">
        <v>359</v>
      </c>
      <c r="B42" t="s">
        <v>382</v>
      </c>
      <c r="C42" t="s">
        <v>1</v>
      </c>
      <c r="D42" t="str">
        <f t="shared" si="39"/>
        <v>CifVn</v>
      </c>
      <c r="E42" t="str">
        <f t="shared" si="40"/>
        <v>DECIMAL</v>
      </c>
      <c r="F42" s="6"/>
      <c r="G42" t="str">
        <f t="shared" si="41"/>
        <v>18,5</v>
      </c>
      <c r="H42" t="str">
        <f>+VLOOKUP(E42,'Data Type Mapping'!A:B,2,)</f>
        <v>decimal?</v>
      </c>
      <c r="I42" t="str">
        <f t="shared" si="42"/>
        <v/>
      </c>
      <c r="J42" t="str">
        <f t="shared" si="43"/>
        <v xml:space="preserve">		public virtual decimal? CifVn { get; set; }
</v>
      </c>
      <c r="K42" s="6"/>
      <c r="L42" t="str">
        <f t="shared" si="44"/>
        <v/>
      </c>
      <c r="M42" t="str">
        <f t="shared" si="45"/>
        <v xml:space="preserve">		public virtual decimal? CifVn { get; set; }
</v>
      </c>
      <c r="N42" t="str">
        <f t="shared" si="46"/>
        <v xml:space="preserve">		public virtual decimal? CifVn { get; set; }
</v>
      </c>
      <c r="O42" t="str">
        <f t="shared" si="47"/>
        <v/>
      </c>
      <c r="P42" t="str">
        <f t="shared" si="48"/>
        <v xml:space="preserve">							CifVn = o.CifVn,</v>
      </c>
      <c r="T42" s="63" t="str">
        <f t="shared" si="49"/>
        <v xml:space="preserve">								("CifVn"),</v>
      </c>
      <c r="V42" s="64" t="str">
        <f t="shared" si="50"/>
        <v xml:space="preserve">								_ =&gt; _.CifVn,</v>
      </c>
      <c r="W42" s="63" t="str">
        <f t="shared" si="51"/>
        <v/>
      </c>
    </row>
    <row r="43" spans="1:23" customFormat="1" ht="18.75" customHeight="1" x14ac:dyDescent="0.35">
      <c r="A43" t="s">
        <v>405</v>
      </c>
      <c r="B43" t="s">
        <v>382</v>
      </c>
      <c r="C43" t="s">
        <v>1</v>
      </c>
      <c r="D43" t="str">
        <f t="shared" si="39"/>
        <v>TaxVn</v>
      </c>
      <c r="E43" t="str">
        <f t="shared" si="40"/>
        <v>DECIMAL</v>
      </c>
      <c r="F43" s="6"/>
      <c r="G43" t="str">
        <f t="shared" si="41"/>
        <v>18,5</v>
      </c>
      <c r="H43" t="str">
        <f>+VLOOKUP(E43,'Data Type Mapping'!A:B,2,)</f>
        <v>decimal?</v>
      </c>
      <c r="I43" t="str">
        <f t="shared" si="42"/>
        <v/>
      </c>
      <c r="J43" t="str">
        <f t="shared" si="43"/>
        <v xml:space="preserve">		public virtual decimal? TaxVn { get; set; }
</v>
      </c>
      <c r="K43" s="6"/>
      <c r="L43" t="str">
        <f t="shared" si="44"/>
        <v/>
      </c>
      <c r="M43" t="str">
        <f t="shared" si="45"/>
        <v xml:space="preserve">		public virtual decimal? TaxVn { get; set; }
</v>
      </c>
      <c r="N43" t="str">
        <f t="shared" si="46"/>
        <v xml:space="preserve">		public virtual decimal? TaxVn { get; set; }
</v>
      </c>
      <c r="O43" t="str">
        <f t="shared" si="47"/>
        <v/>
      </c>
      <c r="P43" t="str">
        <f t="shared" si="48"/>
        <v xml:space="preserve">							TaxVn = o.TaxVn,</v>
      </c>
      <c r="T43" s="63" t="str">
        <f t="shared" si="49"/>
        <v xml:space="preserve">								("TaxVn"),</v>
      </c>
      <c r="V43" s="64" t="str">
        <f t="shared" si="50"/>
        <v xml:space="preserve">								_ =&gt; _.TaxVn,</v>
      </c>
      <c r="W43" s="63" t="str">
        <f t="shared" si="51"/>
        <v/>
      </c>
    </row>
    <row r="44" spans="1:23" customFormat="1" ht="18.75" customHeight="1" x14ac:dyDescent="0.35">
      <c r="A44" t="s">
        <v>406</v>
      </c>
      <c r="B44" t="s">
        <v>382</v>
      </c>
      <c r="C44" t="s">
        <v>1</v>
      </c>
      <c r="D44" t="str">
        <f t="shared" si="39"/>
        <v>VatVn</v>
      </c>
      <c r="E44" t="str">
        <f t="shared" si="40"/>
        <v>DECIMAL</v>
      </c>
      <c r="F44" s="6"/>
      <c r="G44" t="str">
        <f t="shared" si="41"/>
        <v>18,5</v>
      </c>
      <c r="H44" t="str">
        <f>+VLOOKUP(E44,'Data Type Mapping'!A:B,2,)</f>
        <v>decimal?</v>
      </c>
      <c r="I44" t="str">
        <f t="shared" si="42"/>
        <v/>
      </c>
      <c r="J44" t="str">
        <f t="shared" si="43"/>
        <v xml:space="preserve">		public virtual decimal? VatVn { get; set; }
</v>
      </c>
      <c r="K44" s="6"/>
      <c r="L44" t="str">
        <f t="shared" si="44"/>
        <v/>
      </c>
      <c r="M44" t="str">
        <f t="shared" si="45"/>
        <v xml:space="preserve">		public virtual decimal? VatVn { get; set; }
</v>
      </c>
      <c r="N44" t="str">
        <f t="shared" si="46"/>
        <v xml:space="preserve">		public virtual decimal? VatVn { get; set; }
</v>
      </c>
      <c r="O44" t="str">
        <f t="shared" si="47"/>
        <v/>
      </c>
      <c r="P44" t="str">
        <f t="shared" si="48"/>
        <v xml:space="preserve">							VatVn = o.VatVn,</v>
      </c>
      <c r="T44" s="63" t="str">
        <f t="shared" si="49"/>
        <v xml:space="preserve">								("VatVn"),</v>
      </c>
      <c r="V44" s="64" t="str">
        <f t="shared" si="50"/>
        <v xml:space="preserve">								_ =&gt; _.VatVn,</v>
      </c>
      <c r="W44" s="63" t="str">
        <f t="shared" si="51"/>
        <v/>
      </c>
    </row>
    <row r="45" spans="1:23" customFormat="1" ht="18.75" customHeight="1" x14ac:dyDescent="0.35">
      <c r="A45" t="s">
        <v>407</v>
      </c>
      <c r="B45" t="s">
        <v>382</v>
      </c>
      <c r="C45" t="s">
        <v>1</v>
      </c>
      <c r="D45" t="str">
        <f t="shared" si="39"/>
        <v>InlandVn</v>
      </c>
      <c r="E45" t="str">
        <f t="shared" si="40"/>
        <v>DECIMAL</v>
      </c>
      <c r="F45" s="6"/>
      <c r="G45" t="str">
        <f t="shared" si="41"/>
        <v>18,5</v>
      </c>
      <c r="H45" t="str">
        <f>+VLOOKUP(E45,'Data Type Mapping'!A:B,2,)</f>
        <v>decimal?</v>
      </c>
      <c r="I45" t="str">
        <f t="shared" si="42"/>
        <v/>
      </c>
      <c r="J45" t="str">
        <f t="shared" si="43"/>
        <v xml:space="preserve">		public virtual decimal? InlandVn { get; set; }
</v>
      </c>
      <c r="K45" s="6"/>
      <c r="L45" t="str">
        <f t="shared" si="44"/>
        <v/>
      </c>
      <c r="M45" t="str">
        <f t="shared" si="45"/>
        <v xml:space="preserve">		public virtual decimal? InlandVn { get; set; }
</v>
      </c>
      <c r="N45" t="str">
        <f t="shared" si="46"/>
        <v xml:space="preserve">		public virtual decimal? InlandVn { get; set; }
</v>
      </c>
      <c r="O45" t="str">
        <f t="shared" si="47"/>
        <v/>
      </c>
      <c r="P45" t="str">
        <f t="shared" si="48"/>
        <v xml:space="preserve">							InlandVn = o.InlandVn,</v>
      </c>
      <c r="T45" s="63" t="str">
        <f t="shared" si="49"/>
        <v xml:space="preserve">								("InlandVn"),</v>
      </c>
      <c r="V45" s="64" t="str">
        <f t="shared" si="50"/>
        <v xml:space="preserve">								_ =&gt; _.InlandVn,</v>
      </c>
      <c r="W45" s="63" t="str">
        <f t="shared" si="51"/>
        <v/>
      </c>
    </row>
    <row r="46" spans="1:23" customFormat="1" ht="18.75" customHeight="1" x14ac:dyDescent="0.35">
      <c r="A46" t="s">
        <v>351</v>
      </c>
      <c r="B46" t="s">
        <v>0</v>
      </c>
      <c r="C46" t="s">
        <v>1</v>
      </c>
      <c r="D46" t="str">
        <f t="shared" si="39"/>
        <v>InvoiceParentId</v>
      </c>
      <c r="E46" t="str">
        <f t="shared" si="40"/>
        <v>bigint</v>
      </c>
      <c r="F46" s="6"/>
      <c r="G46" t="str">
        <f t="shared" si="41"/>
        <v/>
      </c>
      <c r="H46" t="str">
        <f>+VLOOKUP(E46,'Data Type Mapping'!A:B,2,)</f>
        <v>long?</v>
      </c>
      <c r="I46" t="str">
        <f t="shared" si="42"/>
        <v/>
      </c>
      <c r="J46" t="str">
        <f t="shared" si="43"/>
        <v xml:space="preserve">		public virtual long? InvoiceParentId { get; set; }
</v>
      </c>
      <c r="K46" s="6"/>
      <c r="L46" t="str">
        <f t="shared" si="44"/>
        <v/>
      </c>
      <c r="M46" t="str">
        <f t="shared" si="45"/>
        <v xml:space="preserve">		public virtual long? InvoiceParentId { get; set; }
</v>
      </c>
      <c r="N46" t="str">
        <f t="shared" si="46"/>
        <v xml:space="preserve">		public virtual long? InvoiceParentId { get; set; }
</v>
      </c>
      <c r="O46" t="str">
        <f t="shared" si="47"/>
        <v/>
      </c>
      <c r="P46" t="str">
        <f t="shared" si="48"/>
        <v xml:space="preserve">							InvoiceParentId = o.InvoiceParentId,</v>
      </c>
      <c r="T46" s="63" t="str">
        <f t="shared" si="49"/>
        <v xml:space="preserve">								("InvoiceParentId"),</v>
      </c>
      <c r="V46" s="64" t="str">
        <f t="shared" si="50"/>
        <v xml:space="preserve">								_ =&gt; _.InvoiceParentId,</v>
      </c>
      <c r="W46" s="63" t="str">
        <f t="shared" si="51"/>
        <v/>
      </c>
    </row>
    <row r="47" spans="1:23" customFormat="1" ht="18.75" customHeight="1" x14ac:dyDescent="0.35">
      <c r="A47" t="s">
        <v>408</v>
      </c>
      <c r="B47" t="s">
        <v>398</v>
      </c>
      <c r="C47" t="s">
        <v>1</v>
      </c>
      <c r="D47" t="str">
        <f t="shared" si="39"/>
        <v>PeriodDate</v>
      </c>
      <c r="E47" t="str">
        <f t="shared" si="40"/>
        <v>DATE</v>
      </c>
      <c r="F47" s="6"/>
      <c r="G47" t="str">
        <f t="shared" si="41"/>
        <v/>
      </c>
      <c r="H47" t="str">
        <f>+VLOOKUP(E47,'Data Type Mapping'!A:B,2,)</f>
        <v>DateTime?</v>
      </c>
      <c r="I47" t="str">
        <f t="shared" si="42"/>
        <v/>
      </c>
      <c r="J47" t="str">
        <f t="shared" si="43"/>
        <v xml:space="preserve">		public virtual DateTime? PeriodDate { get; set; }
</v>
      </c>
      <c r="K47" s="6"/>
      <c r="L47" t="str">
        <f t="shared" si="44"/>
        <v/>
      </c>
      <c r="M47" t="str">
        <f t="shared" si="45"/>
        <v xml:space="preserve">		public virtual DateTime? PeriodDate { get; set; }
</v>
      </c>
      <c r="N47" t="str">
        <f t="shared" si="46"/>
        <v xml:space="preserve">		public virtual DateTime? PeriodDate { get; set; }
</v>
      </c>
      <c r="O47" t="str">
        <f t="shared" si="47"/>
        <v/>
      </c>
      <c r="P47" t="str">
        <f t="shared" si="48"/>
        <v xml:space="preserve">							PeriodDate = o.PeriodDate,</v>
      </c>
      <c r="T47" s="63" t="str">
        <f t="shared" si="49"/>
        <v xml:space="preserve">								("PeriodDate"),</v>
      </c>
      <c r="V47" s="64" t="str">
        <f t="shared" si="50"/>
        <v xml:space="preserve">								_ =&gt; _.PeriodDate,</v>
      </c>
      <c r="W47" s="63" t="str">
        <f t="shared" si="51"/>
        <v/>
      </c>
    </row>
    <row r="48" spans="1:23" customFormat="1" ht="18.75" customHeight="1" x14ac:dyDescent="0.35">
      <c r="A48" t="s">
        <v>360</v>
      </c>
      <c r="B48" t="s">
        <v>409</v>
      </c>
      <c r="C48" t="s">
        <v>1</v>
      </c>
      <c r="D48" t="str">
        <f t="shared" si="39"/>
        <v>PeriodId</v>
      </c>
      <c r="E48" t="str">
        <f t="shared" si="40"/>
        <v>DECIMAL</v>
      </c>
      <c r="F48" s="6"/>
      <c r="G48" t="str">
        <f t="shared" si="41"/>
        <v>19,5</v>
      </c>
      <c r="H48" t="str">
        <f>+VLOOKUP(E48,'Data Type Mapping'!A:B,2,)</f>
        <v>decimal?</v>
      </c>
      <c r="I48" t="str">
        <f t="shared" si="42"/>
        <v/>
      </c>
      <c r="J48" t="str">
        <f t="shared" si="43"/>
        <v xml:space="preserve">		public virtual decimal? PeriodId { get; set; }
</v>
      </c>
      <c r="K48" s="6"/>
      <c r="L48" t="str">
        <f t="shared" si="44"/>
        <v/>
      </c>
      <c r="M48" t="str">
        <f t="shared" si="45"/>
        <v xml:space="preserve">		public virtual decimal? PeriodId { get; set; }
</v>
      </c>
      <c r="N48" t="str">
        <f t="shared" si="46"/>
        <v xml:space="preserve">		public virtual decimal? PeriodId { get; set; }
</v>
      </c>
      <c r="O48" t="str">
        <f t="shared" si="47"/>
        <v/>
      </c>
      <c r="P48" t="str">
        <f t="shared" si="48"/>
        <v xml:space="preserve">							PeriodId = o.PeriodId,</v>
      </c>
      <c r="T48" s="63" t="str">
        <f t="shared" si="49"/>
        <v xml:space="preserve">								("PeriodId"),</v>
      </c>
      <c r="V48" s="64" t="str">
        <f t="shared" si="50"/>
        <v xml:space="preserve">								_ =&gt; _.PeriodId,</v>
      </c>
      <c r="W48" s="63" t="str">
        <f t="shared" si="51"/>
        <v/>
      </c>
    </row>
    <row r="49" spans="1:23" customFormat="1" ht="18.75" customHeight="1" x14ac:dyDescent="0.35">
      <c r="A49" t="s">
        <v>410</v>
      </c>
      <c r="B49" t="s">
        <v>411</v>
      </c>
      <c r="C49" t="s">
        <v>1</v>
      </c>
      <c r="D49" t="str">
        <f t="shared" si="39"/>
        <v>HsCode</v>
      </c>
      <c r="E49" t="str">
        <f t="shared" si="40"/>
        <v>VARCHAR</v>
      </c>
      <c r="F49" s="6"/>
      <c r="G49" t="str">
        <f t="shared" si="41"/>
        <v>20</v>
      </c>
      <c r="H49" t="str">
        <f>+VLOOKUP(E49,'Data Type Mapping'!A:B,2,)</f>
        <v>string</v>
      </c>
      <c r="I49" t="str">
        <f t="shared" si="42"/>
        <v xml:space="preserve">		public const int MaxHsCodeLength = 20;
</v>
      </c>
      <c r="J49" t="str">
        <f t="shared" si="43"/>
        <v xml:space="preserve">		[StringLength(MaxHsCodeLength)]
		public virtual string HsCode { get; set; }
</v>
      </c>
      <c r="K49" s="6"/>
      <c r="L49" t="str">
        <f t="shared" si="44"/>
        <v/>
      </c>
      <c r="M49" t="str">
        <f t="shared" si="45"/>
        <v xml:space="preserve">		public virtual string HsCode { get; set; }
</v>
      </c>
      <c r="N49" t="str">
        <f t="shared" si="46"/>
        <v xml:space="preserve">		[StringLength(InvCkdInvoiceDetailsConsts.MaxHsCodeLength)]
		public virtual string HsCode { get; set; }
</v>
      </c>
      <c r="O49" t="str">
        <f t="shared" si="47"/>
        <v xml:space="preserve">		public virtual string HsCode { get; set; }
</v>
      </c>
      <c r="P49" t="str">
        <f t="shared" si="48"/>
        <v xml:space="preserve">							HsCode = o.HsCode,</v>
      </c>
      <c r="T49" s="63" t="str">
        <f t="shared" si="49"/>
        <v xml:space="preserve">								("HsCode"),</v>
      </c>
      <c r="V49" s="64" t="str">
        <f t="shared" si="50"/>
        <v xml:space="preserve">								_ =&gt; _.HsCode,</v>
      </c>
      <c r="W49" s="63" t="str">
        <f t="shared" si="51"/>
        <v xml:space="preserve">				.WhereIf(!string.IsNullOrWhiteSpace(input.HsCode), e =&gt; e.HsCode.Contains(input.HsCode))</v>
      </c>
    </row>
    <row r="50" spans="1:23" customFormat="1" ht="18.75" customHeight="1" x14ac:dyDescent="0.35">
      <c r="A50" t="s">
        <v>412</v>
      </c>
      <c r="B50" t="s">
        <v>392</v>
      </c>
      <c r="C50" t="s">
        <v>1</v>
      </c>
      <c r="D50" t="str">
        <f t="shared" si="39"/>
        <v>PartnameVn</v>
      </c>
      <c r="E50" t="str">
        <f t="shared" si="40"/>
        <v>VARCHAR</v>
      </c>
      <c r="F50" s="6"/>
      <c r="G50" t="str">
        <f t="shared" si="41"/>
        <v>300</v>
      </c>
      <c r="H50" t="str">
        <f>+VLOOKUP(E50,'Data Type Mapping'!A:B,2,)</f>
        <v>string</v>
      </c>
      <c r="I50" t="str">
        <f t="shared" si="42"/>
        <v xml:space="preserve">		public const int MaxPartnameVnLength = 300;
</v>
      </c>
      <c r="J50" t="str">
        <f t="shared" si="43"/>
        <v xml:space="preserve">		[StringLength(MaxPartnameVnLength)]
		public virtual string PartnameVn { get; set; }
</v>
      </c>
      <c r="K50" s="6"/>
      <c r="L50" t="str">
        <f t="shared" si="44"/>
        <v/>
      </c>
      <c r="M50" t="str">
        <f t="shared" si="45"/>
        <v xml:space="preserve">		public virtual string PartnameVn { get; set; }
</v>
      </c>
      <c r="N50" t="str">
        <f t="shared" si="46"/>
        <v xml:space="preserve">		[StringLength(InvCkdInvoiceDetailsConsts.MaxPartnameVnLength)]
		public virtual string PartnameVn { get; set; }
</v>
      </c>
      <c r="O50" t="str">
        <f t="shared" si="47"/>
        <v xml:space="preserve">		public virtual string PartnameVn { get; set; }
</v>
      </c>
      <c r="P50" t="str">
        <f t="shared" si="48"/>
        <v xml:space="preserve">							PartnameVn = o.PartnameVn,</v>
      </c>
      <c r="T50" s="63" t="str">
        <f t="shared" si="49"/>
        <v xml:space="preserve">								("PartnameVn"),</v>
      </c>
      <c r="V50" s="64" t="str">
        <f t="shared" si="50"/>
        <v xml:space="preserve">								_ =&gt; _.PartnameVn,</v>
      </c>
      <c r="W50" s="63" t="str">
        <f t="shared" si="51"/>
        <v xml:space="preserve">				.WhereIf(!string.IsNullOrWhiteSpace(input.PartnameVn), e =&gt; e.PartnameVn.Contains(input.PartnameVn))</v>
      </c>
    </row>
    <row r="51" spans="1:23" customFormat="1" ht="18.75" customHeight="1" x14ac:dyDescent="0.35">
      <c r="A51" t="s">
        <v>413</v>
      </c>
      <c r="B51" t="s">
        <v>414</v>
      </c>
      <c r="C51" t="s">
        <v>1</v>
      </c>
      <c r="D51" t="str">
        <f t="shared" si="39"/>
        <v>CarName</v>
      </c>
      <c r="E51" t="str">
        <f t="shared" si="40"/>
        <v>VARCHAR</v>
      </c>
      <c r="F51" s="6"/>
      <c r="G51" t="str">
        <f t="shared" si="41"/>
        <v>200</v>
      </c>
      <c r="H51" t="str">
        <f>+VLOOKUP(E51,'Data Type Mapping'!A:B,2,)</f>
        <v>string</v>
      </c>
      <c r="I51" t="str">
        <f t="shared" si="42"/>
        <v xml:space="preserve">		public const int MaxCarNameLength = 200;
</v>
      </c>
      <c r="J51" t="str">
        <f t="shared" si="43"/>
        <v xml:space="preserve">		[StringLength(MaxCarNameLength)]
		public virtual string CarName { get; set; }
</v>
      </c>
      <c r="K51" s="6"/>
      <c r="L51" t="str">
        <f t="shared" si="44"/>
        <v/>
      </c>
      <c r="M51" t="str">
        <f t="shared" si="45"/>
        <v xml:space="preserve">		public virtual string CarName { get; set; }
</v>
      </c>
      <c r="N51" t="str">
        <f t="shared" si="46"/>
        <v xml:space="preserve">		[StringLength(InvCkdInvoiceDetailsConsts.MaxCarNameLength)]
		public virtual string CarName { get; set; }
</v>
      </c>
      <c r="O51" t="str">
        <f t="shared" si="47"/>
        <v xml:space="preserve">		public virtual string CarName { get; set; }
</v>
      </c>
      <c r="P51" t="str">
        <f t="shared" si="48"/>
        <v xml:space="preserve">							CarName = o.CarName,</v>
      </c>
      <c r="T51" s="63" t="str">
        <f t="shared" si="49"/>
        <v xml:space="preserve">								("CarName"),</v>
      </c>
      <c r="V51" s="64" t="str">
        <f t="shared" si="50"/>
        <v xml:space="preserve">								_ =&gt; _.CarName,</v>
      </c>
      <c r="W51" s="63" t="str">
        <f t="shared" si="51"/>
        <v xml:space="preserve">				.WhereIf(!string.IsNullOrWhiteSpace(input.CarName), e =&gt; e.CarName.Contains(input.CarName))</v>
      </c>
    </row>
    <row r="52" spans="1:23" customFormat="1" ht="18.75" customHeight="1" x14ac:dyDescent="0.35">
      <c r="A52" t="s">
        <v>415</v>
      </c>
      <c r="B52" t="s">
        <v>0</v>
      </c>
      <c r="C52" t="s">
        <v>1</v>
      </c>
      <c r="D52" t="str">
        <f t="shared" si="39"/>
        <v>PmhistId</v>
      </c>
      <c r="E52" t="str">
        <f t="shared" si="40"/>
        <v>bigint</v>
      </c>
      <c r="F52" s="6"/>
      <c r="G52" t="str">
        <f t="shared" si="41"/>
        <v/>
      </c>
      <c r="H52" t="str">
        <f>+VLOOKUP(E52,'Data Type Mapping'!A:B,2,)</f>
        <v>long?</v>
      </c>
      <c r="I52" t="str">
        <f t="shared" si="42"/>
        <v/>
      </c>
      <c r="J52" t="str">
        <f t="shared" si="43"/>
        <v xml:space="preserve">		public virtual long? PmhistId { get; set; }
</v>
      </c>
      <c r="K52" s="6"/>
      <c r="L52" t="str">
        <f t="shared" si="44"/>
        <v/>
      </c>
      <c r="M52" t="str">
        <f t="shared" si="45"/>
        <v xml:space="preserve">		public virtual long? PmhistId { get; set; }
</v>
      </c>
      <c r="N52" t="str">
        <f t="shared" si="46"/>
        <v xml:space="preserve">		public virtual long? PmhistId { get; set; }
</v>
      </c>
      <c r="O52" t="str">
        <f t="shared" si="47"/>
        <v/>
      </c>
      <c r="P52" t="str">
        <f t="shared" si="48"/>
        <v xml:space="preserve">							PmhistId = o.PmhistId,</v>
      </c>
      <c r="T52" s="63" t="str">
        <f t="shared" si="49"/>
        <v xml:space="preserve">								("PmhistId"),</v>
      </c>
      <c r="V52" s="64" t="str">
        <f t="shared" si="50"/>
        <v xml:space="preserve">								_ =&gt; _.PmhistId,</v>
      </c>
      <c r="W52" s="63" t="str">
        <f t="shared" si="51"/>
        <v/>
      </c>
    </row>
    <row r="53" spans="1:23" customFormat="1" ht="18.75" customHeight="1" x14ac:dyDescent="0.35">
      <c r="A53" t="s">
        <v>416</v>
      </c>
      <c r="B53" t="s">
        <v>0</v>
      </c>
      <c r="C53" t="s">
        <v>1</v>
      </c>
      <c r="D53" t="str">
        <f t="shared" si="39"/>
        <v>PreCustomsId</v>
      </c>
      <c r="E53" t="str">
        <f t="shared" si="40"/>
        <v>bigint</v>
      </c>
      <c r="F53" s="6"/>
      <c r="G53" t="str">
        <f t="shared" si="41"/>
        <v/>
      </c>
      <c r="H53" t="str">
        <f>+VLOOKUP(E53,'Data Type Mapping'!A:B,2,)</f>
        <v>long?</v>
      </c>
      <c r="I53" t="str">
        <f t="shared" si="42"/>
        <v/>
      </c>
      <c r="J53" t="str">
        <f t="shared" si="43"/>
        <v xml:space="preserve">		public virtual long? PreCustomsId { get; set; }
</v>
      </c>
      <c r="K53" s="6"/>
      <c r="L53" t="str">
        <f t="shared" si="44"/>
        <v/>
      </c>
      <c r="M53" t="str">
        <f t="shared" si="45"/>
        <v xml:space="preserve">		public virtual long? PreCustomsId { get; set; }
</v>
      </c>
      <c r="N53" t="str">
        <f t="shared" si="46"/>
        <v xml:space="preserve">		public virtual long? PreCustomsId { get; set; }
</v>
      </c>
      <c r="O53" t="str">
        <f t="shared" si="47"/>
        <v/>
      </c>
      <c r="P53" t="str">
        <f t="shared" si="48"/>
        <v xml:space="preserve">							PreCustomsId = o.PreCustomsId,</v>
      </c>
      <c r="T53" s="63" t="str">
        <f t="shared" si="49"/>
        <v xml:space="preserve">								("PreCustomsId"),</v>
      </c>
      <c r="V53" s="64" t="str">
        <f t="shared" si="50"/>
        <v xml:space="preserve">								_ =&gt; _.PreCustomsId,</v>
      </c>
      <c r="W53" s="63" t="str">
        <f t="shared" si="51"/>
        <v/>
      </c>
    </row>
    <row r="54" spans="1:23" customFormat="1" ht="18.75" customHeight="1" x14ac:dyDescent="0.35">
      <c r="A54" t="s">
        <v>417</v>
      </c>
      <c r="B54" t="s">
        <v>4</v>
      </c>
      <c r="C54" t="s">
        <v>1</v>
      </c>
      <c r="D54" t="str">
        <f t="shared" si="39"/>
        <v>Ecus5TaxRate</v>
      </c>
      <c r="E54" t="str">
        <f t="shared" si="40"/>
        <v>int</v>
      </c>
      <c r="F54" s="6"/>
      <c r="G54" t="str">
        <f t="shared" si="41"/>
        <v/>
      </c>
      <c r="H54" t="str">
        <f>+VLOOKUP(E54,'Data Type Mapping'!A:B,2,)</f>
        <v>int?</v>
      </c>
      <c r="I54" t="str">
        <f t="shared" si="42"/>
        <v/>
      </c>
      <c r="J54" t="str">
        <f t="shared" si="43"/>
        <v xml:space="preserve">		public virtual int? Ecus5TaxRate { get; set; }
</v>
      </c>
      <c r="K54" s="6"/>
      <c r="L54" t="str">
        <f t="shared" si="44"/>
        <v/>
      </c>
      <c r="M54" t="str">
        <f t="shared" si="45"/>
        <v xml:space="preserve">		public virtual int? Ecus5TaxRate { get; set; }
</v>
      </c>
      <c r="N54" t="str">
        <f t="shared" si="46"/>
        <v xml:space="preserve">		public virtual int? Ecus5TaxRate { get; set; }
</v>
      </c>
      <c r="O54" t="str">
        <f t="shared" si="47"/>
        <v/>
      </c>
      <c r="P54" t="str">
        <f t="shared" si="48"/>
        <v xml:space="preserve">							Ecus5TaxRate = o.Ecus5TaxRate,</v>
      </c>
      <c r="T54" s="63" t="str">
        <f t="shared" si="49"/>
        <v xml:space="preserve">								("Ecus5TaxRate"),</v>
      </c>
      <c r="V54" s="64" t="str">
        <f t="shared" si="50"/>
        <v xml:space="preserve">								_ =&gt; _.Ecus5TaxRate,</v>
      </c>
      <c r="W54" s="63" t="str">
        <f t="shared" si="51"/>
        <v/>
      </c>
    </row>
    <row r="55" spans="1:23" customFormat="1" ht="18.75" customHeight="1" x14ac:dyDescent="0.35">
      <c r="A55" t="s">
        <v>418</v>
      </c>
      <c r="B55" t="s">
        <v>4</v>
      </c>
      <c r="C55" t="s">
        <v>1</v>
      </c>
      <c r="D55" t="str">
        <f t="shared" si="39"/>
        <v>Ecus5VatRate</v>
      </c>
      <c r="E55" t="str">
        <f t="shared" si="40"/>
        <v>int</v>
      </c>
      <c r="F55" s="6"/>
      <c r="G55" t="str">
        <f t="shared" si="41"/>
        <v/>
      </c>
      <c r="H55" t="str">
        <f>+VLOOKUP(E55,'Data Type Mapping'!A:B,2,)</f>
        <v>int?</v>
      </c>
      <c r="I55" t="str">
        <f t="shared" si="42"/>
        <v/>
      </c>
      <c r="J55" t="str">
        <f t="shared" si="43"/>
        <v xml:space="preserve">		public virtual int? Ecus5VatRate { get; set; }
</v>
      </c>
      <c r="K55" s="6"/>
      <c r="L55" t="str">
        <f t="shared" si="44"/>
        <v/>
      </c>
      <c r="M55" t="str">
        <f t="shared" si="45"/>
        <v xml:space="preserve">		public virtual int? Ecus5VatRate { get; set; }
</v>
      </c>
      <c r="N55" t="str">
        <f t="shared" si="46"/>
        <v xml:space="preserve">		public virtual int? Ecus5VatRate { get; set; }
</v>
      </c>
      <c r="O55" t="str">
        <f t="shared" si="47"/>
        <v/>
      </c>
      <c r="P55" t="str">
        <f t="shared" si="48"/>
        <v xml:space="preserve">							Ecus5VatRate = o.Ecus5VatRate,</v>
      </c>
      <c r="T55" s="63" t="str">
        <f t="shared" si="49"/>
        <v xml:space="preserve">								("Ecus5VatRate"),</v>
      </c>
      <c r="V55" s="64" t="str">
        <f t="shared" si="50"/>
        <v xml:space="preserve">								_ =&gt; _.Ecus5VatRate,</v>
      </c>
      <c r="W55" s="63" t="str">
        <f t="shared" si="51"/>
        <v/>
      </c>
    </row>
    <row r="56" spans="1:23" customFormat="1" ht="18.75" customHeight="1" x14ac:dyDescent="0.35">
      <c r="A56" t="s">
        <v>419</v>
      </c>
      <c r="B56" t="s">
        <v>411</v>
      </c>
      <c r="C56" t="s">
        <v>1</v>
      </c>
      <c r="D56" t="str">
        <f t="shared" si="39"/>
        <v>Ecus5HsCode</v>
      </c>
      <c r="E56" t="str">
        <f t="shared" si="40"/>
        <v>VARCHAR</v>
      </c>
      <c r="F56" s="6"/>
      <c r="G56" t="str">
        <f t="shared" si="41"/>
        <v>20</v>
      </c>
      <c r="H56" t="str">
        <f>+VLOOKUP(E56,'Data Type Mapping'!A:B,2,)</f>
        <v>string</v>
      </c>
      <c r="I56" t="str">
        <f t="shared" si="42"/>
        <v xml:space="preserve">		public const int MaxEcus5HsCodeLength = 20;
</v>
      </c>
      <c r="J56" t="str">
        <f t="shared" si="43"/>
        <v xml:space="preserve">		[StringLength(MaxEcus5HsCodeLength)]
		public virtual string Ecus5HsCode { get; set; }
</v>
      </c>
      <c r="K56" s="6"/>
      <c r="L56" t="str">
        <f t="shared" si="44"/>
        <v/>
      </c>
      <c r="M56" t="str">
        <f t="shared" si="45"/>
        <v xml:space="preserve">		public virtual string Ecus5HsCode { get; set; }
</v>
      </c>
      <c r="N56" t="str">
        <f t="shared" si="46"/>
        <v xml:space="preserve">		[StringLength(InvCkdInvoiceDetailsConsts.MaxEcus5HsCodeLength)]
		public virtual string Ecus5HsCode { get; set; }
</v>
      </c>
      <c r="O56" t="str">
        <f t="shared" si="47"/>
        <v xml:space="preserve">		public virtual string Ecus5HsCode { get; set; }
</v>
      </c>
      <c r="P56" t="str">
        <f t="shared" si="48"/>
        <v xml:space="preserve">							Ecus5HsCode = o.Ecus5HsCode,</v>
      </c>
      <c r="T56" s="63" t="str">
        <f t="shared" si="49"/>
        <v xml:space="preserve">								("Ecus5HsCode"),</v>
      </c>
      <c r="V56" s="64" t="str">
        <f t="shared" si="50"/>
        <v xml:space="preserve">								_ =&gt; _.Ecus5HsCode,</v>
      </c>
      <c r="W56" s="63" t="str">
        <f t="shared" si="51"/>
        <v xml:space="preserve">				.WhereIf(!string.IsNullOrWhiteSpace(input.Ecus5HsCode), e =&gt; e.Ecus5HsCode.Contains(input.Ecus5HsCode))</v>
      </c>
    </row>
    <row r="57" spans="1:23" customFormat="1" ht="18.75" customHeight="1" x14ac:dyDescent="0.35">
      <c r="A57" t="s">
        <v>420</v>
      </c>
      <c r="B57" t="s">
        <v>370</v>
      </c>
      <c r="C57" t="s">
        <v>1</v>
      </c>
      <c r="D57" t="str">
        <f t="shared" si="39"/>
        <v>DeclareType</v>
      </c>
      <c r="E57" t="str">
        <f t="shared" si="40"/>
        <v>VARCHAR</v>
      </c>
      <c r="F57" s="6"/>
      <c r="G57" t="str">
        <f t="shared" si="41"/>
        <v>10</v>
      </c>
      <c r="H57" t="str">
        <f>+VLOOKUP(E57,'Data Type Mapping'!A:B,2,)</f>
        <v>string</v>
      </c>
      <c r="I57" t="str">
        <f t="shared" si="42"/>
        <v xml:space="preserve">		public const int MaxDeclareTypeLength = 10;
</v>
      </c>
      <c r="J57" t="str">
        <f t="shared" si="43"/>
        <v xml:space="preserve">		[StringLength(MaxDeclareTypeLength)]
		public virtual string DeclareType { get; set; }
</v>
      </c>
      <c r="K57" s="6"/>
      <c r="L57" t="str">
        <f t="shared" si="44"/>
        <v/>
      </c>
      <c r="M57" t="str">
        <f t="shared" si="45"/>
        <v xml:space="preserve">		public virtual string DeclareType { get; set; }
</v>
      </c>
      <c r="N57" t="str">
        <f t="shared" si="46"/>
        <v xml:space="preserve">		[StringLength(InvCkdInvoiceDetailsConsts.MaxDeclareTypeLength)]
		public virtual string DeclareType { get; set; }
</v>
      </c>
      <c r="O57" t="str">
        <f t="shared" si="47"/>
        <v xml:space="preserve">		public virtual string DeclareType { get; set; }
</v>
      </c>
      <c r="P57" t="str">
        <f t="shared" si="48"/>
        <v xml:space="preserve">							DeclareType = o.DeclareType,</v>
      </c>
      <c r="T57" s="63" t="str">
        <f t="shared" si="49"/>
        <v xml:space="preserve">								("DeclareType"),</v>
      </c>
      <c r="V57" s="64" t="str">
        <f t="shared" si="50"/>
        <v xml:space="preserve">								_ =&gt; _.DeclareType,</v>
      </c>
      <c r="W57" s="63" t="str">
        <f t="shared" si="51"/>
        <v xml:space="preserve">				.WhereIf(!string.IsNullOrWhiteSpace(input.DeclareType), e =&gt; e.DeclareType.Contains(input.DeclareType))</v>
      </c>
    </row>
    <row r="58" spans="1:23" customFormat="1" ht="18.75" customHeight="1" x14ac:dyDescent="0.35">
      <c r="A58" t="s">
        <v>319</v>
      </c>
      <c r="B58" t="s">
        <v>421</v>
      </c>
      <c r="C58" t="s">
        <v>1</v>
      </c>
      <c r="D58" t="str">
        <f t="shared" ref="D58" si="65">SUBSTITUTE(PROPER(A58),"_","")</f>
        <v>IsActive</v>
      </c>
      <c r="E58" t="str">
        <f t="shared" ref="E58" si="66">IFERROR(LEFT(B58, FIND("(",B58)-1),B58)</f>
        <v>VARCHAR</v>
      </c>
      <c r="F58" s="6"/>
      <c r="G58" t="str">
        <f t="shared" ref="G58" si="67">IFERROR(MID(B58,FIND("(",B58) +1, FIND(")",B58) - FIND("(",B58) - 1),"")</f>
        <v>1</v>
      </c>
      <c r="H58" t="str">
        <f>+VLOOKUP(E58,'Data Type Mapping'!A:B,2,)</f>
        <v>string</v>
      </c>
      <c r="I58" t="str">
        <f t="shared" ref="I58" si="68">IF(H58="string",REPT(CHAR(9),2)&amp;"public const int Max"&amp;D58&amp;"Length = "&amp;G58&amp;";"&amp;$E$3,"" )</f>
        <v xml:space="preserve">		public const int MaxIsActiveLength = 1;
</v>
      </c>
      <c r="J58" t="str">
        <f t="shared" ref="J58" si="69">IF(F58="","",REPT(CHAR(9),2)&amp;"[Column(TypeName="""&amp;F58&amp;""")]"&amp;$E$3)&amp;IF(C58="Checked","",$I$3)&amp;IF(H58="string",REPT(CHAR(9),2)&amp;"[StringLength(Max"&amp;D58&amp;"Length"&amp;")]"&amp;$E$3,"")&amp;REPT(CHAR(9),2)&amp;"public virtual "&amp;H58&amp;IF(C58="?","? "," ")&amp;D58&amp;" { get; set; }" &amp; "
"</f>
        <v xml:space="preserve">		[StringLength(MaxIsActiveLength)]
		public virtual string IsActive { get; set; }
</v>
      </c>
      <c r="K58" s="6"/>
      <c r="L58" t="str">
        <f t="shared" ref="L58" si="70">IF(K58="","",REPT(CHAR(9),1)&amp;"[Index(nameof("&amp;IF(D58="","",""&amp;D58)&amp;")"&amp;", Name="&amp;"""IX_"&amp;$B$7&amp;"_"&amp;D58&amp;""")]")</f>
        <v/>
      </c>
      <c r="M58" t="str">
        <f t="shared" ref="M58" si="71">REPT(CHAR(9),2)&amp;"public virtual "&amp;IF(OR(H58="DateTime",H58="TimeSpan"),H58&amp;"?",H58)&amp;IF(C58="?","? "," ")&amp;D58&amp;" { get; set; }" &amp; "
"</f>
        <v xml:space="preserve">		public virtual string IsActive { get; set; }
</v>
      </c>
      <c r="N58" t="str">
        <f t="shared" ref="N58" si="72">IF(C58="Checked","",$I$3)&amp;IF(H58="string",REPT(CHAR(9),2)&amp;"[StringLength("&amp;$B$3&amp;"Consts.Max"&amp;D58&amp;"Length"&amp;")]"&amp;$E$3,"")&amp;REPT(CHAR(9),2)&amp;"public virtual "&amp;IF(OR(H58="DateTime",H58="TimeSpan"),H58&amp;"?",H58)&amp;IF(C58="?","? "," ")&amp;D58&amp;" { get; set; }" &amp; "
"</f>
        <v xml:space="preserve">		[StringLength(InvCkdInvoiceDetailsConsts.MaxIsActiveLength)]
		public virtual string IsActive { get; set; }
</v>
      </c>
      <c r="O58" t="str">
        <f t="shared" ref="O58" si="73">IF(OR(H58="string",H58="DateTime",H58="int"),REPT(CHAR(9),2)&amp;"public virtual "&amp;IF(OR(H58="DateTime",H58="TimeSpan"),H58&amp;"?",H58)&amp;IF(C58="?","? "," ")&amp;D58&amp;" { get; set; }"&amp;$E$3,"")</f>
        <v xml:space="preserve">		public virtual string IsActive { get; set; }
</v>
      </c>
      <c r="P58" t="str">
        <f t="shared" ref="P58" si="74">REPT(CHAR(9),7)&amp;D58&amp;" = o." &amp;D58 &amp;","</f>
        <v xml:space="preserve">							IsActive = o.IsActive,</v>
      </c>
      <c r="T58" s="63" t="str">
        <f t="shared" ref="T58" si="75">REPT(CHAR(9),8)&amp;"("""&amp;D58&amp;"""),"</f>
        <v xml:space="preserve">								("IsActive"),</v>
      </c>
      <c r="V58" s="64" t="str">
        <f t="shared" ref="V58" si="76">REPT(CHAR(9),8)&amp;"_ =&gt; _."&amp;D58&amp;","</f>
        <v xml:space="preserve">								_ =&gt; _.IsActive,</v>
      </c>
      <c r="W58" s="63" t="str">
        <f t="shared" ref="W58" si="77">IF(H58="string",REPT(CHAR(9),4)&amp;".WhereIf(!string.IsNullOrWhiteSpace(input."&amp;D58&amp;"), e =&gt; e."&amp;D58&amp;".Contains(input."&amp;D58&amp;"))",IF(H58="DateTime",REPT(CHAR(9),4)&amp;".WhereIf(input."&amp;D58&amp;".HasValue, t =&gt; t."&amp;D58&amp;" == input."&amp;D58&amp;".Value)",""))</f>
        <v xml:space="preserve">				.WhereIf(!string.IsNullOrWhiteSpace(input.IsActive), e =&gt; e.IsActive.Contains(input.IsActive))</v>
      </c>
    </row>
    <row r="60" spans="1:23" ht="45.75" customHeight="1" x14ac:dyDescent="0.35">
      <c r="H60" s="11"/>
      <c r="I60" s="31" t="str">
        <f ca="1">TEXTJOIN2("
", TRUE,INDIRECT( $H$1):INDIRECT( $H$3))</f>
        <v xml:space="preserve">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;
		public const int MaxCeptTypeLength = 10;
		public const int MaxPartNameLength = 300;
		public const int MaxCarfamilyCodeLength = 4;
		public const int MaxOrderNoLength = 12;
		public const int MaxReexportCodeLength = 2;
		public const int MaxStatusLength = 10;
		public const int MaxHsCodeLength = 20;
		public const int MaxPartnameVnLength = 300;
		public const int MaxCarNameLength = 200;
		public const int MaxEcus5HsCodeLength = 20;
		public const int MaxDeclareTypeLength = 10;
		public const int MaxIsActiveLength = 1;
</v>
      </c>
      <c r="J60" s="30" t="str">
        <f ca="1">TEXTJOIN2("
", TRUE,INDIRECT( $F$1):INDIRECT( $F$3))</f>
        <v xml:space="preserve">		[StringLength(MaxPartNoLength)]
		public virtual string PartNo { get; set; }
		[StringLength(MaxLotNoLength)]
		public virtual string LotNo { get; set; }
		[StringLength(MaxFixlotLength)]
		public virtual string Fixlot { get; set; }
		[StringLength(MaxCaseNoLength)]
		public virtual string CaseNo { get; set; }
		[StringLength(MaxModuleNoLength)]
		public virtual string ModuleNo { get; set; }
		public virtual decimal? Insurance { get; set; }
		[StringLength(MaxContainerNoLength)]
		public virtual string ContainerNo { get; set; }
		public virtual long? InvoiceId { get; set; }
		[StringLength(MaxSupplierNoLength)]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[StringLength(MaxCeptTypeLength)]
		public virtual string CeptType { get; set; }
		[StringLength(MaxPartNameLength)]
		public virtual string PartName { get; set; }
		[StringLength(MaxCarfamilyCodeLength)]
		public virtual string CarfamilyCode { get; set; }
		public virtual decimal? PartNetWeight { get; set; }
		[StringLength(MaxOrderNoLength)]
		public virtual string OrderNo { get; set; }
		public virtual DateTime? Firmpackingmonth { get; set; }
		[StringLength(MaxReexportCodeLength)]
		public virtual string ReexportCode { get; set; }
		[StringLength(MaxStatusLength)]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[StringLength(MaxHsCodeLength)]
		public virtual string HsCode { get; set; }
		[StringLength(MaxPartnameVnLength)]
		public virtual string PartnameVn { get; set; }
		[StringLength(MaxCarNameLength)]
		public virtual string CarName { get; set; }
		public virtual long? PmhistId { get; set; }
		public virtual long? PreCustomsId { get; set; }
		public virtual int? Ecus5TaxRate { get; set; }
		public virtual int? Ecus5VatRate { get; set; }
		[StringLength(MaxEcus5HsCodeLength)]
		public virtual string Ecus5HsCode { get; set; }
		[StringLength(MaxDeclareTypeLength)]
		public virtual string DeclareType { get; set; }
		[StringLength(MaxIsActiveLength)]
		public virtual string IsActive { get; set; }
</v>
      </c>
      <c r="K60" s="32" t="str">
        <f ca="1">TEXTJOIN2("
", TRUE,INDIRECT( $J$1):INDIRECT( $J$3))</f>
        <v/>
      </c>
      <c r="L60" s="12" t="s">
        <v>57</v>
      </c>
      <c r="M60" s="33" t="str">
        <f ca="1">TEXTJOIN2("
",TRUE,INDIRECT( $L$1):INDIRECT($L$3))</f>
        <v xml:space="preserve">		public virtual string PartNo { get; set; }
		public virtual string LotNo { get; set; }
		public virtual string Fixlot { get; set; }
		public virtual string CaseNo { get; set; }
		public virtual string ModuleNo { get; set; }
		public virtual decimal? Insurance { get; set; }
		public virtual string ContainerNo { get; set; }
		public virtual long? InvoiceId { get; set; }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public virtual string CeptType { get; set; }
		public virtual string PartName { get; set; }
		public virtual string CarfamilyCode { get; set; }
		public virtual decimal? PartNetWeight { get; set; }
		public virtual string OrderNo { get; set; }
		public virtual DateTime? Firmpackingmonth { get; set; }
		public virtual string ReexportCode { get; set; }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public virtual string HsCode { get; set; }
		public virtual string PartnameVn { get; set; }
		public virtual string CarName { get; set; }
		public virtual long? PmhistId { get; set; }
		public virtual long? PreCustomsId { get; set; }
		public virtual int? Ecus5TaxRate { get; set; }
		public virtual int? Ecus5VatRate { get; set; }
		public virtual string Ecus5HsCode { get; set; }
		public virtual string DeclareType { get; set; }
		public virtual string IsActive { get; set; }
</v>
      </c>
      <c r="N60" s="30" t="str">
        <f ca="1">TEXTJOIN2("
",TRUE,INDIRECT( $M$1):INDIRECT($M$3))</f>
        <v xml:space="preserve">		[StringLength(InvCkdInvoiceDetailsConsts.MaxPartNoLength)]
		public virtual string PartNo { get; set; }
		[StringLength(InvCkdInvoiceDetailsConsts.MaxLotNoLength)]
		public virtual string LotNo { get; set; }
		[StringLength(InvCkdInvoiceDetailsConsts.MaxFixlotLength)]
		public virtual string Fixlot { get; set; }
		[StringLength(InvCkdInvoiceDetailsConsts.MaxCaseNoLength)]
		public virtual string CaseNo { get; set; }
		[StringLength(InvCkdInvoiceDetailsConsts.MaxModuleNoLength)]
		public virtual string ModuleNo { get; set; }
		public virtual decimal? Insurance { get; set; }
		[StringLength(InvCkdInvoiceDetailsConsts.MaxContainerNoLength)]
		public virtual string ContainerNo { get; set; }
		public virtual long? InvoiceId { get; set; }
		[StringLength(InvCkdInvoiceDetailsConsts.MaxSupplierNoLength)]
		public virtual string SupplierNo { get; set; }
		public virtual decimal? Fi { get; set; }
		public virtual decimal? Fob { get; set; }
		public virtual decimal? Freight { get; set; }
		public virtual decimal? Thc { get; set; }
		public virtual decimal? Cif { get; set; }
		public virtual decimal? Tax { get; set; }
		public virtual decimal? TaxRate { get; set; }
		public virtual decimal? Vat { get; set; }
		public virtual decimal? VatRate { get; set; }
		public virtual decimal? Inland { get; set; }
		public virtual int? UsageQty { get; set; }
		[StringLength(InvCkdInvoiceDetailsConsts.MaxCeptTypeLength)]
		public virtual string CeptType { get; set; }
		[StringLength(InvCkdInvoiceDetailsConsts.MaxPartNameLength)]
		public virtual string PartName { get; set; }
		[StringLength(InvCkdInvoiceDetailsConsts.MaxCarfamilyCodeLength)]
		public virtual string CarfamilyCode { get; set; }
		public virtual decimal? PartNetWeight { get; set; }
		[StringLength(InvCkdInvoiceDetailsConsts.MaxOrderNoLength)]
		public virtual string OrderNo { get; set; }
		public virtual DateTime? Firmpackingmonth { get; set; }
		[StringLength(InvCkdInvoiceDetailsConsts.MaxReexportCodeLength)]
		public virtual string ReexportCode { get; set; }
		[StringLength(InvCkdInvoiceDetailsConsts.MaxStatusLength)]
		public virtual string Status { get; set; }
		public virtual decimal? FobVn { get; set; }
		public virtual decimal? FreightVn { get; set; }
		public virtual decimal? InsuranceVn { get; set; }
		public virtual decimal? FiVn { get; set; }
		public virtual decimal? ThcVn { get; set; }
		public virtual decimal? CifVn { get; set; }
		public virtual decimal? TaxVn { get; set; }
		public virtual decimal? VatVn { get; set; }
		public virtual decimal? InlandVn { get; set; }
		public virtual long? InvoiceParentId { get; set; }
		public virtual DateTime? PeriodDate { get; set; }
		public virtual decimal? PeriodId { get; set; }
		[StringLength(InvCkdInvoiceDetailsConsts.MaxHsCodeLength)]
		public virtual string HsCode { get; set; }
		[StringLength(InvCkdInvoiceDetailsConsts.MaxPartnameVnLength)]
		public virtual string PartnameVn { get; set; }
		[StringLength(InvCkdInvoiceDetailsConsts.MaxCarNameLength)]
		public virtual string CarName { get; set; }
		public virtual long? PmhistId { get; set; }
		public virtual long? PreCustomsId { get; set; }
		public virtual int? Ecus5TaxRate { get; set; }
		public virtual int? Ecus5VatRate { get; set; }
		[StringLength(InvCkdInvoiceDetailsConsts.MaxEcus5HsCodeLength)]
		public virtual string Ecus5HsCode { get; set; }
		[StringLength(InvCkdInvoiceDetailsConsts.MaxDeclareTypeLength)]
		public virtual string DeclareType { get; set; }
		[StringLength(InvCkdInvoiceDetailsConsts.MaxIsActiveLength)]
		public virtual string IsActive { get; set; }
</v>
      </c>
      <c r="O60" s="30" t="str">
        <f ca="1">TEXTJOIN2("
",TRUE,INDIRECT( $N$1):INDIRECT($N$3))</f>
        <v xml:space="preserve">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string CeptType { get; set; }
		public virtual string PartName { get; set; }
		public virtual string CarfamilyCode { get; set; }
		public virtual string OrderNo { get; set; }
		public virtual string ReexportCode { get; set; }
		public virtual string Status { get; set; }
		public virtual string HsCode { get; set; }
		public virtual string PartnameVn { get; set; }
		public virtual string CarName { get; set; }
		public virtual string Ecus5HsCode { get; set; }
		public virtual string DeclareType { get; set; }
		public virtual string IsActive { get; set; }
</v>
      </c>
      <c r="P60" s="8" t="str">
        <f ca="1">TEXTJOIN2("
",TRUE,INDIRECT( $O$1):INDIRECT($O$3))</f>
        <v xml:space="preserve">							PartNo = o.PartNo,
							LotNo = o.LotNo,
							Fixlot = o.Fixlot,
							CaseNo = o.CaseNo,
							ModuleNo = o.ModuleNo,
							Insurance = o.Insurance,
							ContainerNo = o.ContainerNo,
							InvoiceId = o.InvoiceId,
							SupplierNo = o.SupplierNo,
							Fi = o.Fi,
							Fob = o.Fob,
							Freight = o.Freight,
							Thc = o.Thc,
							Cif = o.Cif,
							Tax = o.Tax,
							TaxRate = o.TaxRate,
							Vat = o.Vat,
							VatRate = o.VatRate,
							Inland = o.Inland,
							UsageQty = o.UsageQty,
							CeptType = o.CeptType,
							PartName = o.PartName,
							CarfamilyCode = o.CarfamilyCode,
							PartNetWeight = o.PartNetWeight,
							OrderNo = o.OrderNo,
							Firmpackingmonth = o.Firmpackingmonth,
							ReexportCode = o.ReexportCode,
							Status = o.Status,
							FobVn = o.FobVn,
							FreightVn = o.FreightVn,
							InsuranceVn = o.InsuranceVn,
							FiVn = o.FiVn,
							ThcVn = o.ThcVn,
							CifVn = o.CifVn,
							TaxVn = o.TaxVn,
							VatVn = o.VatVn,
							InlandVn = o.InlandVn,
							InvoiceParentId = o.InvoiceParentId,
							PeriodDate = o.PeriodDate,
							PeriodId = o.PeriodId,
							HsCode = o.HsCode,
							PartnameVn = o.PartnameVn,
							CarName = o.CarName,
							PmhistId = o.PmhistId,
							PreCustomsId = o.PreCustomsId,
							Ecus5TaxRate = o.Ecus5TaxRate,
							Ecus5VatRate = o.Ecus5VatRate,
							Ecus5HsCode = o.Ecus5HsCode,
							DeclareType = o.DeclareType,
							IsActive = o.IsActive,</v>
      </c>
      <c r="T60" s="8" t="str">
        <f ca="1">TEXTJOIN2("
",TRUE,INDIRECT( $T$2):INDIRECT($T$3))</f>
        <v xml:space="preserve">								("PartNo"),
								("LotNo"),
								("Fixlot"),
								("CaseNo"),
								("ModuleNo"),
								("Insurance"),
								("ContainerNo"),
								("InvoiceId"),
								("SupplierNo"),
								("Fi"),
								("Fob"),
								("Freight"),
								("Thc"),
								("Cif"),
								("Tax"),
								("TaxRate"),
								("Vat"),
								("VatRate"),
								("Inland"),
								("UsageQty"),
								("CeptType"),
								("PartName"),
								("CarfamilyCode"),
								("PartNetWeight"),
								("OrderNo"),
								("Firmpackingmonth"),
								("ReexportCode"),
								("Status"),
								("FobVn"),
								("FreightVn"),
								("InsuranceVn"),
								("FiVn"),
								("ThcVn"),
								("CifVn"),
								("TaxVn"),
								("VatVn"),
								("InlandVn"),
								("InvoiceParentId"),
								("PeriodDate"),
								("PeriodId"),
								("HsCode"),
								("PartnameVn"),
								("CarName"),
								("PmhistId"),
								("PreCustomsId"),
								("Ecus5TaxRate"),
								("Ecus5VatRate"),
								("Ecus5HsCode"),
								("DeclareType"),
								("IsActive"),</v>
      </c>
      <c r="V60" s="8" t="str">
        <f ca="1">TEXTJOIN2("
",TRUE,INDIRECT( $V$2):INDIRECT($V$3))</f>
        <v xml:space="preserve">								_ =&gt; _.PartNo,
								_ =&gt; _.LotNo,
								_ =&gt; _.Fixlot,
								_ =&gt; _.CaseNo,
								_ =&gt; _.ModuleNo,
								_ =&gt; _.Insurance,
								_ =&gt; _.ContainerNo,
								_ =&gt; _.InvoiceId,
								_ =&gt; _.SupplierNo,
								_ =&gt; _.Fi,
								_ =&gt; _.Fob,
								_ =&gt; _.Freight,
								_ =&gt; _.Thc,
								_ =&gt; _.Cif,
								_ =&gt; _.Tax,
								_ =&gt; _.TaxRate,
								_ =&gt; _.Vat,
								_ =&gt; _.VatRate,
								_ =&gt; _.Inland,
								_ =&gt; _.UsageQty,
								_ =&gt; _.CeptType,
								_ =&gt; _.PartName,
								_ =&gt; _.CarfamilyCode,
								_ =&gt; _.PartNetWeight,
								_ =&gt; _.OrderNo,
								_ =&gt; _.Firmpackingmonth,
								_ =&gt; _.ReexportCode,
								_ =&gt; _.Status,
								_ =&gt; _.FobVn,
								_ =&gt; _.FreightVn,
								_ =&gt; _.InsuranceVn,
								_ =&gt; _.FiVn,
								_ =&gt; _.ThcVn,
								_ =&gt; _.CifVn,
								_ =&gt; _.TaxVn,
								_ =&gt; _.VatVn,
								_ =&gt; _.InlandVn,
								_ =&gt; _.InvoiceParentId,
								_ =&gt; _.PeriodDate,
								_ =&gt; _.PeriodId,
								_ =&gt; _.HsCode,
								_ =&gt; _.PartnameVn,
								_ =&gt; _.CarName,
								_ =&gt; _.PmhistId,
								_ =&gt; _.PreCustomsId,
								_ =&gt; _.Ecus5TaxRate,
								_ =&gt; _.Ecus5VatRate,
								_ =&gt; _.Ecus5HsCode,
								_ =&gt; _.DeclareType,
								_ =&gt; _.IsActive,</v>
      </c>
      <c r="W60" s="8" t="str">
        <f ca="1">TEXTJOIN2("
",TRUE,INDIRECT( $W$2):INDIRECT($W$3))</f>
        <v xml:space="preserve">				.WhereIf(!string.IsNullOrWhiteSpace(input.PartNo), e =&gt; e.PartNo.Contains(input.PartNo))
				.WhereIf(!string.IsNullOrWhiteSpace(input.LotNo), e =&gt; e.LotNo.Contains(input.LotNo))
				.WhereIf(!string.IsNullOrWhiteSpace(input.Fixlot), e =&gt; e.Fixlot.Contains(input.Fixlot))
				.WhereIf(!string.IsNullOrWhiteSpace(input.CaseNo), e =&gt; e.CaseNo.Contains(input.CaseNo))
				.WhereIf(!string.IsNullOrWhiteSpace(input.ModuleNo), e =&gt; e.ModuleNo.Contains(input.ModuleNo))
				.WhereIf(!string.IsNullOrWhiteSpace(input.ContainerNo), e =&gt; e.ContainerNo.Contains(input.ContainerNo))
				.WhereIf(!string.IsNullOrWhiteSpace(input.SupplierNo), e =&gt; e.SupplierNo.Contains(input.SupplierNo))
				.WhereIf(!string.IsNullOrWhiteSpace(input.CeptType), e =&gt; e.CeptType.Contains(input.CeptType))
				.WhereIf(!string.IsNullOrWhiteSpace(input.PartName), e =&gt; e.PartName.Contains(input.PartName))
				.WhereIf(!string.IsNullOrWhiteSpace(input.CarfamilyCode), e =&gt; e.CarfamilyCode.Contains(input.CarfamilyCode))
				.WhereIf(!string.IsNullOrWhiteSpace(input.OrderNo), e =&gt; e.OrderNo.Contains(input.OrderNo))
				.WhereIf(!string.IsNullOrWhiteSpace(input.ReexportCode), e =&gt; e.ReexportCode.Contains(input.ReexportCode))
				.WhereIf(!string.IsNullOrWhiteSpace(input.Status), e =&gt; e.Status.Contains(input.Status))
				.WhereIf(!string.IsNullOrWhiteSpace(input.HsCode), e =&gt; e.HsCode.Contains(input.HsCode))
				.WhereIf(!string.IsNullOrWhiteSpace(input.PartnameVn), e =&gt; e.PartnameVn.Contains(input.PartnameVn))
				.WhereIf(!string.IsNullOrWhiteSpace(input.CarName), e =&gt; e.CarName.Contains(input.CarName))
				.WhereIf(!string.IsNullOrWhiteSpace(input.Ecus5HsCode), e =&gt; e.Ecus5HsCode.Contains(input.Ecus5HsCode))
				.WhereIf(!string.IsNullOrWhiteSpace(input.DeclareType), e =&gt; e.DeclareType.Contains(input.DeclareType))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6"/>
  <sheetViews>
    <sheetView workbookViewId="0">
      <selection activeCell="B2" sqref="B2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38" t="s">
        <v>208</v>
      </c>
      <c r="B1" s="39" t="s">
        <v>424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220</v>
      </c>
      <c r="B6" s="41" t="str">
        <f>A.Backend!B3</f>
        <v>InvCkdInvoiceDetails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211</v>
      </c>
      <c r="B7" s="40" t="str">
        <f>A.Backend!B5</f>
        <v>InvoiceDetails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209</v>
      </c>
      <c r="B8" s="40" t="str">
        <f>LOWER(B7)</f>
        <v>invoicedetails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InvCkdInvoiceDetailsDto, InvCkdInvoiceDetailsServiceProxy } from '@shared/service-proxies/service-proxies';
import { finalize } from 'rxjs/internal/operators/finalize';
import { CreateOrEditInvoiceDetailsModalComponent } from './create-or-edit-invoicedetails-modal.component';
import { DatePipe } from '@angular/common';
import { FileDownloadService } from '@shared/utils/file-download.service';
import ceil from 'lodash-es/ceil';
import { Paginator } from 'primeng/paginator';
@Component({
    templateUrl: './invoicedetails.component.html',
    styleUrls: ['./invoicedetails.component.less'],
})
export class InvoiceDetailsComponent extends AppComponentBase implements OnInit {
    @ViewChild('createOrEditModalInvoiceDetails', { static: true }) createOrEditModalInvoiceDetails:| CreateOrEditInvoiceDetailsModalComponent|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InvCkdInvoiceDetailsDto = new InvCkdInvoiceDetailsDto();
    saveSelectedRow: InvCkdInvoiceDetailsDto = new InvCkdInvoiceDetailsDto();
    datas: InvCkdInvoiceDetailsDto = new InvCkdInvoiceDetailsDto();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lotNo : string = '' ; 
	fixlot : string = '' ; 
	caseNo : string = '' ; 
	moduleNo : string = '' ; 
	insurance
	containerNo : string = '' ; 
	invoiceId
	supplierNo : string = '' ; 
	fi
	fob
	freight
	thc
	cif
	tax
	taxRate
	vat
	vatRate
	inland
	usageQty
	ceptType : string = '' ; 
	partName : string = '' ; 
	carfamilyCode : string = '' ; 
	partNetWeight
	orderNo : string = '' ; 
	firmpackingmonth
	reexportCode : string = '' ; 
	status : string = '' ; 
	fobVn
	freightVn
	insuranceVn
	fiVn
	thcVn
	cifVn
	taxVn
	vatVn
	inlandVn
	invoiceParentId
	periodDate
	periodId
	hsCode : string = '' ; 
	partnameVn : string = '' ; 
	carName : string = '' ; 
	pmhistId
	preCustomsId
	ecus5TaxRate
	ecus5VatRate
	ecus5HsCode : string = '' ; 
	declareType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this.l('Lot No'),headerTooltip: this.l('Lot No'),field: 'lotNo',flex: 1},
			{headerName: this.l('Fixlot'),headerTooltip: this.l('Fixlot'),field: 'fixlot',flex: 1},
			{headerName: this.l('Case No'),headerTooltip: this.l('Case No'),field: 'caseNo',flex: 1},
			{headerName: this.l('Module No'),headerTooltip: this.l('Module No'),field: 'moduleNo',flex: 1},
			{headerName: this.l('Insurance'),headerTooltip: this.l('Insurance'),field: 'insurance',flex: 1},
			{headerName: this.l('Container No'),headerTooltip: this.l('Container No'),field: 'containerNo',flex: 1},
			{headerName: this.l('Invoice Id'),headerTooltip: this.l('Invoice Id'),field: 'invoiceId',flex: 1},
			{headerName: this.l('Supplier No'),headerTooltip: this.l('Supplier No'),field: 'supplierNo',flex: 1},
			{headerName: this.l('Fi'),headerTooltip: this.l('Fi'),field: 'fi',flex: 1},
			{headerName: this.l('Fob'),headerTooltip: this.l('Fob'),field: 'fob',flex: 1},
			{headerName: this.l('Freight'),headerTooltip: this.l('Freight'),field: 'freight',flex: 1},
			{headerName: this.l('Thc'),headerTooltip: this.l('Thc'),field: 'thc',flex: 1},
			{headerName: this.l('Cif'),headerTooltip: this.l('Cif'),field: 'cif',flex: 1},
			{headerName: this.l('Tax'),headerTooltip: this.l('Tax'),field: 'tax',flex: 1},
			{headerName: this.l('Tax Rate'),headerTooltip: this.l('Tax Rate'),field: 'taxRate',flex: 1},
			{headerName: this.l('Vat'),headerTooltip: this.l('Vat'),field: 'vat',flex: 1},
			{headerName: this.l('Vat Rate'),headerTooltip: this.l('Vat Rate'),field: 'vatRate',flex: 1},
			{headerName: this.l('Inland'),headerTooltip: this.l('Inland'),field: 'inland',flex: 1},
			{headerName: this.l('Usage Qty'),headerTooltip: this.l('Usage Qty'),field: 'usageQty',flex: 1},
			{headerName: this.l('Cept Type'),headerTooltip: this.l('Cept Type'),field: 'ceptType',flex: 1},
			{headerName: this.l('Part Name'),headerTooltip: this.l('Part Name'),field: 'partName',flex: 1},
			{headerName: this.l('Carfamily Code'),headerTooltip: this.l('Carfamily Code'),field: 'carfamilyCode',flex: 1},
			{headerName: this.l('Part Net Weight'),headerTooltip: this.l('Part Net Weight'),field: 'partNetWeight',flex: 1},
			{headerName: this.l('Order No'),headerTooltip: this.l('Order No'),field: 'orderNo',flex: 1},
			{headerName: this.l('Firmpackingmonth'),headerTooltip: this.l('Firmpackingmonth'),field: 'firmpackingmonth',flex: 1},
			{headerName: this.l('Reexport Code'),headerTooltip: this.l('Reexport Code'),field: 'reexportCode',flex: 1},
			{headerName: this.l('Status'),headerTooltip: this.l('Status'),field: 'status',flex: 1},
			{headerName: this.l('Fob Vn'),headerTooltip: this.l('Fob Vn'),field: 'fobVn',flex: 1},
			{headerName: this.l('Freight Vn'),headerTooltip: this.l('Freight Vn'),field: 'freightVn',flex: 1},
			{headerName: this.l('Insurance Vn'),headerTooltip: this.l('Insurance Vn'),field: 'insuranceVn',flex: 1},
			{headerName: this.l('Fi Vn'),headerTooltip: this.l('Fi Vn'),field: 'fiVn',flex: 1},
			{headerName: this.l('Thc Vn'),headerTooltip: this.l('Thc Vn'),field: 'thcVn',flex: 1},
			{headerName: this.l('Cif Vn'),headerTooltip: this.l('Cif Vn'),field: 'cifVn',flex: 1},
			{headerName: this.l('Tax Vn'),headerTooltip: this.l('Tax Vn'),field: 'taxVn',flex: 1},
			{headerName: this.l('Vat Vn'),headerTooltip: this.l('Vat Vn'),field: 'vatVn',flex: 1},
			{headerName: this.l('Inland Vn'),headerTooltip: this.l('Inland Vn'),field: 'inlandVn',flex: 1},
			{headerName: this.l('Invoice Parent Id'),headerTooltip: this.l('Invoice Parent Id'),field: 'invoiceParentId',flex: 1},
			{headerName: this.l('Period Date'),headerTooltip: this.l('Period Date'),field: 'periodDate',flex: 1},
			{headerName: this.l('Period Id'),headerTooltip: this.l('Period Id'),field: 'periodId',flex: 1},
			{headerName: this.l('Hs Code'),headerTooltip: this.l('Hs Code'),field: 'hsCode',flex: 1},
			{headerName: this.l('Partname Vn'),headerTooltip: this.l('Partname Vn'),field: 'partnameVn',flex: 1},
			{headerName: this.l('Car Name'),headerTooltip: this.l('Car Name'),field: 'carName',flex: 1},
			{headerName: this.l('Pmhist Id'),headerTooltip: this.l('Pmhist Id'),field: 'pmhistId',flex: 1},
			{headerName: this.l('Pre Customs Id'),headerTooltip: this.l('Pre Customs Id'),field: 'preCustomsId',flex: 1},
			{headerName: this.l('Ecus5 Tax Rate'),headerTooltip: this.l('Ecus5 Tax Rate'),field: 'ecus5TaxRate',flex: 1},
			{headerName: this.l('Ecus5 Vat Rate'),headerTooltip: this.l('Ecus5 Vat Rate'),field: 'ecus5VatRate',flex: 1},
			{headerName: this.l('Ecus5 Hs Code'),headerTooltip: this.l('Ecus5 Hs Code'),field: 'ecus5HsCode',flex: 1},
			{headerName: this.l('Declare Type'),headerTooltip: this.l('Declare Type'),field: 'declareType',flex: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this.lotNo = '',
		this.fixlot = '',
		this.caseNo = '',
		this.moduleNo = '',
		this.insurance = '',
		this.containerNo = '',
		this.invoiceId = '',
		this.supplierNo = '',
		this.fi = '',
		this.fob = '',
		this.freight = '',
		this.thc = '',
		this.cif = '',
		this.tax = '',
		this.taxRate = '',
		this.vat = '',
		this.vatRate = '',
		this.inland = '',
		this.usageQty = '',
		this.ceptType = '',
		this.partName = '',
		this.carfamilyCode = '',
		this.partNetWeight = '',
		this.orderNo = '',
		this.firmpackingmonth = '',
		this.reexportCode = '',
		this.status = '',
		this.fobVn = '',
		this.freightVn = '',
		this.insuranceVn = '',
		this.fiVn = '',
		this.thcVn = '',
		this.cifVn = '',
		this.taxVn = '',
		this.vatVn = '',
		this.inlandVn = '',
		this.invoiceParentId = '',
		this.periodDate = '',
		this.periodId = '',
		this.hsCode = '',
		this.partnameVn = '',
		this.carName = '',
		this.pmhistId = '',
		this.preCustomsId = '',
		this.ecus5TaxRate = '',
		this.ecus5VatRate = '',
		this.ecus5HsCode = '',
		this.declareType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
			'',
            this.paginationParams.skipCount,
            this.paginationParams.pageSize
        );
    }
    onChangeRowSelection(params: { api: { getSelectedRows: () =&gt; InvCkdInvoiceDetailsDto[] } }) {
        this.saveSelectedRow = params.api.getSelectedRows()[0] ?? new InvCkdInvoiceDetailsDto();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this._service.getInvoiceDetailsToExcel(
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[(ngModel)]='ceptType' name='ceptType'
									class='form-control' [placeholder]="l('Cept Type')"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[(ngModel)]='reexportCode' name='reexportCode'
									class='form-control' [placeholder]="l('Reexport Code')"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[(ngModel)]='hsCode' name='hsCode'
									class='form-control' [placeholder]="l('Hs Code')"
									type='text' (keyup.enter)='searchDatas()'&gt;
								&lt;/div&gt;
								&lt;div class='input-search'&gt;
									&lt;input [(ngModel)]='partnameVn' name='partnameVn'
									class='form-control' [placeholder]="l('Partname Vn')"
									type='text' (keyup.enter)='searchDatas()'&gt;
								&lt;/div&gt;
								&lt;div class='input-search'&gt;
									&lt;input [(ngModel)]='carName' name='carName'
									class='form-control' [placeholder]="l('Car Name')"
									type='text' (keyup.enter)='searchDatas()'&gt;
								&lt;/div&gt;
								&lt;div class='input-search'&gt;
									&lt;input [(ngModel)]='ecus5HsCode' name='ecus5HsCode'
									class='form-control' [placeholder]="l('Ecus5 Hs Code')"
									type='text' (keyup.enter)='searchDatas()'&gt;
								&lt;/div&gt;
								&lt;div class='input-search'&gt;
									&lt;input [(ngModel)]='declareType' name='declareType'
									class='form-control' [placeholder]="l('Declare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&lt;create-or-edit-invoicedetails-modal
    #createOrEditModalInvoiceDetails
    (modalSave)="callBackDataGrid(dataParams)"
    (modalClose)="onChangeRowSelection(dataParams)"
&gt;
&lt;/create-or-edit-invoicedetails-modal&gt;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InvoiceDetails')}}&lt;/h3&gt;
                    &lt;h3 *ngIf="!rowdata.id"&gt;{{('Create New InvoiceDetails')}}&lt;/h3&gt;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title'&gt;Cept Type&lt;/label&gt;
						&lt;input type='text' class='col-md-10 form-control input-text' name='CeptType' [(ngModel)]='rowdata.ceptType'&gt;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title'&gt;Reexport Code&lt;/label&gt;
						&lt;input type='text' class='col-md-10 form-control input-text' name='ReexportCode' [(ngModel)]='rowdata.reexportCode'&gt;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title'&gt;Hs Code&lt;/label&gt;
						&lt;input type='text' class='col-md-10 form-control input-text' name='HsCode' [(ngModel)]='rowdata.hsCode'&gt;
					&lt;/div&gt;
					&lt;div class='col-md-12 form-group row'&gt;
						&lt;label class='col-md-2 form-control title'&gt;Partname Vn&lt;/label&gt;
						&lt;input type='text' class='col-md-10 form-control input-text' name='PartnameVn' [(ngModel)]='rowdata.partnameVn'&gt;
					&lt;/div&gt;
					&lt;div class='col-md-12 form-group row'&gt;
						&lt;label class='col-md-2 form-control title'&gt;Car Name&lt;/label&gt;
						&lt;input type='text' class='col-md-10 form-control input-text' name='CarName' [(ngModel)]='rowdata.carName'&gt;
					&lt;/div&gt;
					&lt;div class='col-md-12 form-group row'&gt;
						&lt;label class='col-md-2 form-control title'&gt;Ecus5 Hs Code&lt;/label&gt;
						&lt;input type='text' class='col-md-10 form-control input-text' name='Ecus5HsCode' [(ngModel)]='rowdata.ecus5HsCode'&gt;
					&lt;/div&gt;
					&lt;div class='col-md-12 form-group row'&gt;
						&lt;label class='col-md-2 form-control title'&gt;Declare Type&lt;/label&gt;
						&lt;input type='text' class='col-md-10 form-control input-text' name='DeclareType' [(ngModel)]='rowdata.declareType'&gt;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CreateOrEditInvCkdInvoiceDetailsDto, InvCkdInvoiceDetailsServiceProxy } from '@shared/service-proxies/service-proxies';
import { BsDatepickerDirective } from 'ngx-bootstrap/datepicker';
@Component({
    selector: 'create-or-edit-invoicedetails-modal',
    templateUrl: './create-or-edit-invoicedetails-modal.component.html',
    styleUrls: ['./create-or-edit-invoicedetails-modal.component.less']
    })
export class CreateOrEditInvoiceDetailsModalComponent extends AppComponentBase {
    @ViewChild('createOrEditModalInvoiceDetails',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CreateOrEditInvCkdInvoiceDetailsDto = new CreateOrEditInvCkdInvoiceDetailsDto();
    active: boolean = false;
    saving: boolean = false;
    _isActive: boolean;
    constructor(
        injector: Injector,
        private _mstwptInvoiceDetailsService: InvCkdInvoiceDetailsServiceProxy,
    ) 
    {
        super(injector);
    }
    show(rowdata?: CreateOrEditInvCkdInvoiceDetailsDto): void {
        if (!rowdata) this.rowdata = new CreateOrEditInvCkdInvoiceDetailsDto();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InvoiceDetailsRoutingModule } from './invoicedetails-routing.module';
import { InvoiceDetailsComponent } from './invoicedetails.component';
import { CreateOrEditInvoiceDetailsModalComponent } from './create-or-edit-invoicedetails-modal.component';
@NgModule({
    declarations: [
       InvoiceDetailsComponent, 
        CreateOrEditInvoiceDetailsModalComponent
    ],
    imports: [
        AppSharedModule, InvoiceDetailsRoutingModule]
})
export class InvoiceDetailsModule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InvoiceDetailsComponent } from './invoicedetails.component';
const routes: Routes = [{
    path: '',
    component: InvoiceDetailsComponent,
    pathMatch: 'full'
}];
@NgModule({
    imports: [RouterModule.forChild(routes)],
    exports: [RouterModule],
})
export class InvoiceDetailsRoutingModule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AppMenuItem("InvoiceDetails", "Pages.Inventory.CKD.InvoiceDetails", "flaticon-book",   "/app/main/inventory/ckd/invoicedetails"),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'inventory/ckd/invoicedetails',
    loadChildren: () =&gt; import('./inventory/ckd/invoicedetails/invoicedetails.module').then(m =&gt; m.InvoiceDetailsModule),
    data: { permission: 'Pages.Inventory.CKD.InvoiceDetails' }
},</v>
      </c>
      <c r="R10" s="47" t="str">
        <f>SUBSTITUTE(R9,"MstWptCalendar",$B$6)</f>
        <v>ApiServiceProxies.InvCkdInvoiceDetailsServiceProxy,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H64</v>
      </c>
      <c r="I12" s="28" t="str">
        <f>"I"&amp;COUNTA($A:$A)</f>
        <v>I64</v>
      </c>
      <c r="J12" s="28"/>
      <c r="K12" s="28" t="str">
        <f>"K"&amp;COUNTA($A:$A)</f>
        <v>K64</v>
      </c>
      <c r="L12" s="28" t="str">
        <f>"L"&amp;COUNTA($A:$A)</f>
        <v>L64</v>
      </c>
      <c r="M12" s="28"/>
      <c r="N12" s="28"/>
      <c r="O12" s="28"/>
      <c r="P12" s="28"/>
      <c r="Q12" s="28"/>
      <c r="R12" s="28"/>
      <c r="S12" s="28" t="str">
        <f>"S"&amp;COUNTA($A:$A)</f>
        <v>S64</v>
      </c>
      <c r="T12" s="28" t="str">
        <f>"T"&amp;COUNTA($A:$A)</f>
        <v>T64</v>
      </c>
      <c r="U12" s="28" t="str">
        <f>"U"&amp;COUNTA($A:$A)</f>
        <v>U64</v>
      </c>
      <c r="V12" s="28" t="str">
        <f>"V"&amp;COUNTA($A:$A)</f>
        <v>V64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this.l('Lot No'),headerTooltip: this.l('Lot No'),field: 'lotNo',flex: 1},
			{headerName: this.l('Fixlot'),headerTooltip: this.l('Fixlot'),field: 'fixlot',flex: 1},
			{headerName: this.l('Case No'),headerTooltip: this.l('Case No'),field: 'caseNo',flex: 1},
			{headerName: this.l('Module No'),headerTooltip: this.l('Module No'),field: 'moduleNo',flex: 1},
			{headerName: this.l('Insurance'),headerTooltip: this.l('Insurance'),field: 'insurance',flex: 1},
			{headerName: this.l('Container No'),headerTooltip: this.l('Container No'),field: 'containerNo',flex: 1},
			{headerName: this.l('Invoice Id'),headerTooltip: this.l('Invoice Id'),field: 'invoiceId',flex: 1},
			{headerName: this.l('Supplier No'),headerTooltip: this.l('Supplier No'),field: 'supplierNo',flex: 1},
			{headerName: this.l('Fi'),headerTooltip: this.l('Fi'),field: 'fi',flex: 1},
			{headerName: this.l('Fob'),headerTooltip: this.l('Fob'),field: 'fob',flex: 1},
			{headerName: this.l('Freight'),headerTooltip: this.l('Freight'),field: 'freight',flex: 1},
			{headerName: this.l('Thc'),headerTooltip: this.l('Thc'),field: 'thc',flex: 1},
			{headerName: this.l('Cif'),headerTooltip: this.l('Cif'),field: 'cif',flex: 1},
			{headerName: this.l('Tax'),headerTooltip: this.l('Tax'),field: 'tax',flex: 1},
			{headerName: this.l('Tax Rate'),headerTooltip: this.l('Tax Rate'),field: 'taxRate',flex: 1},
			{headerName: this.l('Vat'),headerTooltip: this.l('Vat'),field: 'vat',flex: 1},
			{headerName: this.l('Vat Rate'),headerTooltip: this.l('Vat Rate'),field: 'vatRate',flex: 1},
			{headerName: this.l('Inland'),headerTooltip: this.l('Inland'),field: 'inland',flex: 1},
			{headerName: this.l('Usage Qty'),headerTooltip: this.l('Usage Qty'),field: 'usageQty',flex: 1},
			{headerName: this.l('Cept Type'),headerTooltip: this.l('Cept Type'),field: 'ceptType',flex: 1},
			{headerName: this.l('Part Name'),headerTooltip: this.l('Part Name'),field: 'partName',flex: 1},
			{headerName: this.l('Carfamily Code'),headerTooltip: this.l('Carfamily Code'),field: 'carfamilyCode',flex: 1},
			{headerName: this.l('Part Net Weight'),headerTooltip: this.l('Part Net Weight'),field: 'partNetWeight',flex: 1},
			{headerName: this.l('Order No'),headerTooltip: this.l('Order No'),field: 'orderNo',flex: 1},
			{headerName: this.l('Firmpackingmonth'),headerTooltip: this.l('Firmpackingmonth'),field: 'firmpackingmonth',flex: 1},
			{headerName: this.l('Reexport Code'),headerTooltip: this.l('Reexport Code'),field: 'reexportCode',flex: 1},
			{headerName: this.l('Status'),headerTooltip: this.l('Status'),field: 'status',flex: 1},
			{headerName: this.l('Fob Vn'),headerTooltip: this.l('Fob Vn'),field: 'fobVn',flex: 1},
			{headerName: this.l('Freight Vn'),headerTooltip: this.l('Freight Vn'),field: 'freightVn',flex: 1},
			{headerName: this.l('Insurance Vn'),headerTooltip: this.l('Insurance Vn'),field: 'insuranceVn',flex: 1},
			{headerName: this.l('Fi Vn'),headerTooltip: this.l('Fi Vn'),field: 'fiVn',flex: 1},
			{headerName: this.l('Thc Vn'),headerTooltip: this.l('Thc Vn'),field: 'thcVn',flex: 1},
			{headerName: this.l('Cif Vn'),headerTooltip: this.l('Cif Vn'),field: 'cifVn',flex: 1},
			{headerName: this.l('Tax Vn'),headerTooltip: this.l('Tax Vn'),field: 'taxVn',flex: 1},
			{headerName: this.l('Vat Vn'),headerTooltip: this.l('Vat Vn'),field: 'vatVn',flex: 1},
			{headerName: this.l('Inland Vn'),headerTooltip: this.l('Inland Vn'),field: 'inlandVn',flex: 1},
			{headerName: this.l('Invoice Parent Id'),headerTooltip: this.l('Invoice Parent Id'),field: 'invoiceParentId',flex: 1},
			{headerName: this.l('Period Date'),headerTooltip: this.l('Period Date'),field: 'periodDate',flex: 1},
			{headerName: this.l('Period Id'),headerTooltip: this.l('Period Id'),field: 'periodId',flex: 1},
			{headerName: this.l('Hs Code'),headerTooltip: this.l('Hs Code'),field: 'hsCode',flex: 1},
			{headerName: this.l('Partname Vn'),headerTooltip: this.l('Partname Vn'),field: 'partnameVn',flex: 1},
			{headerName: this.l('Car Name'),headerTooltip: this.l('Car Name'),field: 'carName',flex: 1},
			{headerName: this.l('Pmhist Id'),headerTooltip: this.l('Pmhist Id'),field: 'pmhistId',flex: 1},
			{headerName: this.l('Pre Customs Id'),headerTooltip: this.l('Pre Customs Id'),field: 'preCustomsId',flex: 1},
			{headerName: this.l('Ecus5 Tax Rate'),headerTooltip: this.l('Ecus5 Tax Rate'),field: 'ecus5TaxRate',flex: 1},
			{headerName: this.l('Ecus5 Vat Rate'),headerTooltip: this.l('Ecus5 Vat Rate'),field: 'ecus5VatRate',flex: 1},
			{headerName: this.l('Ecus5 Hs Code'),headerTooltip: this.l('Ecus5 Hs Code'),field: 'ecus5HsCode',flex: 1},
			{headerName: this.l('Declare Type'),headerTooltip: this.l('Declare Type'),field: 'declareType',flex: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[(ngModel)]='ceptType' name='ceptType'
									class='form-control' [placeholder]="l('Cept Type')"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[(ngModel)]='reexportCode' name='reexportCode'
									class='form-control' [placeholder]="l('Reexport Code')"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[(ngModel)]='hsCode' name='hsCode'
									class='form-control' [placeholder]="l('Hs Code')"
									type='text' (keyup.enter)='searchDatas()'&gt;
								&lt;/div&gt;
								&lt;div class='input-search'&gt;
									&lt;input [(ngModel)]='partnameVn' name='partnameVn'
									class='form-control' [placeholder]="l('Partname Vn')"
									type='text' (keyup.enter)='searchDatas()'&gt;
								&lt;/div&gt;
								&lt;div class='input-search'&gt;
									&lt;input [(ngModel)]='carName' name='carName'
									class='form-control' [placeholder]="l('Car Name')"
									type='text' (keyup.enter)='searchDatas()'&gt;
								&lt;/div&gt;
								&lt;div class='input-search'&gt;
									&lt;input [(ngModel)]='ecus5HsCode' name='ecus5HsCode'
									class='form-control' [placeholder]="l('Ecus5 Hs Code')"
									type='text' (keyup.enter)='searchDatas()'&gt;
								&lt;/div&gt;
								&lt;div class='input-search'&gt;
									&lt;input [(ngModel)]='declareType' name='declareType'
									class='form-control' [placeholder]="l('Declare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title'&gt;Cept Type&lt;/label&gt;
						&lt;input type='text' class='col-md-10 form-control input-text' name='CeptType' [(ngModel)]='rowdata.ceptType'&gt;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title'&gt;Reexport Code&lt;/label&gt;
						&lt;input type='text' class='col-md-10 form-control input-text' name='ReexportCode' [(ngModel)]='rowdata.reexportCode'&gt;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title'&gt;Hs Code&lt;/label&gt;
						&lt;input type='text' class='col-md-10 form-control input-text' name='HsCode' [(ngModel)]='rowdata.hsCode'&gt;
					&lt;/div&gt;
					&lt;div class='col-md-12 form-group row'&gt;
						&lt;label class='col-md-2 form-control title'&gt;Partname Vn&lt;/label&gt;
						&lt;input type='text' class='col-md-10 form-control input-text' name='PartnameVn' [(ngModel)]='rowdata.partnameVn'&gt;
					&lt;/div&gt;
					&lt;div class='col-md-12 form-group row'&gt;
						&lt;label class='col-md-2 form-control title'&gt;Car Name&lt;/label&gt;
						&lt;input type='text' class='col-md-10 form-control input-text' name='CarName' [(ngModel)]='rowdata.carName'&gt;
					&lt;/div&gt;
					&lt;div class='col-md-12 form-group row'&gt;
						&lt;label class='col-md-2 form-control title'&gt;Ecus5 Hs Code&lt;/label&gt;
						&lt;input type='text' class='col-md-10 form-control input-text' name='Ecus5HsCode' [(ngModel)]='rowdata.ecus5HsCode'&gt;
					&lt;/div&gt;
					&lt;div class='col-md-12 form-group row'&gt;
						&lt;label class='col-md-2 form-control title'&gt;Declare Type&lt;/label&gt;
						&lt;input type='text' class='col-md-10 form-control input-text' name='DeclareType' [(ngModel)]='rowdata.declareType'&gt;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lotNo : string = '' ; 
	fixlot : string = '' ; 
	caseNo : string = '' ; 
	moduleNo : string = '' ; 
	insurance
	containerNo : string = '' ; 
	invoiceId
	supplierNo : string = '' ; 
	fi
	fob
	freight
	thc
	cif
	tax
	taxRate
	vat
	vatRate
	inland
	usageQty
	ceptType : string = '' ; 
	partName : string = '' ; 
	carfamilyCode : string = '' ; 
	partNetWeight
	orderNo : string = '' ; 
	firmpackingmonth
	reexportCode : string = '' ; 
	status : string = '' ; 
	fobVn
	freightVn
	insuranceVn
	fiVn
	thcVn
	cifVn
	taxVn
	vatVn
	inlandVn
	invoiceParentId
	periodDate
	periodId
	hsCode : string = '' ; 
	partnameVn : string = '' ; 
	carName : string = '' ; 
	pmhistId
	preCustomsId
	ecus5TaxRate
	ecus5VatRate
	ecus5HsCode : string = '' ; 
	declareType : string = '' ; 
	isActive : string = '' ; </v>
      </c>
      <c r="T13" s="62" t="str">
        <f ca="1">TEXTJOIN2("
",TRUE,INDIRECT(T11):INDIRECT(T12))</f>
        <v xml:space="preserve">			this.partNo,
			this.lotNo,
			this.fixlot,
			this.caseNo,
			this.moduleNo,
			this.insurance,
			this.containerNo,
			this.invoiceId,
			this.supplierNo,
			this.fi,
			this.fob,
			this.freight,
			this.thc,
			this.cif,
			this.tax,
			this.taxRate,
			this.vat,
			this.vatRate,
			this.inland,
			this.usageQty,
			this.ceptType,
			this.partName,
			this.carfamilyCode,
			this.partNetWeight,
			this.orderNo,
			this.firmpackingmonth,
			this.reexportCode,
			this.status,
			this.fobVn,
			this.freightVn,
			this.insuranceVn,
			this.fiVn,
			this.thcVn,
			this.cifVn,
			this.taxVn,
			this.vatVn,
			this.inlandVn,
			this.invoiceParentId,
			this.periodDate,
			this.periodId,
			this.hsCode,
			this.partnameVn,
			this.carName,
			this.pmhistId,
			this.preCustomsId,
			this.ecus5TaxRate,
			this.ecus5VatRate,
			this.ecus5HsCode,
			this.declareType,
			this.isActive,</v>
      </c>
      <c r="U13" s="62" t="str">
        <f ca="1">TEXTJOIN2("
",TRUE,INDIRECT(U11):INDIRECT(U12))</f>
        <v xml:space="preserve">		this.partNo = '',
		this.lotNo = '',
		this.fixlot = '',
		this.caseNo = '',
		this.moduleNo = '',
		this.insurance = '',
		this.containerNo = '',
		this.invoiceId = '',
		this.supplierNo = '',
		this.fi = '',
		this.fob = '',
		this.freight = '',
		this.thc = '',
		this.cif = '',
		this.tax = '',
		this.taxRate = '',
		this.vat = '',
		this.vatRate = '',
		this.inland = '',
		this.usageQty = '',
		this.ceptType = '',
		this.partName = '',
		this.carfamilyCode = '',
		this.partNetWeight = '',
		this.orderNo = '',
		this.firmpackingmonth = '',
		this.reexportCode = '',
		this.status = '',
		this.fobVn = '',
		this.freightVn = '',
		this.insuranceVn = '',
		this.fiVn = '',
		this.thcVn = '',
		this.cifVn = '',
		this.taxVn = '',
		this.vatVn = '',
		this.inlandVn = '',
		this.invoiceParentId = '',
		this.periodDate = '',
		this.periodId = '',
		this.hsCode = '',
		this.partnameVn = '',
		this.carName = '',
		this.pmhistId = '',
		this.preCustomsId = '',
		this.ecus5TaxRate = '',
		this.ecus5VatRate = '',
		this.ecus5HsCode = '',
		this.declareType = '',
		this.isActive = '',</v>
      </c>
      <c r="V13" s="28" t="str">
        <f ca="1">TEXTJOIN2("
",TRUE,INDIRECT(V11):INDIRECT(V12))</f>
        <v>isActive</v>
      </c>
    </row>
    <row r="14" spans="1:22" x14ac:dyDescent="0.3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invoicedetails.component.ts</v>
      </c>
      <c r="I14" s="37" t="str">
        <f>B8&amp;".component.html"</f>
        <v>invoicedetails.component.html</v>
      </c>
      <c r="J14" s="36" t="str">
        <f>B8&amp;".component.less"</f>
        <v>invoicedetails.component.less</v>
      </c>
      <c r="K14" s="37" t="str">
        <f>"create-or-edit-"&amp;B8&amp;"-modal.component.html"</f>
        <v>create-or-edit-invoicedetails-modal.component.html</v>
      </c>
      <c r="L14" s="37" t="str">
        <f>"create-or-edit-"&amp;B8&amp;"-modal.component.ts"</f>
        <v>create-or-edit-invoicedetails-modal.component.ts</v>
      </c>
      <c r="M14" s="37" t="str">
        <f>"create-or-edit-"&amp;B8&amp;"-modal.component.less"</f>
        <v>create-or-edit-invoicedetails-modal.component.less</v>
      </c>
      <c r="N14" s="37" t="str">
        <f>B8&amp;".module.ts"</f>
        <v>invoicedetails.module.ts</v>
      </c>
      <c r="O14" s="37" t="str">
        <f>B8&amp;"-routing.module.ts"</f>
        <v>invoicedetails-routing.module.ts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5">
      <c r="A15" t="s">
        <v>367</v>
      </c>
      <c r="B15" s="28" t="str">
        <f t="shared" ref="B15:B32" si="0">SUBSTITUTE(PROPER(A15),"_","")</f>
        <v>PartNo</v>
      </c>
      <c r="C15" s="28" t="str">
        <f t="shared" ref="C15:C32" si="1">SUBSTITUTE(PROPER(A15),"_"," ")</f>
        <v>Part No</v>
      </c>
      <c r="D15" s="28" t="str">
        <f t="shared" ref="D15:D32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64" si="3">IF(E15="string"," : string = '' ; ",IF(OR(E15="DateTime",E15="TimeSpan")," : any ;",IF(E15="int"," : number = 0 ;","")))</f>
        <v xml:space="preserve"> : string = '' ; </v>
      </c>
      <c r="H15" s="35" t="str">
        <f t="shared" ref="H15:H6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6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6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64" si="8">IF(AND(E15="string",F15="1"),D15,"")</f>
        <v/>
      </c>
    </row>
    <row r="16" spans="1:22" ht="18" customHeight="1" x14ac:dyDescent="0.35">
      <c r="A16" t="s">
        <v>369</v>
      </c>
      <c r="B16" s="28" t="str">
        <f t="shared" ref="B16" si="9">SUBSTITUTE(PROPER(A16),"_","")</f>
        <v>LotNo</v>
      </c>
      <c r="C16" s="28" t="str">
        <f t="shared" ref="C16" si="10">SUBSTITUTE(PROPER(A16),"_"," ")</f>
        <v>Lot No</v>
      </c>
      <c r="D16" s="28" t="str">
        <f t="shared" ref="D16" si="11">LOWER(LEFT(B16,1))&amp;RIGHT(B16,LEN(B16) - 1)</f>
        <v>lotNo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this.l('Lot No'),headerTooltip: this.l('Lot No'),field: 'lotNo',flex: 1},</v>
      </c>
      <c r="I16" s="35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64" si="13">REPT(CHAR(9),1)&amp;D16&amp;G16</f>
        <v xml:space="preserve">	lotNo : string = '' ; </v>
      </c>
      <c r="T16" s="28" t="str">
        <f t="shared" ref="T16:T64" si="14">REPT(CHAR(9),3)&amp;"this."&amp;D16&amp;","</f>
        <v xml:space="preserve">			this.lotNo,</v>
      </c>
      <c r="U16" s="28" t="str">
        <f t="shared" ref="U16:U64" si="15">IF(E16="int",REPT(CHAR(9),2)&amp;"this."&amp;D16&amp;" = 0,",REPT(CHAR(9),2)&amp;"this."&amp;D16&amp;" = '',")</f>
        <v xml:space="preserve">		this.lotNo = '',</v>
      </c>
      <c r="V16" s="28" t="str">
        <f t="shared" si="8"/>
        <v/>
      </c>
    </row>
    <row r="17" spans="1:22" ht="18" customHeight="1" x14ac:dyDescent="0.35">
      <c r="A17" t="s">
        <v>371</v>
      </c>
      <c r="B17" s="28" t="str">
        <f>SUBSTITUTE(PROPER(A17),"_","")</f>
        <v>Fixlot</v>
      </c>
      <c r="C17" s="28" t="str">
        <f>SUBSTITUTE(PROPER(A17),"_"," ")</f>
        <v>Fixlot</v>
      </c>
      <c r="D17" s="28" t="str">
        <f>LOWER(LEFT(B17,1))&amp;RIGHT(B17,LEN(B17) - 1)</f>
        <v>fixlot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this.l('Fixlot'),headerTooltip: this.l('Fixlot'),field: 'fixlot',flex: 1},</v>
      </c>
      <c r="I17" s="35" t="str">
        <f t="shared" si="5"/>
        <v xml:space="preserve">								&lt;div class='input-search'&gt;
									&lt;input [(ngModel)]='fixlot' name='fixlot'
									class='form-control' [placeholder]="l('Fixlot')"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title'&gt;Fixlot&lt;/label&gt;
						&lt;input type='text' class='col-md-10 form-control input-text' name='Fixlot' [(ngModel)]='rowdata.fixlot'&gt;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fixlot : string = '' ; </v>
      </c>
      <c r="T17" s="28" t="str">
        <f t="shared" si="14"/>
        <v xml:space="preserve">			this.fixlot,</v>
      </c>
      <c r="U17" s="28" t="str">
        <f t="shared" si="15"/>
        <v xml:space="preserve">		this.fixlot = '',</v>
      </c>
      <c r="V17" s="28" t="str">
        <f t="shared" si="8"/>
        <v/>
      </c>
    </row>
    <row r="18" spans="1:22" ht="15" customHeight="1" x14ac:dyDescent="0.35">
      <c r="A18" t="s">
        <v>373</v>
      </c>
      <c r="B18" s="28" t="str">
        <f t="shared" ref="B18:B21" si="16">SUBSTITUTE(PROPER(A18),"_","")</f>
        <v>CaseNo</v>
      </c>
      <c r="C18" s="28" t="str">
        <f t="shared" ref="C18:C21" si="17">SUBSTITUTE(PROPER(A18),"_"," ")</f>
        <v>Case No</v>
      </c>
      <c r="D18" s="28" t="str">
        <f t="shared" ref="D18:D21" si="18">LOWER(LEFT(B18,1))&amp;RIGHT(B18,LEN(B18) - 1)</f>
        <v>caseNo</v>
      </c>
      <c r="E18" s="28" t="str">
        <f>A.Backend!H12</f>
        <v>string</v>
      </c>
      <c r="F18" s="28" t="str">
        <f>A.Backend!G12</f>
        <v>30</v>
      </c>
      <c r="G18" s="28" t="str">
        <f t="shared" si="3"/>
        <v xml:space="preserve"> : string = '' ; </v>
      </c>
      <c r="H18" s="35" t="str">
        <f t="shared" si="4"/>
        <v xml:space="preserve">			{headerName: this.l('Case No'),headerTooltip: this.l('Case No'),field: 'caseNo',flex: 1},</v>
      </c>
      <c r="I18" s="35" t="str">
        <f t="shared" si="5"/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caseNo : string = '' ; </v>
      </c>
      <c r="T18" s="28" t="str">
        <f t="shared" si="14"/>
        <v xml:space="preserve">			this.caseNo,</v>
      </c>
      <c r="U18" s="28" t="str">
        <f t="shared" si="15"/>
        <v xml:space="preserve">		this.caseNo = '',</v>
      </c>
      <c r="V18" s="28" t="str">
        <f t="shared" si="8"/>
        <v/>
      </c>
    </row>
    <row r="19" spans="1:22" ht="18" customHeight="1" x14ac:dyDescent="0.35">
      <c r="A19" t="s">
        <v>375</v>
      </c>
      <c r="B19" s="28" t="str">
        <f t="shared" si="16"/>
        <v>ModuleNo</v>
      </c>
      <c r="C19" s="28" t="str">
        <f t="shared" si="17"/>
        <v>Module No</v>
      </c>
      <c r="D19" s="28" t="str">
        <f t="shared" si="18"/>
        <v>moduleNo</v>
      </c>
      <c r="E19" s="28" t="str">
        <f>A.Backend!H13</f>
        <v>string</v>
      </c>
      <c r="F19" s="28" t="str">
        <f>A.Backend!G13</f>
        <v>30</v>
      </c>
      <c r="G19" s="28" t="str">
        <f t="shared" si="3"/>
        <v xml:space="preserve"> : string = '' ; </v>
      </c>
      <c r="H19" s="35" t="str">
        <f t="shared" si="4"/>
        <v xml:space="preserve">			{headerName: this.l('Module No'),headerTooltip: this.l('Module No'),field: 'moduleNo',flex: 1},</v>
      </c>
      <c r="I19" s="35" t="str">
        <f t="shared" si="5"/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moduleNo : string = '' ; </v>
      </c>
      <c r="T19" s="28" t="str">
        <f t="shared" si="14"/>
        <v xml:space="preserve">			this.moduleNo,</v>
      </c>
      <c r="U19" s="28" t="str">
        <f t="shared" si="15"/>
        <v xml:space="preserve">		this.moduleNo = '',</v>
      </c>
      <c r="V19" s="28" t="str">
        <f t="shared" si="8"/>
        <v/>
      </c>
    </row>
    <row r="20" spans="1:22" ht="15" customHeight="1" x14ac:dyDescent="0.35">
      <c r="A20" t="s">
        <v>354</v>
      </c>
      <c r="B20" s="28" t="str">
        <f t="shared" si="16"/>
        <v>Insurance</v>
      </c>
      <c r="C20" s="28" t="str">
        <f t="shared" si="17"/>
        <v>Insurance</v>
      </c>
      <c r="D20" s="28" t="str">
        <f t="shared" si="18"/>
        <v>insurance</v>
      </c>
      <c r="E20" s="28" t="str">
        <f>A.Backend!H14</f>
        <v>decimal?</v>
      </c>
      <c r="F20" s="28" t="str">
        <f>A.Backend!G14</f>
        <v>14,5</v>
      </c>
      <c r="G20" s="28" t="str">
        <f t="shared" si="3"/>
        <v/>
      </c>
      <c r="H20" s="35" t="str">
        <f t="shared" si="4"/>
        <v xml:space="preserve">			{headerName: this.l('Insurance'),headerTooltip: this.l('Insurance'),field: 'insurance',flex: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insurance</v>
      </c>
      <c r="T20" s="28" t="str">
        <f t="shared" si="14"/>
        <v xml:space="preserve">			this.insurance,</v>
      </c>
      <c r="U20" s="28" t="str">
        <f t="shared" si="15"/>
        <v xml:space="preserve">		this.insurance = '',</v>
      </c>
      <c r="V20" s="28" t="str">
        <f t="shared" si="8"/>
        <v/>
      </c>
    </row>
    <row r="21" spans="1:22" ht="18" customHeight="1" x14ac:dyDescent="0.35">
      <c r="A21" t="s">
        <v>377</v>
      </c>
      <c r="B21" s="28" t="str">
        <f t="shared" si="16"/>
        <v>ContainerNo</v>
      </c>
      <c r="C21" s="28" t="str">
        <f t="shared" si="17"/>
        <v>Container No</v>
      </c>
      <c r="D21" s="28" t="str">
        <f t="shared" si="18"/>
        <v>containerNo</v>
      </c>
      <c r="E21" s="28" t="str">
        <f>A.Backend!H15</f>
        <v>string</v>
      </c>
      <c r="F21" s="28" t="str">
        <f>A.Backend!G15</f>
        <v>15</v>
      </c>
      <c r="G21" s="28" t="str">
        <f t="shared" si="3"/>
        <v xml:space="preserve"> : string = '' ; </v>
      </c>
      <c r="H21" s="35" t="str">
        <f t="shared" si="4"/>
        <v xml:space="preserve">			{headerName: this.l('Container No'),headerTooltip: this.l('Container No'),field: 'containerNo',flex: 1},</v>
      </c>
      <c r="I21" s="35" t="str">
        <f t="shared" si="5"/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containerNo : string = '' ; </v>
      </c>
      <c r="T21" s="28" t="str">
        <f t="shared" si="14"/>
        <v xml:space="preserve">			this.containerNo,</v>
      </c>
      <c r="U21" s="28" t="str">
        <f t="shared" si="15"/>
        <v xml:space="preserve">		this.containerNo = '',</v>
      </c>
      <c r="V21" s="28" t="str">
        <f t="shared" si="8"/>
        <v/>
      </c>
    </row>
    <row r="22" spans="1:22" ht="18" customHeight="1" x14ac:dyDescent="0.35">
      <c r="A22" t="s">
        <v>379</v>
      </c>
      <c r="B22" s="28" t="str">
        <f>SUBSTITUTE(PROPER(A22),"_","")</f>
        <v>InvoiceId</v>
      </c>
      <c r="C22" s="28" t="str">
        <f>SUBSTITUTE(PROPER(A22),"_"," ")</f>
        <v>Invoice Id</v>
      </c>
      <c r="D22" s="28" t="str">
        <f>LOWER(LEFT(B22,1))&amp;RIGHT(B22,LEN(B22) - 1)</f>
        <v>invoiceId</v>
      </c>
      <c r="E22" s="28" t="str">
        <f>A.Backend!H16</f>
        <v>long?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this.l('Invoice Id'),headerTooltip: this.l('Invoice Id'),field: 'invoiceId',flex: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invoiceId</v>
      </c>
      <c r="T22" s="28" t="str">
        <f t="shared" si="14"/>
        <v xml:space="preserve">			this.invoiceId,</v>
      </c>
      <c r="U22" s="28" t="str">
        <f t="shared" si="15"/>
        <v xml:space="preserve">		this.invoiceId = '',</v>
      </c>
      <c r="V22" s="28" t="str">
        <f t="shared" si="8"/>
        <v/>
      </c>
    </row>
    <row r="23" spans="1:22" ht="15" customHeight="1" x14ac:dyDescent="0.35">
      <c r="A23" t="s">
        <v>357</v>
      </c>
      <c r="B23" s="28" t="str">
        <f t="shared" ref="B23:B26" si="20">SUBSTITUTE(PROPER(A23),"_","")</f>
        <v>SupplierNo</v>
      </c>
      <c r="C23" s="28" t="str">
        <f t="shared" ref="C23:C26" si="21">SUBSTITUTE(PROPER(A23),"_"," ")</f>
        <v>Supplier No</v>
      </c>
      <c r="D23" s="28" t="str">
        <f t="shared" ref="D23:D26" si="22">LOWER(LEFT(B23,1))&amp;RIGHT(B23,LEN(B23) - 1)</f>
        <v>supplierNo</v>
      </c>
      <c r="E23" s="28" t="str">
        <f>A.Backend!H17</f>
        <v>string</v>
      </c>
      <c r="F23" s="28" t="str">
        <f>A.Backend!G17</f>
        <v/>
      </c>
      <c r="G23" s="28" t="str">
        <f t="shared" si="3"/>
        <v xml:space="preserve"> : string = '' ; </v>
      </c>
      <c r="H23" s="35" t="str">
        <f t="shared" si="4"/>
        <v xml:space="preserve">			{headerName: this.l('Supplier No'),headerTooltip: this.l('Supplier No'),field: 'supplierNo',flex: 1},</v>
      </c>
      <c r="I23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supplierNo : string = '' ; </v>
      </c>
      <c r="T23" s="28" t="str">
        <f t="shared" si="14"/>
        <v xml:space="preserve">			this.supplierNo,</v>
      </c>
      <c r="U23" s="28" t="str">
        <f t="shared" si="15"/>
        <v xml:space="preserve">		this.supplierNo = '',</v>
      </c>
      <c r="V23" s="28" t="str">
        <f t="shared" si="8"/>
        <v/>
      </c>
    </row>
    <row r="24" spans="1:22" ht="18" customHeight="1" x14ac:dyDescent="0.35">
      <c r="A24" t="s">
        <v>381</v>
      </c>
      <c r="B24" s="28" t="str">
        <f t="shared" si="20"/>
        <v>Fi</v>
      </c>
      <c r="C24" s="28" t="str">
        <f t="shared" si="21"/>
        <v>Fi</v>
      </c>
      <c r="D24" s="28" t="str">
        <f t="shared" si="22"/>
        <v>fi</v>
      </c>
      <c r="E24" s="28" t="str">
        <f>A.Backend!H18</f>
        <v>decimal?</v>
      </c>
      <c r="F24" s="28" t="str">
        <f>A.Backend!G18</f>
        <v>18,5</v>
      </c>
      <c r="G24" s="28" t="str">
        <f t="shared" si="3"/>
        <v/>
      </c>
      <c r="H24" s="35" t="str">
        <f t="shared" si="4"/>
        <v xml:space="preserve">			{headerName: this.l('Fi'),headerTooltip: this.l('Fi'),field: 'fi',flex: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fi</v>
      </c>
      <c r="T24" s="28" t="str">
        <f t="shared" si="14"/>
        <v xml:space="preserve">			this.fi,</v>
      </c>
      <c r="U24" s="28" t="str">
        <f t="shared" si="15"/>
        <v xml:space="preserve">		this.fi = '',</v>
      </c>
      <c r="V24" s="28" t="str">
        <f t="shared" si="8"/>
        <v/>
      </c>
    </row>
    <row r="25" spans="1:22" ht="15" customHeight="1" x14ac:dyDescent="0.35">
      <c r="A25" t="s">
        <v>352</v>
      </c>
      <c r="B25" s="28" t="str">
        <f t="shared" si="20"/>
        <v>Fob</v>
      </c>
      <c r="C25" s="28" t="str">
        <f t="shared" si="21"/>
        <v>Fob</v>
      </c>
      <c r="D25" s="28" t="str">
        <f t="shared" si="22"/>
        <v>fob</v>
      </c>
      <c r="E25" s="28" t="str">
        <f>A.Backend!H19</f>
        <v>decimal?</v>
      </c>
      <c r="F25" s="28" t="str">
        <f>A.Backend!G19</f>
        <v>14,5</v>
      </c>
      <c r="G25" s="28" t="str">
        <f t="shared" si="3"/>
        <v/>
      </c>
      <c r="H25" s="35" t="str">
        <f t="shared" si="4"/>
        <v xml:space="preserve">			{headerName: this.l('Fob'),headerTooltip: this.l('Fob'),field: 'fob',flex: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fob</v>
      </c>
      <c r="T25" s="28" t="str">
        <f t="shared" si="14"/>
        <v xml:space="preserve">			this.fob,</v>
      </c>
      <c r="U25" s="28" t="str">
        <f t="shared" si="15"/>
        <v xml:space="preserve">		this.fob = '',</v>
      </c>
      <c r="V25" s="28" t="str">
        <f t="shared" si="8"/>
        <v/>
      </c>
    </row>
    <row r="26" spans="1:22" ht="18" customHeight="1" x14ac:dyDescent="0.35">
      <c r="A26" t="s">
        <v>353</v>
      </c>
      <c r="B26" s="28" t="str">
        <f t="shared" si="20"/>
        <v>Freight</v>
      </c>
      <c r="C26" s="28" t="str">
        <f t="shared" si="21"/>
        <v>Freight</v>
      </c>
      <c r="D26" s="28" t="str">
        <f t="shared" si="22"/>
        <v>freight</v>
      </c>
      <c r="E26" s="28" t="str">
        <f>A.Backend!H20</f>
        <v>decimal?</v>
      </c>
      <c r="F26" s="28" t="str">
        <f>A.Backend!G20</f>
        <v>14,5</v>
      </c>
      <c r="G26" s="28" t="str">
        <f t="shared" si="3"/>
        <v/>
      </c>
      <c r="H26" s="35" t="str">
        <f t="shared" si="4"/>
        <v xml:space="preserve">			{headerName: this.l('Freight'),headerTooltip: this.l('Freight'),field: 'freight',flex: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freight</v>
      </c>
      <c r="T26" s="28" t="str">
        <f t="shared" si="14"/>
        <v xml:space="preserve">			this.freight,</v>
      </c>
      <c r="U26" s="28" t="str">
        <f t="shared" si="15"/>
        <v xml:space="preserve">		this.freight = '',</v>
      </c>
      <c r="V26" s="28" t="str">
        <f t="shared" si="8"/>
        <v/>
      </c>
    </row>
    <row r="27" spans="1:22" ht="18" customHeight="1" x14ac:dyDescent="0.35">
      <c r="A27" t="s">
        <v>383</v>
      </c>
      <c r="B27" s="28" t="str">
        <f>SUBSTITUTE(PROPER(A27),"_","")</f>
        <v>Thc</v>
      </c>
      <c r="C27" s="28" t="str">
        <f>SUBSTITUTE(PROPER(A27),"_"," ")</f>
        <v>Thc</v>
      </c>
      <c r="D27" s="28" t="str">
        <f>LOWER(LEFT(B27,1))&amp;RIGHT(B27,LEN(B27) - 1)</f>
        <v>thc</v>
      </c>
      <c r="E27" s="28" t="str">
        <f>A.Backend!H21</f>
        <v>decimal?</v>
      </c>
      <c r="F27" s="28" t="str">
        <f>A.Backend!G21</f>
        <v>14,5</v>
      </c>
      <c r="G27" s="28" t="str">
        <f t="shared" si="3"/>
        <v/>
      </c>
      <c r="H27" s="35" t="str">
        <f t="shared" si="4"/>
        <v xml:space="preserve">			{headerName: this.l('Thc'),headerTooltip: this.l('Thc'),field: 'thc',flex: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thc</v>
      </c>
      <c r="T27" s="28" t="str">
        <f t="shared" si="14"/>
        <v xml:space="preserve">			this.thc,</v>
      </c>
      <c r="U27" s="28" t="str">
        <f t="shared" si="15"/>
        <v xml:space="preserve">		this.thc = '',</v>
      </c>
      <c r="V27" s="28" t="str">
        <f t="shared" si="8"/>
        <v/>
      </c>
    </row>
    <row r="28" spans="1:22" ht="15" customHeight="1" x14ac:dyDescent="0.35">
      <c r="A28" t="s">
        <v>355</v>
      </c>
      <c r="B28" s="28" t="str">
        <f t="shared" ref="B28:B30" si="24">SUBSTITUTE(PROPER(A28),"_","")</f>
        <v>Cif</v>
      </c>
      <c r="C28" s="28" t="str">
        <f t="shared" ref="C28:C30" si="25">SUBSTITUTE(PROPER(A28),"_"," ")</f>
        <v>Cif</v>
      </c>
      <c r="D28" s="28" t="str">
        <f t="shared" ref="D28:D30" si="26">LOWER(LEFT(B28,1))&amp;RIGHT(B28,LEN(B28) - 1)</f>
        <v>cif</v>
      </c>
      <c r="E28" s="28" t="str">
        <f>A.Backend!H22</f>
        <v>decimal?</v>
      </c>
      <c r="F28" s="28" t="str">
        <f>A.Backend!G22</f>
        <v>18,5</v>
      </c>
      <c r="G28" s="28" t="str">
        <f t="shared" si="3"/>
        <v/>
      </c>
      <c r="H28" s="35" t="str">
        <f t="shared" si="4"/>
        <v xml:space="preserve">			{headerName: this.l('Cif'),headerTooltip: this.l('Cif'),field: 'cif',flex: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cif</v>
      </c>
      <c r="T28" s="28" t="str">
        <f t="shared" si="14"/>
        <v xml:space="preserve">			this.cif,</v>
      </c>
      <c r="U28" s="28" t="str">
        <f t="shared" si="15"/>
        <v xml:space="preserve">		this.cif = '',</v>
      </c>
      <c r="V28" s="28" t="str">
        <f t="shared" si="8"/>
        <v/>
      </c>
    </row>
    <row r="29" spans="1:22" ht="18" customHeight="1" x14ac:dyDescent="0.35">
      <c r="A29" t="s">
        <v>384</v>
      </c>
      <c r="B29" s="28" t="str">
        <f t="shared" si="24"/>
        <v>Tax</v>
      </c>
      <c r="C29" s="28" t="str">
        <f t="shared" si="25"/>
        <v>Tax</v>
      </c>
      <c r="D29" s="28" t="str">
        <f t="shared" si="26"/>
        <v>tax</v>
      </c>
      <c r="E29" s="28" t="str">
        <f>A.Backend!H23</f>
        <v>decimal?</v>
      </c>
      <c r="F29" s="28" t="str">
        <f>A.Backend!G23</f>
        <v>14,5</v>
      </c>
      <c r="G29" s="28" t="str">
        <f t="shared" si="3"/>
        <v/>
      </c>
      <c r="H29" s="35" t="str">
        <f t="shared" si="4"/>
        <v xml:space="preserve">			{headerName: this.l('Tax'),headerTooltip: this.l('Tax'),field: 'tax',flex: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tax</v>
      </c>
      <c r="T29" s="28" t="str">
        <f t="shared" si="14"/>
        <v xml:space="preserve">			this.tax,</v>
      </c>
      <c r="U29" s="28" t="str">
        <f t="shared" si="15"/>
        <v xml:space="preserve">		this.tax = '',</v>
      </c>
      <c r="V29" s="28" t="str">
        <f t="shared" si="8"/>
        <v/>
      </c>
    </row>
    <row r="30" spans="1:22" ht="15" customHeight="1" x14ac:dyDescent="0.35">
      <c r="A30" t="s">
        <v>385</v>
      </c>
      <c r="B30" s="28" t="str">
        <f t="shared" si="24"/>
        <v>TaxRate</v>
      </c>
      <c r="C30" s="28" t="str">
        <f t="shared" si="25"/>
        <v>Tax Rate</v>
      </c>
      <c r="D30" s="28" t="str">
        <f t="shared" si="26"/>
        <v>taxRate</v>
      </c>
      <c r="E30" s="28" t="str">
        <f>A.Backend!H24</f>
        <v>decimal?</v>
      </c>
      <c r="F30" s="28" t="str">
        <f>A.Backend!G24</f>
        <v>7,5</v>
      </c>
      <c r="G30" s="28" t="str">
        <f t="shared" si="3"/>
        <v/>
      </c>
      <c r="H30" s="35" t="str">
        <f t="shared" si="4"/>
        <v xml:space="preserve">			{headerName: this.l('Tax Rate'),headerTooltip: this.l('Tax Rate'),field: 'taxRate',flex: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taxRate</v>
      </c>
      <c r="T30" s="28" t="str">
        <f t="shared" si="14"/>
        <v xml:space="preserve">			this.taxRate,</v>
      </c>
      <c r="U30" s="28" t="str">
        <f t="shared" si="15"/>
        <v xml:space="preserve">		this.taxRate = '',</v>
      </c>
      <c r="V30" s="28" t="str">
        <f t="shared" si="8"/>
        <v/>
      </c>
    </row>
    <row r="31" spans="1:22" ht="15" customHeight="1" x14ac:dyDescent="0.35">
      <c r="A31" t="s">
        <v>387</v>
      </c>
      <c r="B31" s="28" t="str">
        <f t="shared" ref="B31" si="28">SUBSTITUTE(PROPER(A31),"_","")</f>
        <v>Vat</v>
      </c>
      <c r="C31" s="28" t="str">
        <f t="shared" ref="C31" si="29">SUBSTITUTE(PROPER(A31),"_"," ")</f>
        <v>Vat</v>
      </c>
      <c r="D31" s="28" t="str">
        <f t="shared" ref="D31" si="30">LOWER(LEFT(B31,1))&amp;RIGHT(B31,LEN(B31) - 1)</f>
        <v>vat</v>
      </c>
      <c r="E31" s="28" t="str">
        <f>A.Backend!H25</f>
        <v>decimal?</v>
      </c>
      <c r="F31" s="28" t="str">
        <f>A.Backend!G25</f>
        <v>14,5</v>
      </c>
      <c r="G31" s="28" t="str">
        <f t="shared" si="3"/>
        <v/>
      </c>
      <c r="H31" s="35" t="str">
        <f t="shared" si="4"/>
        <v xml:space="preserve">			{headerName: this.l('Vat'),headerTooltip: this.l('Vat'),field: 'vat',flex: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vat</v>
      </c>
      <c r="T31" s="28" t="str">
        <f t="shared" si="14"/>
        <v xml:space="preserve">			this.vat,</v>
      </c>
      <c r="U31" s="28" t="str">
        <f t="shared" si="15"/>
        <v xml:space="preserve">		this.vat = '',</v>
      </c>
      <c r="V31" s="28" t="str">
        <f t="shared" si="8"/>
        <v/>
      </c>
    </row>
    <row r="32" spans="1:22" ht="18" customHeight="1" x14ac:dyDescent="0.35">
      <c r="A32" t="s">
        <v>388</v>
      </c>
      <c r="B32" s="28" t="str">
        <f t="shared" si="0"/>
        <v>VatRate</v>
      </c>
      <c r="C32" s="28" t="str">
        <f t="shared" si="1"/>
        <v>Vat Rate</v>
      </c>
      <c r="D32" s="28" t="str">
        <f t="shared" si="2"/>
        <v>vatRate</v>
      </c>
      <c r="E32" s="28" t="str">
        <f>A.Backend!H26</f>
        <v>decimal?</v>
      </c>
      <c r="F32" s="28" t="str">
        <f>A.Backend!G26</f>
        <v>7,5</v>
      </c>
      <c r="G32" s="28" t="str">
        <f t="shared" si="3"/>
        <v/>
      </c>
      <c r="H32" s="35" t="str">
        <f t="shared" si="4"/>
        <v xml:space="preserve">			{headerName: this.l('Vat Rate'),headerTooltip: this.l('Vat Rate'),field: 'vatRate',flex: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vatRate</v>
      </c>
      <c r="T32" s="28" t="str">
        <f t="shared" si="14"/>
        <v xml:space="preserve">			this.vatRate,</v>
      </c>
      <c r="U32" s="28" t="str">
        <f t="shared" si="15"/>
        <v xml:space="preserve">		this.vatRate = '',</v>
      </c>
      <c r="V32" s="28" t="str">
        <f t="shared" si="8"/>
        <v/>
      </c>
    </row>
    <row r="33" spans="1:22" ht="15" customHeight="1" x14ac:dyDescent="0.35">
      <c r="A33" t="s">
        <v>389</v>
      </c>
      <c r="B33" s="28" t="str">
        <f t="shared" ref="B33:B34" si="32">SUBSTITUTE(PROPER(A33),"_","")</f>
        <v>Inland</v>
      </c>
      <c r="C33" s="28" t="str">
        <f t="shared" ref="C33:C34" si="33">SUBSTITUTE(PROPER(A33),"_"," ")</f>
        <v>Inland</v>
      </c>
      <c r="D33" s="28" t="str">
        <f t="shared" ref="D33:D34" si="34">LOWER(LEFT(B33,1))&amp;RIGHT(B33,LEN(B33) - 1)</f>
        <v>inland</v>
      </c>
      <c r="E33" s="28" t="str">
        <f>A.Backend!H27</f>
        <v>decimal?</v>
      </c>
      <c r="F33" s="28" t="str">
        <f>A.Backend!G27</f>
        <v>14,5</v>
      </c>
      <c r="G33" s="28" t="str">
        <f t="shared" si="3"/>
        <v/>
      </c>
      <c r="H33" s="35" t="str">
        <f t="shared" si="4"/>
        <v xml:space="preserve">			{headerName: this.l('Inland'),headerTooltip: this.l('Inland'),field: 'inland',flex: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inland</v>
      </c>
      <c r="T33" s="28" t="str">
        <f t="shared" si="14"/>
        <v xml:space="preserve">			this.inland,</v>
      </c>
      <c r="U33" s="28" t="str">
        <f t="shared" si="15"/>
        <v xml:space="preserve">		this.inland = '',</v>
      </c>
      <c r="V33" s="28" t="str">
        <f t="shared" si="8"/>
        <v/>
      </c>
    </row>
    <row r="34" spans="1:22" ht="18" customHeight="1" x14ac:dyDescent="0.35">
      <c r="A34" t="s">
        <v>390</v>
      </c>
      <c r="B34" s="28" t="str">
        <f t="shared" si="32"/>
        <v>UsageQty</v>
      </c>
      <c r="C34" s="28" t="str">
        <f t="shared" si="33"/>
        <v>Usage Qty</v>
      </c>
      <c r="D34" s="28" t="str">
        <f t="shared" si="34"/>
        <v>usageQty</v>
      </c>
      <c r="E34" s="28" t="str">
        <f>A.Backend!H28</f>
        <v>int?</v>
      </c>
      <c r="F34" s="28" t="str">
        <f>A.Backend!G28</f>
        <v/>
      </c>
      <c r="G34" s="28" t="str">
        <f t="shared" si="3"/>
        <v/>
      </c>
      <c r="H34" s="35" t="str">
        <f t="shared" si="4"/>
        <v xml:space="preserve">			{headerName: this.l('Usage Qty'),headerTooltip: this.l('Usage Qty'),field: 'usageQty',flex: 1},</v>
      </c>
      <c r="I34" s="35" t="str">
        <f t="shared" si="5"/>
        <v/>
      </c>
      <c r="J34" s="28"/>
      <c r="K34" s="35" t="str">
        <f t="shared" si="6"/>
        <v/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usageQty</v>
      </c>
      <c r="T34" s="28" t="str">
        <f t="shared" si="14"/>
        <v xml:space="preserve">			this.usageQty,</v>
      </c>
      <c r="U34" s="28" t="str">
        <f t="shared" si="15"/>
        <v xml:space="preserve">		this.usageQty = '',</v>
      </c>
      <c r="V34" s="28" t="str">
        <f t="shared" si="8"/>
        <v/>
      </c>
    </row>
    <row r="35" spans="1:22" ht="18" customHeight="1" x14ac:dyDescent="0.35">
      <c r="A35" t="s">
        <v>356</v>
      </c>
      <c r="B35" s="28" t="str">
        <f>SUBSTITUTE(PROPER(A35),"_","")</f>
        <v>CeptType</v>
      </c>
      <c r="C35" s="28" t="str">
        <f>SUBSTITUTE(PROPER(A35),"_"," ")</f>
        <v>Cept Type</v>
      </c>
      <c r="D35" s="28" t="str">
        <f>LOWER(LEFT(B35,1))&amp;RIGHT(B35,LEN(B35) - 1)</f>
        <v>ceptType</v>
      </c>
      <c r="E35" s="28" t="str">
        <f>A.Backend!H29</f>
        <v>string</v>
      </c>
      <c r="F35" s="28" t="str">
        <f>A.Backend!G29</f>
        <v>10</v>
      </c>
      <c r="G35" s="28" t="str">
        <f t="shared" si="3"/>
        <v xml:space="preserve"> : string = '' ; </v>
      </c>
      <c r="H35" s="35" t="str">
        <f t="shared" si="4"/>
        <v xml:space="preserve">			{headerName: this.l('Cept Type'),headerTooltip: this.l('Cept Type'),field: 'ceptType',flex: 1},</v>
      </c>
      <c r="I35" s="35" t="str">
        <f t="shared" si="5"/>
        <v xml:space="preserve">								&lt;div class='input-search'&gt;
									&lt;input [(ngModel)]='ceptType' name='ceptType'
									class='form-control' [placeholder]="l('Cept Type')"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title'&gt;Cept Type&lt;/label&gt;
						&lt;input type='text' class='col-md-10 form-control input-text' name='CeptType' [(ngModel)]='rowdata.ceptType'&gt;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ceptType : string = '' ; </v>
      </c>
      <c r="T35" s="28" t="str">
        <f t="shared" si="14"/>
        <v xml:space="preserve">			this.ceptType,</v>
      </c>
      <c r="U35" s="28" t="str">
        <f t="shared" si="15"/>
        <v xml:space="preserve">		this.ceptType = '',</v>
      </c>
      <c r="V35" s="28" t="str">
        <f t="shared" si="8"/>
        <v/>
      </c>
    </row>
    <row r="36" spans="1:22" ht="15" customHeight="1" x14ac:dyDescent="0.35">
      <c r="A36" t="s">
        <v>391</v>
      </c>
      <c r="B36" s="28" t="str">
        <f t="shared" ref="B36:B39" si="36">SUBSTITUTE(PROPER(A36),"_","")</f>
        <v>PartName</v>
      </c>
      <c r="C36" s="28" t="str">
        <f t="shared" ref="C36:C39" si="37">SUBSTITUTE(PROPER(A36),"_"," ")</f>
        <v>Part Name</v>
      </c>
      <c r="D36" s="28" t="str">
        <f t="shared" ref="D36:D39" si="38">LOWER(LEFT(B36,1))&amp;RIGHT(B36,LEN(B36) - 1)</f>
        <v>partName</v>
      </c>
      <c r="E36" s="28" t="str">
        <f>A.Backend!H30</f>
        <v>string</v>
      </c>
      <c r="F36" s="28" t="str">
        <f>A.Backend!G30</f>
        <v>300</v>
      </c>
      <c r="G36" s="28" t="str">
        <f t="shared" si="3"/>
        <v xml:space="preserve"> : string = '' ; </v>
      </c>
      <c r="H36" s="35" t="str">
        <f t="shared" si="4"/>
        <v xml:space="preserve">			{headerName: this.l('Part Name'),headerTooltip: this.l('Part Name'),field: 'partName',flex: 1},</v>
      </c>
      <c r="I36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partName : string = '' ; </v>
      </c>
      <c r="T36" s="28" t="str">
        <f t="shared" si="14"/>
        <v xml:space="preserve">			this.partName,</v>
      </c>
      <c r="U36" s="28" t="str">
        <f t="shared" si="15"/>
        <v xml:space="preserve">		this.partName = '',</v>
      </c>
      <c r="V36" s="28" t="str">
        <f t="shared" si="8"/>
        <v/>
      </c>
    </row>
    <row r="37" spans="1:22" ht="18" customHeight="1" x14ac:dyDescent="0.35">
      <c r="A37" t="s">
        <v>393</v>
      </c>
      <c r="B37" s="28" t="str">
        <f t="shared" si="36"/>
        <v>CarfamilyCode</v>
      </c>
      <c r="C37" s="28" t="str">
        <f t="shared" si="37"/>
        <v>Carfamily Code</v>
      </c>
      <c r="D37" s="28" t="str">
        <f t="shared" si="38"/>
        <v>carfamilyCode</v>
      </c>
      <c r="E37" s="28" t="str">
        <f>A.Backend!H31</f>
        <v>string</v>
      </c>
      <c r="F37" s="28" t="str">
        <f>A.Backend!G31</f>
        <v>4</v>
      </c>
      <c r="G37" s="28" t="str">
        <f t="shared" si="3"/>
        <v xml:space="preserve"> : string = '' ; </v>
      </c>
      <c r="H37" s="35" t="str">
        <f t="shared" si="4"/>
        <v xml:space="preserve">			{headerName: this.l('Carfamily Code'),headerTooltip: this.l('Carfamily Code'),field: 'carfamilyCode',flex: 1},</v>
      </c>
      <c r="I37" s="35" t="str">
        <f t="shared" si="5"/>
        <v xml:space="preserve">								&lt;div class='input-search'&gt;
									&lt;input [(ngModel)]='carfamilyCode' name='carfamilyCode'
									class='form-control' [placeholder]="l('Carfamily Code')"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</v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carfamilyCode : string = '' ; </v>
      </c>
      <c r="T37" s="28" t="str">
        <f t="shared" si="14"/>
        <v xml:space="preserve">			this.carfamilyCode,</v>
      </c>
      <c r="U37" s="28" t="str">
        <f t="shared" si="15"/>
        <v xml:space="preserve">		this.carfamilyCode = '',</v>
      </c>
      <c r="V37" s="28" t="str">
        <f t="shared" si="8"/>
        <v/>
      </c>
    </row>
    <row r="38" spans="1:22" ht="15" customHeight="1" x14ac:dyDescent="0.35">
      <c r="A38" t="s">
        <v>394</v>
      </c>
      <c r="B38" s="28" t="str">
        <f t="shared" si="36"/>
        <v>PartNetWeight</v>
      </c>
      <c r="C38" s="28" t="str">
        <f t="shared" si="37"/>
        <v>Part Net Weight</v>
      </c>
      <c r="D38" s="28" t="str">
        <f t="shared" si="38"/>
        <v>partNetWeight</v>
      </c>
      <c r="E38" s="28" t="str">
        <f>A.Backend!H32</f>
        <v>decimal?</v>
      </c>
      <c r="F38" s="28" t="str">
        <f>A.Backend!G32</f>
        <v>18,4</v>
      </c>
      <c r="G38" s="28" t="str">
        <f t="shared" si="3"/>
        <v/>
      </c>
      <c r="H38" s="35" t="str">
        <f t="shared" si="4"/>
        <v xml:space="preserve">			{headerName: this.l('Part Net Weight'),headerTooltip: this.l('Part Net Weight'),field: 'partNetWeight',flex: 1},</v>
      </c>
      <c r="I38" s="35" t="str">
        <f t="shared" si="5"/>
        <v/>
      </c>
      <c r="J38" s="28"/>
      <c r="K38" s="35" t="str">
        <f t="shared" si="6"/>
        <v/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partNetWeight</v>
      </c>
      <c r="T38" s="28" t="str">
        <f t="shared" si="14"/>
        <v xml:space="preserve">			this.partNetWeight,</v>
      </c>
      <c r="U38" s="28" t="str">
        <f t="shared" si="15"/>
        <v xml:space="preserve">		this.partNetWeight = '',</v>
      </c>
      <c r="V38" s="28" t="str">
        <f t="shared" si="8"/>
        <v/>
      </c>
    </row>
    <row r="39" spans="1:22" ht="18" customHeight="1" x14ac:dyDescent="0.35">
      <c r="A39" t="s">
        <v>396</v>
      </c>
      <c r="B39" s="28" t="str">
        <f t="shared" si="36"/>
        <v>OrderNo</v>
      </c>
      <c r="C39" s="28" t="str">
        <f t="shared" si="37"/>
        <v>Order No</v>
      </c>
      <c r="D39" s="28" t="str">
        <f t="shared" si="38"/>
        <v>orderNo</v>
      </c>
      <c r="E39" s="28" t="str">
        <f>A.Backend!H33</f>
        <v>string</v>
      </c>
      <c r="F39" s="28" t="str">
        <f>A.Backend!G33</f>
        <v>12</v>
      </c>
      <c r="G39" s="28" t="str">
        <f t="shared" si="3"/>
        <v xml:space="preserve"> : string = '' ; </v>
      </c>
      <c r="H39" s="35" t="str">
        <f t="shared" si="4"/>
        <v xml:space="preserve">			{headerName: this.l('Order No'),headerTooltip: this.l('Order No'),field: 'orderNo',flex: 1},</v>
      </c>
      <c r="I39" s="35" t="str">
        <f t="shared" si="5"/>
        <v xml:space="preserve">								&lt;div class='input-search'&gt;
									&lt;input [(ngModel)]='orderNo' name='orderNo'
									class='form-control' [placeholder]="l('Order No')"
									type='text' (keyup.enter)='searchDatas()'&gt;
								&lt;/div&gt;</v>
      </c>
      <c r="J39" s="28"/>
      <c r="K39" s="35" t="str">
        <f t="shared" si="6"/>
        <v xml:space="preserve">					&lt;div class='col-md-12 form-group row'&gt;
						&lt;label class='col-md-2 form-control title'&gt;Order No&lt;/label&gt;
						&lt;input type='text' class='col-md-10 form-control input-text' name='OrderNo' [(ngModel)]='rowdata.orderNo'&gt;
					&lt;/div&gt;</v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orderNo : string = '' ; </v>
      </c>
      <c r="T39" s="28" t="str">
        <f t="shared" si="14"/>
        <v xml:space="preserve">			this.orderNo,</v>
      </c>
      <c r="U39" s="28" t="str">
        <f t="shared" si="15"/>
        <v xml:space="preserve">		this.orderNo = '',</v>
      </c>
      <c r="V39" s="28" t="str">
        <f t="shared" si="8"/>
        <v/>
      </c>
    </row>
    <row r="40" spans="1:22" ht="18" customHeight="1" x14ac:dyDescent="0.35">
      <c r="A40" t="s">
        <v>397</v>
      </c>
      <c r="B40" s="28" t="str">
        <f>SUBSTITUTE(PROPER(A40),"_","")</f>
        <v>Firmpackingmonth</v>
      </c>
      <c r="C40" s="28" t="str">
        <f>SUBSTITUTE(PROPER(A40),"_"," ")</f>
        <v>Firmpackingmonth</v>
      </c>
      <c r="D40" s="28" t="str">
        <f>LOWER(LEFT(B40,1))&amp;RIGHT(B40,LEN(B40) - 1)</f>
        <v>firmpackingmonth</v>
      </c>
      <c r="E40" s="28" t="str">
        <f>A.Backend!H34</f>
        <v>DateTime?</v>
      </c>
      <c r="F40" s="28" t="str">
        <f>A.Backend!G34</f>
        <v/>
      </c>
      <c r="G40" s="28" t="str">
        <f t="shared" si="3"/>
        <v/>
      </c>
      <c r="H40" s="35" t="str">
        <f t="shared" si="4"/>
        <v xml:space="preserve">			{headerName: this.l('Firmpackingmonth'),headerTooltip: this.l('Firmpackingmonth'),field: 'firmpackingmonth',flex: 1},</v>
      </c>
      <c r="I40" s="35" t="str">
        <f t="shared" si="5"/>
        <v/>
      </c>
      <c r="J40" s="28"/>
      <c r="K40" s="35" t="str">
        <f t="shared" si="6"/>
        <v/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firmpackingmonth</v>
      </c>
      <c r="T40" s="28" t="str">
        <f t="shared" si="14"/>
        <v xml:space="preserve">			this.firmpackingmonth,</v>
      </c>
      <c r="U40" s="28" t="str">
        <f t="shared" si="15"/>
        <v xml:space="preserve">		this.firmpackingmonth = '',</v>
      </c>
      <c r="V40" s="28" t="str">
        <f t="shared" si="8"/>
        <v/>
      </c>
    </row>
    <row r="41" spans="1:22" ht="15" customHeight="1" x14ac:dyDescent="0.35">
      <c r="A41" t="s">
        <v>399</v>
      </c>
      <c r="B41" s="28" t="str">
        <f t="shared" ref="B41:B44" si="40">SUBSTITUTE(PROPER(A41),"_","")</f>
        <v>ReexportCode</v>
      </c>
      <c r="C41" s="28" t="str">
        <f t="shared" ref="C41:C44" si="41">SUBSTITUTE(PROPER(A41),"_"," ")</f>
        <v>Reexport Code</v>
      </c>
      <c r="D41" s="28" t="str">
        <f t="shared" ref="D41:D44" si="42">LOWER(LEFT(B41,1))&amp;RIGHT(B41,LEN(B41) - 1)</f>
        <v>reexportCode</v>
      </c>
      <c r="E41" s="28" t="str">
        <f>A.Backend!H35</f>
        <v>string</v>
      </c>
      <c r="F41" s="28" t="str">
        <f>A.Backend!G35</f>
        <v>2</v>
      </c>
      <c r="G41" s="28" t="str">
        <f t="shared" si="3"/>
        <v xml:space="preserve"> : string = '' ; </v>
      </c>
      <c r="H41" s="35" t="str">
        <f t="shared" si="4"/>
        <v xml:space="preserve">			{headerName: this.l('Reexport Code'),headerTooltip: this.l('Reexport Code'),field: 'reexportCode',flex: 1},</v>
      </c>
      <c r="I41" s="35" t="str">
        <f t="shared" si="5"/>
        <v xml:space="preserve">								&lt;div class='input-search'&gt;
									&lt;input [(ngModel)]='reexportCode' name='reexportCode'
									class='form-control' [placeholder]="l('Reexport Code')"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title'&gt;Reexport Code&lt;/label&gt;
						&lt;input type='text' class='col-md-10 form-control input-text' name='ReexportCode' [(ngModel)]='rowdata.reexportCode'&gt;
					&lt;/div&gt;</v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reexportCode : string = '' ; </v>
      </c>
      <c r="T41" s="28" t="str">
        <f t="shared" si="14"/>
        <v xml:space="preserve">			this.reexportCode,</v>
      </c>
      <c r="U41" s="28" t="str">
        <f t="shared" si="15"/>
        <v xml:space="preserve">		this.reexportCode = '',</v>
      </c>
      <c r="V41" s="28" t="str">
        <f t="shared" si="8"/>
        <v/>
      </c>
    </row>
    <row r="42" spans="1:22" ht="18" customHeight="1" x14ac:dyDescent="0.35">
      <c r="A42" t="s">
        <v>350</v>
      </c>
      <c r="B42" s="28" t="str">
        <f t="shared" si="40"/>
        <v>Status</v>
      </c>
      <c r="C42" s="28" t="str">
        <f t="shared" si="41"/>
        <v>Status</v>
      </c>
      <c r="D42" s="28" t="str">
        <f t="shared" si="42"/>
        <v>status</v>
      </c>
      <c r="E42" s="28" t="str">
        <f>A.Backend!H36</f>
        <v>string</v>
      </c>
      <c r="F42" s="28" t="str">
        <f>A.Backend!G36</f>
        <v>10</v>
      </c>
      <c r="G42" s="28" t="str">
        <f t="shared" si="3"/>
        <v xml:space="preserve"> : string = '' ; </v>
      </c>
      <c r="H42" s="35" t="str">
        <f t="shared" si="4"/>
        <v xml:space="preserve">			{headerName: this.l('Status'),headerTooltip: this.l('Status'),field: 'status',flex: 1},</v>
      </c>
      <c r="I42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42" s="56" t="str">
        <f t="shared" si="43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status : string = '' ; </v>
      </c>
      <c r="T42" s="28" t="str">
        <f t="shared" si="14"/>
        <v xml:space="preserve">			this.status,</v>
      </c>
      <c r="U42" s="28" t="str">
        <f t="shared" si="15"/>
        <v xml:space="preserve">		this.status = '',</v>
      </c>
      <c r="V42" s="28" t="str">
        <f t="shared" si="8"/>
        <v/>
      </c>
    </row>
    <row r="43" spans="1:22" ht="15" customHeight="1" x14ac:dyDescent="0.35">
      <c r="A43" t="s">
        <v>358</v>
      </c>
      <c r="B43" s="28" t="str">
        <f t="shared" si="40"/>
        <v>FobVn</v>
      </c>
      <c r="C43" s="28" t="str">
        <f t="shared" si="41"/>
        <v>Fob Vn</v>
      </c>
      <c r="D43" s="28" t="str">
        <f t="shared" si="42"/>
        <v>fobVn</v>
      </c>
      <c r="E43" s="28" t="str">
        <f>A.Backend!H37</f>
        <v>decimal?</v>
      </c>
      <c r="F43" s="28" t="str">
        <f>A.Backend!G37</f>
        <v>18,5</v>
      </c>
      <c r="G43" s="28" t="str">
        <f t="shared" si="3"/>
        <v/>
      </c>
      <c r="H43" s="35" t="str">
        <f t="shared" si="4"/>
        <v xml:space="preserve">			{headerName: this.l('Fob Vn'),headerTooltip: this.l('Fob Vn'),field: 'fobVn',flex: 1},</v>
      </c>
      <c r="I43" s="35" t="str">
        <f t="shared" si="5"/>
        <v/>
      </c>
      <c r="J43" s="28"/>
      <c r="K43" s="35" t="str">
        <f t="shared" si="6"/>
        <v/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fobVn</v>
      </c>
      <c r="T43" s="28" t="str">
        <f t="shared" si="14"/>
        <v xml:space="preserve">			this.fobVn,</v>
      </c>
      <c r="U43" s="28" t="str">
        <f t="shared" si="15"/>
        <v xml:space="preserve">		this.fobVn = '',</v>
      </c>
      <c r="V43" s="28" t="str">
        <f t="shared" si="8"/>
        <v/>
      </c>
    </row>
    <row r="44" spans="1:22" ht="18" customHeight="1" x14ac:dyDescent="0.35">
      <c r="A44" t="s">
        <v>401</v>
      </c>
      <c r="B44" s="28" t="str">
        <f t="shared" si="40"/>
        <v>FreightVn</v>
      </c>
      <c r="C44" s="28" t="str">
        <f t="shared" si="41"/>
        <v>Freight Vn</v>
      </c>
      <c r="D44" s="28" t="str">
        <f t="shared" si="42"/>
        <v>freightVn</v>
      </c>
      <c r="E44" s="28" t="str">
        <f>A.Backend!H38</f>
        <v>decimal?</v>
      </c>
      <c r="F44" s="28" t="str">
        <f>A.Backend!G38</f>
        <v>18,5</v>
      </c>
      <c r="G44" s="28" t="str">
        <f t="shared" si="3"/>
        <v/>
      </c>
      <c r="H44" s="35" t="str">
        <f t="shared" si="4"/>
        <v xml:space="preserve">			{headerName: this.l('Freight Vn'),headerTooltip: this.l('Freight Vn'),field: 'freightVn',flex: 1},</v>
      </c>
      <c r="I44" s="35" t="str">
        <f t="shared" si="5"/>
        <v/>
      </c>
      <c r="J44" s="28"/>
      <c r="K44" s="35" t="str">
        <f t="shared" si="6"/>
        <v/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freightVn</v>
      </c>
      <c r="T44" s="28" t="str">
        <f t="shared" si="14"/>
        <v xml:space="preserve">			this.freightVn,</v>
      </c>
      <c r="U44" s="28" t="str">
        <f t="shared" si="15"/>
        <v xml:space="preserve">		this.freightVn = '',</v>
      </c>
      <c r="V44" s="28" t="str">
        <f t="shared" si="8"/>
        <v/>
      </c>
    </row>
    <row r="45" spans="1:22" ht="18" customHeight="1" x14ac:dyDescent="0.35">
      <c r="A45" t="s">
        <v>402</v>
      </c>
      <c r="B45" s="28" t="str">
        <f>SUBSTITUTE(PROPER(A45),"_","")</f>
        <v>InsuranceVn</v>
      </c>
      <c r="C45" s="28" t="str">
        <f>SUBSTITUTE(PROPER(A45),"_"," ")</f>
        <v>Insurance Vn</v>
      </c>
      <c r="D45" s="28" t="str">
        <f>LOWER(LEFT(B45,1))&amp;RIGHT(B45,LEN(B45) - 1)</f>
        <v>insuranceVn</v>
      </c>
      <c r="E45" s="28" t="str">
        <f>A.Backend!H39</f>
        <v>decimal?</v>
      </c>
      <c r="F45" s="28" t="str">
        <f>A.Backend!G39</f>
        <v>18,5</v>
      </c>
      <c r="G45" s="28" t="str">
        <f t="shared" si="3"/>
        <v/>
      </c>
      <c r="H45" s="35" t="str">
        <f t="shared" si="4"/>
        <v xml:space="preserve">			{headerName: this.l('Insurance Vn'),headerTooltip: this.l('Insurance Vn'),field: 'insuranceVn',flex: 1},</v>
      </c>
      <c r="I45" s="35" t="str">
        <f t="shared" si="5"/>
        <v/>
      </c>
      <c r="J45" s="28"/>
      <c r="K45" s="35" t="str">
        <f t="shared" si="6"/>
        <v/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insuranceVn</v>
      </c>
      <c r="T45" s="28" t="str">
        <f t="shared" si="14"/>
        <v xml:space="preserve">			this.insuranceVn,</v>
      </c>
      <c r="U45" s="28" t="str">
        <f t="shared" si="15"/>
        <v xml:space="preserve">		this.insuranceVn = '',</v>
      </c>
      <c r="V45" s="28" t="str">
        <f t="shared" si="8"/>
        <v/>
      </c>
    </row>
    <row r="46" spans="1:22" ht="15" customHeight="1" x14ac:dyDescent="0.35">
      <c r="A46" t="s">
        <v>403</v>
      </c>
      <c r="B46" s="28" t="str">
        <f t="shared" ref="B46:B49" si="44">SUBSTITUTE(PROPER(A46),"_","")</f>
        <v>FiVn</v>
      </c>
      <c r="C46" s="28" t="str">
        <f t="shared" ref="C46:C49" si="45">SUBSTITUTE(PROPER(A46),"_"," ")</f>
        <v>Fi Vn</v>
      </c>
      <c r="D46" s="28" t="str">
        <f t="shared" ref="D46:D49" si="46">LOWER(LEFT(B46,1))&amp;RIGHT(B46,LEN(B46) - 1)</f>
        <v>fiVn</v>
      </c>
      <c r="E46" s="28" t="str">
        <f>A.Backend!H40</f>
        <v>decimal?</v>
      </c>
      <c r="F46" s="28" t="str">
        <f>A.Backend!G40</f>
        <v>18,5</v>
      </c>
      <c r="G46" s="28" t="str">
        <f t="shared" si="3"/>
        <v/>
      </c>
      <c r="H46" s="35" t="str">
        <f t="shared" si="4"/>
        <v xml:space="preserve">			{headerName: this.l('Fi Vn'),headerTooltip: this.l('Fi Vn'),field: 'fiVn',flex: 1},</v>
      </c>
      <c r="I46" s="35" t="str">
        <f t="shared" si="5"/>
        <v/>
      </c>
      <c r="J46" s="28"/>
      <c r="K46" s="35" t="str">
        <f t="shared" si="6"/>
        <v/>
      </c>
      <c r="L46" s="56" t="str">
        <f t="shared" ref="L46:L49" si="47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fiVn</v>
      </c>
      <c r="T46" s="28" t="str">
        <f t="shared" si="14"/>
        <v xml:space="preserve">			this.fiVn,</v>
      </c>
      <c r="U46" s="28" t="str">
        <f t="shared" si="15"/>
        <v xml:space="preserve">		this.fiVn = '',</v>
      </c>
      <c r="V46" s="28" t="str">
        <f t="shared" si="8"/>
        <v/>
      </c>
    </row>
    <row r="47" spans="1:22" ht="18" customHeight="1" x14ac:dyDescent="0.35">
      <c r="A47" t="s">
        <v>404</v>
      </c>
      <c r="B47" s="28" t="str">
        <f t="shared" si="44"/>
        <v>ThcVn</v>
      </c>
      <c r="C47" s="28" t="str">
        <f t="shared" si="45"/>
        <v>Thc Vn</v>
      </c>
      <c r="D47" s="28" t="str">
        <f t="shared" si="46"/>
        <v>thcVn</v>
      </c>
      <c r="E47" s="28" t="str">
        <f>A.Backend!H41</f>
        <v>decimal?</v>
      </c>
      <c r="F47" s="28" t="str">
        <f>A.Backend!G41</f>
        <v>18,5</v>
      </c>
      <c r="G47" s="28" t="str">
        <f t="shared" si="3"/>
        <v/>
      </c>
      <c r="H47" s="35" t="str">
        <f t="shared" si="4"/>
        <v xml:space="preserve">			{headerName: this.l('Thc Vn'),headerTooltip: this.l('Thc Vn'),field: 'thcVn',flex: 1},</v>
      </c>
      <c r="I47" s="35" t="str">
        <f t="shared" si="5"/>
        <v/>
      </c>
      <c r="J47" s="28"/>
      <c r="K47" s="35" t="str">
        <f t="shared" si="6"/>
        <v/>
      </c>
      <c r="L47" s="56" t="str">
        <f t="shared" si="47"/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thcVn</v>
      </c>
      <c r="T47" s="28" t="str">
        <f t="shared" si="14"/>
        <v xml:space="preserve">			this.thcVn,</v>
      </c>
      <c r="U47" s="28" t="str">
        <f t="shared" si="15"/>
        <v xml:space="preserve">		this.thcVn = '',</v>
      </c>
      <c r="V47" s="28" t="str">
        <f t="shared" si="8"/>
        <v/>
      </c>
    </row>
    <row r="48" spans="1:22" ht="15" customHeight="1" x14ac:dyDescent="0.35">
      <c r="A48" t="s">
        <v>359</v>
      </c>
      <c r="B48" s="28" t="str">
        <f t="shared" si="44"/>
        <v>CifVn</v>
      </c>
      <c r="C48" s="28" t="str">
        <f t="shared" si="45"/>
        <v>Cif Vn</v>
      </c>
      <c r="D48" s="28" t="str">
        <f t="shared" si="46"/>
        <v>cifVn</v>
      </c>
      <c r="E48" s="28" t="str">
        <f>A.Backend!H42</f>
        <v>decimal?</v>
      </c>
      <c r="F48" s="28" t="str">
        <f>A.Backend!G42</f>
        <v>18,5</v>
      </c>
      <c r="G48" s="28" t="str">
        <f t="shared" si="3"/>
        <v/>
      </c>
      <c r="H48" s="35" t="str">
        <f t="shared" si="4"/>
        <v xml:space="preserve">			{headerName: this.l('Cif Vn'),headerTooltip: this.l('Cif Vn'),field: 'cifVn',flex: 1},</v>
      </c>
      <c r="I48" s="35" t="str">
        <f t="shared" si="5"/>
        <v/>
      </c>
      <c r="J48" s="28"/>
      <c r="K48" s="35" t="str">
        <f t="shared" si="6"/>
        <v/>
      </c>
      <c r="L48" s="56" t="str">
        <f t="shared" si="47"/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cifVn</v>
      </c>
      <c r="T48" s="28" t="str">
        <f t="shared" si="14"/>
        <v xml:space="preserve">			this.cifVn,</v>
      </c>
      <c r="U48" s="28" t="str">
        <f t="shared" si="15"/>
        <v xml:space="preserve">		this.cifVn = '',</v>
      </c>
      <c r="V48" s="28" t="str">
        <f t="shared" si="8"/>
        <v/>
      </c>
    </row>
    <row r="49" spans="1:22" ht="18" customHeight="1" x14ac:dyDescent="0.35">
      <c r="A49" t="s">
        <v>405</v>
      </c>
      <c r="B49" s="28" t="str">
        <f t="shared" si="44"/>
        <v>TaxVn</v>
      </c>
      <c r="C49" s="28" t="str">
        <f t="shared" si="45"/>
        <v>Tax Vn</v>
      </c>
      <c r="D49" s="28" t="str">
        <f t="shared" si="46"/>
        <v>taxVn</v>
      </c>
      <c r="E49" s="28" t="str">
        <f>A.Backend!H43</f>
        <v>decimal?</v>
      </c>
      <c r="F49" s="28" t="str">
        <f>A.Backend!G43</f>
        <v>18,5</v>
      </c>
      <c r="G49" s="28" t="str">
        <f t="shared" si="3"/>
        <v/>
      </c>
      <c r="H49" s="35" t="str">
        <f t="shared" si="4"/>
        <v xml:space="preserve">			{headerName: this.l('Tax Vn'),headerTooltip: this.l('Tax Vn'),field: 'taxVn',flex: 1},</v>
      </c>
      <c r="I49" s="35" t="str">
        <f t="shared" si="5"/>
        <v/>
      </c>
      <c r="J49" s="28"/>
      <c r="K49" s="35" t="str">
        <f t="shared" si="6"/>
        <v/>
      </c>
      <c r="L49" s="56" t="str">
        <f t="shared" si="47"/>
        <v/>
      </c>
      <c r="M49" s="28"/>
      <c r="N49" s="28"/>
      <c r="O49" s="28"/>
      <c r="P49" s="28"/>
      <c r="Q49" s="28"/>
      <c r="R49" s="28"/>
      <c r="S49" s="28" t="str">
        <f t="shared" si="13"/>
        <v xml:space="preserve">	taxVn</v>
      </c>
      <c r="T49" s="28" t="str">
        <f t="shared" si="14"/>
        <v xml:space="preserve">			this.taxVn,</v>
      </c>
      <c r="U49" s="28" t="str">
        <f t="shared" si="15"/>
        <v xml:space="preserve">		this.taxVn = '',</v>
      </c>
      <c r="V49" s="28" t="str">
        <f t="shared" si="8"/>
        <v/>
      </c>
    </row>
    <row r="50" spans="1:22" ht="18" customHeight="1" x14ac:dyDescent="0.35">
      <c r="A50" t="s">
        <v>406</v>
      </c>
      <c r="B50" s="28" t="str">
        <f>SUBSTITUTE(PROPER(A50),"_","")</f>
        <v>VatVn</v>
      </c>
      <c r="C50" s="28" t="str">
        <f>SUBSTITUTE(PROPER(A50),"_"," ")</f>
        <v>Vat Vn</v>
      </c>
      <c r="D50" s="28" t="str">
        <f>LOWER(LEFT(B50,1))&amp;RIGHT(B50,LEN(B50) - 1)</f>
        <v>vatVn</v>
      </c>
      <c r="E50" s="28" t="str">
        <f>A.Backend!H44</f>
        <v>decimal?</v>
      </c>
      <c r="F50" s="28" t="str">
        <f>A.Backend!G44</f>
        <v>18,5</v>
      </c>
      <c r="G50" s="28" t="str">
        <f t="shared" si="3"/>
        <v/>
      </c>
      <c r="H50" s="35" t="str">
        <f t="shared" si="4"/>
        <v xml:space="preserve">			{headerName: this.l('Vat Vn'),headerTooltip: this.l('Vat Vn'),field: 'vatVn',flex: 1},</v>
      </c>
      <c r="I50" s="35" t="str">
        <f t="shared" si="5"/>
        <v/>
      </c>
      <c r="J50" s="28"/>
      <c r="K50" s="35" t="str">
        <f t="shared" si="6"/>
        <v/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13"/>
        <v xml:space="preserve">	vatVn</v>
      </c>
      <c r="T50" s="28" t="str">
        <f t="shared" si="14"/>
        <v xml:space="preserve">			this.vatVn,</v>
      </c>
      <c r="U50" s="28" t="str">
        <f t="shared" si="15"/>
        <v xml:space="preserve">		this.vatVn = '',</v>
      </c>
      <c r="V50" s="28" t="str">
        <f t="shared" si="8"/>
        <v/>
      </c>
    </row>
    <row r="51" spans="1:22" ht="15" customHeight="1" x14ac:dyDescent="0.35">
      <c r="A51" t="s">
        <v>407</v>
      </c>
      <c r="B51" s="28" t="str">
        <f t="shared" ref="B51:B54" si="48">SUBSTITUTE(PROPER(A51),"_","")</f>
        <v>InlandVn</v>
      </c>
      <c r="C51" s="28" t="str">
        <f t="shared" ref="C51:C54" si="49">SUBSTITUTE(PROPER(A51),"_"," ")</f>
        <v>Inland Vn</v>
      </c>
      <c r="D51" s="28" t="str">
        <f t="shared" ref="D51:D54" si="50">LOWER(LEFT(B51,1))&amp;RIGHT(B51,LEN(B51) - 1)</f>
        <v>inlandVn</v>
      </c>
      <c r="E51" s="28" t="str">
        <f>A.Backend!H45</f>
        <v>decimal?</v>
      </c>
      <c r="F51" s="28" t="str">
        <f>A.Backend!G45</f>
        <v>18,5</v>
      </c>
      <c r="G51" s="28" t="str">
        <f t="shared" si="3"/>
        <v/>
      </c>
      <c r="H51" s="35" t="str">
        <f t="shared" si="4"/>
        <v xml:space="preserve">			{headerName: this.l('Inland Vn'),headerTooltip: this.l('Inland Vn'),field: 'inlandVn',flex: 1},</v>
      </c>
      <c r="I51" s="35" t="str">
        <f t="shared" si="5"/>
        <v/>
      </c>
      <c r="J51" s="28"/>
      <c r="K51" s="35" t="str">
        <f t="shared" si="6"/>
        <v/>
      </c>
      <c r="L51" s="56" t="str">
        <f t="shared" ref="L51:L54" si="51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si="13"/>
        <v xml:space="preserve">	inlandVn</v>
      </c>
      <c r="T51" s="28" t="str">
        <f t="shared" si="14"/>
        <v xml:space="preserve">			this.inlandVn,</v>
      </c>
      <c r="U51" s="28" t="str">
        <f t="shared" si="15"/>
        <v xml:space="preserve">		this.inlandVn = '',</v>
      </c>
      <c r="V51" s="28" t="str">
        <f t="shared" si="8"/>
        <v/>
      </c>
    </row>
    <row r="52" spans="1:22" ht="18" customHeight="1" x14ac:dyDescent="0.35">
      <c r="A52" t="s">
        <v>351</v>
      </c>
      <c r="B52" s="28" t="str">
        <f t="shared" si="48"/>
        <v>InvoiceParentId</v>
      </c>
      <c r="C52" s="28" t="str">
        <f t="shared" si="49"/>
        <v>Invoice Parent Id</v>
      </c>
      <c r="D52" s="28" t="str">
        <f t="shared" si="50"/>
        <v>invoiceParentId</v>
      </c>
      <c r="E52" s="28" t="str">
        <f>A.Backend!H46</f>
        <v>long?</v>
      </c>
      <c r="F52" s="28" t="str">
        <f>A.Backend!G46</f>
        <v/>
      </c>
      <c r="G52" s="28" t="str">
        <f t="shared" si="3"/>
        <v/>
      </c>
      <c r="H52" s="35" t="str">
        <f t="shared" si="4"/>
        <v xml:space="preserve">			{headerName: this.l('Invoice Parent Id'),headerTooltip: this.l('Invoice Parent Id'),field: 'invoiceParentId',flex: 1},</v>
      </c>
      <c r="I52" s="35" t="str">
        <f t="shared" si="5"/>
        <v/>
      </c>
      <c r="J52" s="28"/>
      <c r="K52" s="35" t="str">
        <f t="shared" si="6"/>
        <v/>
      </c>
      <c r="L52" s="56" t="str">
        <f t="shared" si="51"/>
        <v/>
      </c>
      <c r="M52" s="28"/>
      <c r="N52" s="28"/>
      <c r="O52" s="28"/>
      <c r="P52" s="28"/>
      <c r="Q52" s="28"/>
      <c r="R52" s="28"/>
      <c r="S52" s="28" t="str">
        <f t="shared" si="13"/>
        <v xml:space="preserve">	invoiceParentId</v>
      </c>
      <c r="T52" s="28" t="str">
        <f t="shared" si="14"/>
        <v xml:space="preserve">			this.invoiceParentId,</v>
      </c>
      <c r="U52" s="28" t="str">
        <f t="shared" si="15"/>
        <v xml:space="preserve">		this.invoiceParentId = '',</v>
      </c>
      <c r="V52" s="28" t="str">
        <f t="shared" si="8"/>
        <v/>
      </c>
    </row>
    <row r="53" spans="1:22" ht="15" customHeight="1" x14ac:dyDescent="0.35">
      <c r="A53" t="s">
        <v>408</v>
      </c>
      <c r="B53" s="28" t="str">
        <f t="shared" si="48"/>
        <v>PeriodDate</v>
      </c>
      <c r="C53" s="28" t="str">
        <f t="shared" si="49"/>
        <v>Period Date</v>
      </c>
      <c r="D53" s="28" t="str">
        <f t="shared" si="50"/>
        <v>periodDate</v>
      </c>
      <c r="E53" s="28" t="str">
        <f>A.Backend!H47</f>
        <v>DateTime?</v>
      </c>
      <c r="F53" s="28" t="str">
        <f>A.Backend!G47</f>
        <v/>
      </c>
      <c r="G53" s="28" t="str">
        <f t="shared" si="3"/>
        <v/>
      </c>
      <c r="H53" s="35" t="str">
        <f t="shared" si="4"/>
        <v xml:space="preserve">			{headerName: this.l('Period Date'),headerTooltip: this.l('Period Date'),field: 'periodDate',flex: 1},</v>
      </c>
      <c r="I53" s="35" t="str">
        <f t="shared" si="5"/>
        <v/>
      </c>
      <c r="J53" s="28"/>
      <c r="K53" s="35" t="str">
        <f t="shared" si="6"/>
        <v/>
      </c>
      <c r="L53" s="56" t="str">
        <f t="shared" si="51"/>
        <v/>
      </c>
      <c r="M53" s="28"/>
      <c r="N53" s="28"/>
      <c r="O53" s="28"/>
      <c r="P53" s="28"/>
      <c r="Q53" s="28"/>
      <c r="R53" s="28"/>
      <c r="S53" s="28" t="str">
        <f t="shared" si="13"/>
        <v xml:space="preserve">	periodDate</v>
      </c>
      <c r="T53" s="28" t="str">
        <f t="shared" si="14"/>
        <v xml:space="preserve">			this.periodDate,</v>
      </c>
      <c r="U53" s="28" t="str">
        <f t="shared" si="15"/>
        <v xml:space="preserve">		this.periodDate = '',</v>
      </c>
      <c r="V53" s="28" t="str">
        <f t="shared" si="8"/>
        <v/>
      </c>
    </row>
    <row r="54" spans="1:22" ht="18" customHeight="1" x14ac:dyDescent="0.35">
      <c r="A54" t="s">
        <v>360</v>
      </c>
      <c r="B54" s="28" t="str">
        <f t="shared" si="48"/>
        <v>PeriodId</v>
      </c>
      <c r="C54" s="28" t="str">
        <f t="shared" si="49"/>
        <v>Period Id</v>
      </c>
      <c r="D54" s="28" t="str">
        <f t="shared" si="50"/>
        <v>periodId</v>
      </c>
      <c r="E54" s="28" t="str">
        <f>A.Backend!H48</f>
        <v>decimal?</v>
      </c>
      <c r="F54" s="28" t="str">
        <f>A.Backend!G48</f>
        <v>19,5</v>
      </c>
      <c r="G54" s="28" t="str">
        <f t="shared" si="3"/>
        <v/>
      </c>
      <c r="H54" s="35" t="str">
        <f t="shared" si="4"/>
        <v xml:space="preserve">			{headerName: this.l('Period Id'),headerTooltip: this.l('Period Id'),field: 'periodId',flex: 1},</v>
      </c>
      <c r="I54" s="35" t="str">
        <f t="shared" si="5"/>
        <v/>
      </c>
      <c r="J54" s="28"/>
      <c r="K54" s="35" t="str">
        <f t="shared" si="6"/>
        <v/>
      </c>
      <c r="L54" s="56" t="str">
        <f t="shared" si="51"/>
        <v/>
      </c>
      <c r="M54" s="28"/>
      <c r="N54" s="28"/>
      <c r="O54" s="28"/>
      <c r="P54" s="28"/>
      <c r="Q54" s="28"/>
      <c r="R54" s="28"/>
      <c r="S54" s="28" t="str">
        <f t="shared" si="13"/>
        <v xml:space="preserve">	periodId</v>
      </c>
      <c r="T54" s="28" t="str">
        <f t="shared" si="14"/>
        <v xml:space="preserve">			this.periodId,</v>
      </c>
      <c r="U54" s="28" t="str">
        <f t="shared" si="15"/>
        <v xml:space="preserve">		this.periodId = '',</v>
      </c>
      <c r="V54" s="28" t="str">
        <f t="shared" si="8"/>
        <v/>
      </c>
    </row>
    <row r="55" spans="1:22" ht="18" customHeight="1" x14ac:dyDescent="0.35">
      <c r="A55" t="s">
        <v>410</v>
      </c>
      <c r="B55" s="28" t="str">
        <f>SUBSTITUTE(PROPER(A55),"_","")</f>
        <v>HsCode</v>
      </c>
      <c r="C55" s="28" t="str">
        <f>SUBSTITUTE(PROPER(A55),"_"," ")</f>
        <v>Hs Code</v>
      </c>
      <c r="D55" s="28" t="str">
        <f>LOWER(LEFT(B55,1))&amp;RIGHT(B55,LEN(B55) - 1)</f>
        <v>hsCode</v>
      </c>
      <c r="E55" s="28" t="str">
        <f>A.Backend!H49</f>
        <v>string</v>
      </c>
      <c r="F55" s="28" t="str">
        <f>A.Backend!G49</f>
        <v>20</v>
      </c>
      <c r="G55" s="28" t="str">
        <f t="shared" si="3"/>
        <v xml:space="preserve"> : string = '' ; </v>
      </c>
      <c r="H55" s="35" t="str">
        <f t="shared" si="4"/>
        <v xml:space="preserve">			{headerName: this.l('Hs Code'),headerTooltip: this.l('Hs Code'),field: 'hsCode',flex: 1},</v>
      </c>
      <c r="I55" s="35" t="str">
        <f t="shared" si="5"/>
        <v xml:space="preserve">								&lt;div class='input-search'&gt;
									&lt;input [(ngModel)]='hsCode' name='hsCode'
									class='form-control' [placeholder]="l('Hs Code')"
									type='text' (keyup.enter)='searchDatas()'&gt;
								&lt;/div&gt;</v>
      </c>
      <c r="J55" s="28"/>
      <c r="K55" s="35" t="str">
        <f t="shared" si="6"/>
        <v xml:space="preserve">					&lt;div class='col-md-12 form-group row'&gt;
						&lt;label class='col-md-2 form-control title'&gt;Hs Code&lt;/label&gt;
						&lt;input type='text' class='col-md-10 form-control input-text' name='HsCode' [(ngModel)]='rowdata.hsCode'&gt;
					&lt;/div&gt;</v>
      </c>
      <c r="L55" s="56" t="str">
        <f>IF(E55="DateTime",
REPT(CHAR(9),2)&amp;"const dateValue =  this.rowdata."&amp;D55&amp;" ? new Date(this.rowdata."&amp;D55&amp;"?.toString()) : new Date();
"&amp;REPT(CHAR(9),2)&amp;"this.datepicker?.bsValueChange.emit(dateValue);","")</f>
        <v/>
      </c>
      <c r="M55" s="28"/>
      <c r="N55" s="28"/>
      <c r="O55" s="28"/>
      <c r="P55" s="28"/>
      <c r="Q55" s="28"/>
      <c r="R55" s="28"/>
      <c r="S55" s="28" t="str">
        <f t="shared" si="13"/>
        <v xml:space="preserve">	hsCode : string = '' ; </v>
      </c>
      <c r="T55" s="28" t="str">
        <f t="shared" si="14"/>
        <v xml:space="preserve">			this.hsCode,</v>
      </c>
      <c r="U55" s="28" t="str">
        <f t="shared" si="15"/>
        <v xml:space="preserve">		this.hsCode = '',</v>
      </c>
      <c r="V55" s="28" t="str">
        <f t="shared" si="8"/>
        <v/>
      </c>
    </row>
    <row r="56" spans="1:22" ht="15" customHeight="1" x14ac:dyDescent="0.35">
      <c r="A56" t="s">
        <v>412</v>
      </c>
      <c r="B56" s="28" t="str">
        <f t="shared" ref="B56:B59" si="52">SUBSTITUTE(PROPER(A56),"_","")</f>
        <v>PartnameVn</v>
      </c>
      <c r="C56" s="28" t="str">
        <f t="shared" ref="C56:C59" si="53">SUBSTITUTE(PROPER(A56),"_"," ")</f>
        <v>Partname Vn</v>
      </c>
      <c r="D56" s="28" t="str">
        <f t="shared" ref="D56:D59" si="54">LOWER(LEFT(B56,1))&amp;RIGHT(B56,LEN(B56) - 1)</f>
        <v>partnameVn</v>
      </c>
      <c r="E56" s="28" t="str">
        <f>A.Backend!H50</f>
        <v>string</v>
      </c>
      <c r="F56" s="28" t="str">
        <f>A.Backend!G50</f>
        <v>300</v>
      </c>
      <c r="G56" s="28" t="str">
        <f t="shared" si="3"/>
        <v xml:space="preserve"> : string = '' ; </v>
      </c>
      <c r="H56" s="35" t="str">
        <f t="shared" si="4"/>
        <v xml:space="preserve">			{headerName: this.l('Partname Vn'),headerTooltip: this.l('Partname Vn'),field: 'partnameVn',flex: 1},</v>
      </c>
      <c r="I56" s="35" t="str">
        <f t="shared" si="5"/>
        <v xml:space="preserve">								&lt;div class='input-search'&gt;
									&lt;input [(ngModel)]='partnameVn' name='partnameVn'
									class='form-control' [placeholder]="l('Partname Vn')"
									type='text' (keyup.enter)='searchDatas()'&gt;
								&lt;/div&gt;</v>
      </c>
      <c r="J56" s="28"/>
      <c r="K56" s="35" t="str">
        <f t="shared" si="6"/>
        <v xml:space="preserve">					&lt;div class='col-md-12 form-group row'&gt;
						&lt;label class='col-md-2 form-control title'&gt;Partname Vn&lt;/label&gt;
						&lt;input type='text' class='col-md-10 form-control input-text' name='PartnameVn' [(ngModel)]='rowdata.partnameVn'&gt;
					&lt;/div&gt;</v>
      </c>
      <c r="L56" s="56" t="str">
        <f t="shared" ref="L56:L59" si="55">IF(E56="DateTime",
REPT(CHAR(9),2)&amp;"const dateValue =  this.rowdata."&amp;D56&amp;" ? new Date(this.rowdata."&amp;D56&amp;"?.toString()) : new Date();
"&amp;REPT(CHAR(9),2)&amp;"this.datepicker?.bsValueChange.emit(dateValue);","")</f>
        <v/>
      </c>
      <c r="M56" s="28"/>
      <c r="N56" s="28"/>
      <c r="O56" s="28"/>
      <c r="P56" s="28"/>
      <c r="Q56" s="28"/>
      <c r="R56" s="28"/>
      <c r="S56" s="28" t="str">
        <f t="shared" si="13"/>
        <v xml:space="preserve">	partnameVn : string = '' ; </v>
      </c>
      <c r="T56" s="28" t="str">
        <f t="shared" si="14"/>
        <v xml:space="preserve">			this.partnameVn,</v>
      </c>
      <c r="U56" s="28" t="str">
        <f t="shared" si="15"/>
        <v xml:space="preserve">		this.partnameVn = '',</v>
      </c>
      <c r="V56" s="28" t="str">
        <f t="shared" si="8"/>
        <v/>
      </c>
    </row>
    <row r="57" spans="1:22" ht="18" customHeight="1" x14ac:dyDescent="0.35">
      <c r="A57" t="s">
        <v>413</v>
      </c>
      <c r="B57" s="28" t="str">
        <f t="shared" si="52"/>
        <v>CarName</v>
      </c>
      <c r="C57" s="28" t="str">
        <f t="shared" si="53"/>
        <v>Car Name</v>
      </c>
      <c r="D57" s="28" t="str">
        <f t="shared" si="54"/>
        <v>carName</v>
      </c>
      <c r="E57" s="28" t="str">
        <f>A.Backend!H51</f>
        <v>string</v>
      </c>
      <c r="F57" s="28" t="str">
        <f>A.Backend!G51</f>
        <v>200</v>
      </c>
      <c r="G57" s="28" t="str">
        <f t="shared" si="3"/>
        <v xml:space="preserve"> : string = '' ; </v>
      </c>
      <c r="H57" s="35" t="str">
        <f t="shared" si="4"/>
        <v xml:space="preserve">			{headerName: this.l('Car Name'),headerTooltip: this.l('Car Name'),field: 'carName',flex: 1},</v>
      </c>
      <c r="I57" s="35" t="str">
        <f t="shared" si="5"/>
        <v xml:space="preserve">								&lt;div class='input-search'&gt;
									&lt;input [(ngModel)]='carName' name='carName'
									class='form-control' [placeholder]="l('Car Name')"
									type='text' (keyup.enter)='searchDatas()'&gt;
								&lt;/div&gt;</v>
      </c>
      <c r="J57" s="28"/>
      <c r="K57" s="35" t="str">
        <f t="shared" si="6"/>
        <v xml:space="preserve">					&lt;div class='col-md-12 form-group row'&gt;
						&lt;label class='col-md-2 form-control title'&gt;Car Name&lt;/label&gt;
						&lt;input type='text' class='col-md-10 form-control input-text' name='CarName' [(ngModel)]='rowdata.carName'&gt;
					&lt;/div&gt;</v>
      </c>
      <c r="L57" s="56" t="str">
        <f t="shared" si="55"/>
        <v/>
      </c>
      <c r="M57" s="28"/>
      <c r="N57" s="28"/>
      <c r="O57" s="28"/>
      <c r="P57" s="28"/>
      <c r="Q57" s="28"/>
      <c r="R57" s="28"/>
      <c r="S57" s="28" t="str">
        <f t="shared" si="13"/>
        <v xml:space="preserve">	carName : string = '' ; </v>
      </c>
      <c r="T57" s="28" t="str">
        <f t="shared" si="14"/>
        <v xml:space="preserve">			this.carName,</v>
      </c>
      <c r="U57" s="28" t="str">
        <f t="shared" si="15"/>
        <v xml:space="preserve">		this.carName = '',</v>
      </c>
      <c r="V57" s="28" t="str">
        <f t="shared" si="8"/>
        <v/>
      </c>
    </row>
    <row r="58" spans="1:22" ht="15" customHeight="1" x14ac:dyDescent="0.35">
      <c r="A58" t="s">
        <v>415</v>
      </c>
      <c r="B58" s="28" t="str">
        <f t="shared" si="52"/>
        <v>PmhistId</v>
      </c>
      <c r="C58" s="28" t="str">
        <f t="shared" si="53"/>
        <v>Pmhist Id</v>
      </c>
      <c r="D58" s="28" t="str">
        <f t="shared" si="54"/>
        <v>pmhistId</v>
      </c>
      <c r="E58" s="28" t="str">
        <f>A.Backend!H52</f>
        <v>long?</v>
      </c>
      <c r="F58" s="28" t="str">
        <f>A.Backend!G52</f>
        <v/>
      </c>
      <c r="G58" s="28" t="str">
        <f t="shared" si="3"/>
        <v/>
      </c>
      <c r="H58" s="35" t="str">
        <f t="shared" si="4"/>
        <v xml:space="preserve">			{headerName: this.l('Pmhist Id'),headerTooltip: this.l('Pmhist Id'),field: 'pmhistId',flex: 1},</v>
      </c>
      <c r="I58" s="35" t="str">
        <f t="shared" si="5"/>
        <v/>
      </c>
      <c r="J58" s="28"/>
      <c r="K58" s="35" t="str">
        <f t="shared" si="6"/>
        <v/>
      </c>
      <c r="L58" s="56" t="str">
        <f t="shared" si="55"/>
        <v/>
      </c>
      <c r="M58" s="28"/>
      <c r="N58" s="28"/>
      <c r="O58" s="28"/>
      <c r="P58" s="28"/>
      <c r="Q58" s="28"/>
      <c r="R58" s="28"/>
      <c r="S58" s="28" t="str">
        <f t="shared" si="13"/>
        <v xml:space="preserve">	pmhistId</v>
      </c>
      <c r="T58" s="28" t="str">
        <f t="shared" si="14"/>
        <v xml:space="preserve">			this.pmhistId,</v>
      </c>
      <c r="U58" s="28" t="str">
        <f t="shared" si="15"/>
        <v xml:space="preserve">		this.pmhistId = '',</v>
      </c>
      <c r="V58" s="28" t="str">
        <f t="shared" si="8"/>
        <v/>
      </c>
    </row>
    <row r="59" spans="1:22" ht="18" customHeight="1" x14ac:dyDescent="0.35">
      <c r="A59" t="s">
        <v>416</v>
      </c>
      <c r="B59" s="28" t="str">
        <f t="shared" si="52"/>
        <v>PreCustomsId</v>
      </c>
      <c r="C59" s="28" t="str">
        <f t="shared" si="53"/>
        <v>Pre Customs Id</v>
      </c>
      <c r="D59" s="28" t="str">
        <f t="shared" si="54"/>
        <v>preCustomsId</v>
      </c>
      <c r="E59" s="28" t="str">
        <f>A.Backend!H53</f>
        <v>long?</v>
      </c>
      <c r="F59" s="28" t="str">
        <f>A.Backend!G53</f>
        <v/>
      </c>
      <c r="G59" s="28" t="str">
        <f t="shared" si="3"/>
        <v/>
      </c>
      <c r="H59" s="35" t="str">
        <f t="shared" si="4"/>
        <v xml:space="preserve">			{headerName: this.l('Pre Customs Id'),headerTooltip: this.l('Pre Customs Id'),field: 'preCustomsId',flex: 1},</v>
      </c>
      <c r="I59" s="35" t="str">
        <f t="shared" si="5"/>
        <v/>
      </c>
      <c r="J59" s="28"/>
      <c r="K59" s="35" t="str">
        <f t="shared" si="6"/>
        <v/>
      </c>
      <c r="L59" s="56" t="str">
        <f t="shared" si="55"/>
        <v/>
      </c>
      <c r="M59" s="28"/>
      <c r="N59" s="28"/>
      <c r="O59" s="28"/>
      <c r="P59" s="28"/>
      <c r="Q59" s="28"/>
      <c r="R59" s="28"/>
      <c r="S59" s="28" t="str">
        <f t="shared" si="13"/>
        <v xml:space="preserve">	preCustomsId</v>
      </c>
      <c r="T59" s="28" t="str">
        <f t="shared" si="14"/>
        <v xml:space="preserve">			this.preCustomsId,</v>
      </c>
      <c r="U59" s="28" t="str">
        <f t="shared" si="15"/>
        <v xml:space="preserve">		this.preCustomsId = '',</v>
      </c>
      <c r="V59" s="28" t="str">
        <f t="shared" si="8"/>
        <v/>
      </c>
    </row>
    <row r="60" spans="1:22" ht="18" customHeight="1" x14ac:dyDescent="0.35">
      <c r="A60" t="s">
        <v>417</v>
      </c>
      <c r="B60" s="28" t="str">
        <f>SUBSTITUTE(PROPER(A60),"_","")</f>
        <v>Ecus5TaxRate</v>
      </c>
      <c r="C60" s="28" t="str">
        <f>SUBSTITUTE(PROPER(A60),"_"," ")</f>
        <v>Ecus5 Tax Rate</v>
      </c>
      <c r="D60" s="28" t="str">
        <f>LOWER(LEFT(B60,1))&amp;RIGHT(B60,LEN(B60) - 1)</f>
        <v>ecus5TaxRate</v>
      </c>
      <c r="E60" s="28" t="str">
        <f>A.Backend!H54</f>
        <v>int?</v>
      </c>
      <c r="F60" s="28" t="str">
        <f>A.Backend!G54</f>
        <v/>
      </c>
      <c r="G60" s="28" t="str">
        <f t="shared" si="3"/>
        <v/>
      </c>
      <c r="H60" s="35" t="str">
        <f t="shared" si="4"/>
        <v xml:space="preserve">			{headerName: this.l('Ecus5 Tax Rate'),headerTooltip: this.l('Ecus5 Tax Rate'),field: 'ecus5TaxRate',flex: 1},</v>
      </c>
      <c r="I60" s="35" t="str">
        <f t="shared" si="5"/>
        <v/>
      </c>
      <c r="J60" s="28"/>
      <c r="K60" s="35" t="str">
        <f t="shared" si="6"/>
        <v/>
      </c>
      <c r="L60" s="56" t="str">
        <f>IF(E60="DateTime",
REPT(CHAR(9),2)&amp;"const dateValue =  this.rowdata."&amp;D60&amp;" ? new Date(this.rowdata."&amp;D60&amp;"?.toString()) : new Date();
"&amp;REPT(CHAR(9),2)&amp;"this.datepicker?.bsValueChange.emit(dateValue);","")</f>
        <v/>
      </c>
      <c r="M60" s="28"/>
      <c r="N60" s="28"/>
      <c r="O60" s="28"/>
      <c r="P60" s="28"/>
      <c r="Q60" s="28"/>
      <c r="R60" s="28"/>
      <c r="S60" s="28" t="str">
        <f t="shared" si="13"/>
        <v xml:space="preserve">	ecus5TaxRate</v>
      </c>
      <c r="T60" s="28" t="str">
        <f t="shared" si="14"/>
        <v xml:space="preserve">			this.ecus5TaxRate,</v>
      </c>
      <c r="U60" s="28" t="str">
        <f t="shared" si="15"/>
        <v xml:space="preserve">		this.ecus5TaxRate = '',</v>
      </c>
      <c r="V60" s="28" t="str">
        <f t="shared" si="8"/>
        <v/>
      </c>
    </row>
    <row r="61" spans="1:22" ht="15" customHeight="1" x14ac:dyDescent="0.35">
      <c r="A61" t="s">
        <v>418</v>
      </c>
      <c r="B61" s="28" t="str">
        <f t="shared" ref="B61:B64" si="56">SUBSTITUTE(PROPER(A61),"_","")</f>
        <v>Ecus5VatRate</v>
      </c>
      <c r="C61" s="28" t="str">
        <f t="shared" ref="C61:C64" si="57">SUBSTITUTE(PROPER(A61),"_"," ")</f>
        <v>Ecus5 Vat Rate</v>
      </c>
      <c r="D61" s="28" t="str">
        <f t="shared" ref="D61:D64" si="58">LOWER(LEFT(B61,1))&amp;RIGHT(B61,LEN(B61) - 1)</f>
        <v>ecus5VatRate</v>
      </c>
      <c r="E61" s="28" t="str">
        <f>A.Backend!H55</f>
        <v>int?</v>
      </c>
      <c r="F61" s="28" t="str">
        <f>A.Backend!G55</f>
        <v/>
      </c>
      <c r="G61" s="28" t="str">
        <f t="shared" si="3"/>
        <v/>
      </c>
      <c r="H61" s="35" t="str">
        <f t="shared" si="4"/>
        <v xml:space="preserve">			{headerName: this.l('Ecus5 Vat Rate'),headerTooltip: this.l('Ecus5 Vat Rate'),field: 'ecus5VatRate',flex: 1},</v>
      </c>
      <c r="I61" s="35" t="str">
        <f t="shared" si="5"/>
        <v/>
      </c>
      <c r="J61" s="28"/>
      <c r="K61" s="35" t="str">
        <f t="shared" si="6"/>
        <v/>
      </c>
      <c r="L61" s="56" t="str">
        <f t="shared" ref="L61:L64" si="59">IF(E61="DateTime",
REPT(CHAR(9),2)&amp;"const dateValue =  this.rowdata."&amp;D61&amp;" ? new Date(this.rowdata."&amp;D61&amp;"?.toString()) : new Date();
"&amp;REPT(CHAR(9),2)&amp;"this.datepicker?.bsValueChange.emit(dateValue);","")</f>
        <v/>
      </c>
      <c r="M61" s="28"/>
      <c r="N61" s="28"/>
      <c r="O61" s="28"/>
      <c r="P61" s="28"/>
      <c r="Q61" s="28"/>
      <c r="R61" s="28"/>
      <c r="S61" s="28" t="str">
        <f t="shared" si="13"/>
        <v xml:space="preserve">	ecus5VatRate</v>
      </c>
      <c r="T61" s="28" t="str">
        <f t="shared" si="14"/>
        <v xml:space="preserve">			this.ecus5VatRate,</v>
      </c>
      <c r="U61" s="28" t="str">
        <f t="shared" si="15"/>
        <v xml:space="preserve">		this.ecus5VatRate = '',</v>
      </c>
      <c r="V61" s="28" t="str">
        <f t="shared" si="8"/>
        <v/>
      </c>
    </row>
    <row r="62" spans="1:22" ht="18" customHeight="1" x14ac:dyDescent="0.35">
      <c r="A62" t="s">
        <v>419</v>
      </c>
      <c r="B62" s="28" t="str">
        <f t="shared" si="56"/>
        <v>Ecus5HsCode</v>
      </c>
      <c r="C62" s="28" t="str">
        <f t="shared" si="57"/>
        <v>Ecus5 Hs Code</v>
      </c>
      <c r="D62" s="28" t="str">
        <f t="shared" si="58"/>
        <v>ecus5HsCode</v>
      </c>
      <c r="E62" s="28" t="str">
        <f>A.Backend!H56</f>
        <v>string</v>
      </c>
      <c r="F62" s="28" t="str">
        <f>A.Backend!G56</f>
        <v>20</v>
      </c>
      <c r="G62" s="28" t="str">
        <f t="shared" si="3"/>
        <v xml:space="preserve"> : string = '' ; </v>
      </c>
      <c r="H62" s="35" t="str">
        <f t="shared" si="4"/>
        <v xml:space="preserve">			{headerName: this.l('Ecus5 Hs Code'),headerTooltip: this.l('Ecus5 Hs Code'),field: 'ecus5HsCode',flex: 1},</v>
      </c>
      <c r="I62" s="35" t="str">
        <f t="shared" si="5"/>
        <v xml:space="preserve">								&lt;div class='input-search'&gt;
									&lt;input [(ngModel)]='ecus5HsCode' name='ecus5HsCode'
									class='form-control' [placeholder]="l('Ecus5 Hs Code')"
									type='text' (keyup.enter)='searchDatas()'&gt;
								&lt;/div&gt;</v>
      </c>
      <c r="J62" s="28"/>
      <c r="K62" s="35" t="str">
        <f t="shared" si="6"/>
        <v xml:space="preserve">					&lt;div class='col-md-12 form-group row'&gt;
						&lt;label class='col-md-2 form-control title'&gt;Ecus5 Hs Code&lt;/label&gt;
						&lt;input type='text' class='col-md-10 form-control input-text' name='Ecus5HsCode' [(ngModel)]='rowdata.ecus5HsCode'&gt;
					&lt;/div&gt;</v>
      </c>
      <c r="L62" s="56" t="str">
        <f t="shared" si="59"/>
        <v/>
      </c>
      <c r="M62" s="28"/>
      <c r="N62" s="28"/>
      <c r="O62" s="28"/>
      <c r="P62" s="28"/>
      <c r="Q62" s="28"/>
      <c r="R62" s="28"/>
      <c r="S62" s="28" t="str">
        <f t="shared" si="13"/>
        <v xml:space="preserve">	ecus5HsCode : string = '' ; </v>
      </c>
      <c r="T62" s="28" t="str">
        <f t="shared" si="14"/>
        <v xml:space="preserve">			this.ecus5HsCode,</v>
      </c>
      <c r="U62" s="28" t="str">
        <f t="shared" si="15"/>
        <v xml:space="preserve">		this.ecus5HsCode = '',</v>
      </c>
      <c r="V62" s="28" t="str">
        <f t="shared" si="8"/>
        <v/>
      </c>
    </row>
    <row r="63" spans="1:22" ht="15" customHeight="1" x14ac:dyDescent="0.35">
      <c r="A63" t="s">
        <v>420</v>
      </c>
      <c r="B63" s="28" t="str">
        <f t="shared" si="56"/>
        <v>DeclareType</v>
      </c>
      <c r="C63" s="28" t="str">
        <f t="shared" si="57"/>
        <v>Declare Type</v>
      </c>
      <c r="D63" s="28" t="str">
        <f t="shared" si="58"/>
        <v>declareType</v>
      </c>
      <c r="E63" s="28" t="str">
        <f>A.Backend!H57</f>
        <v>string</v>
      </c>
      <c r="F63" s="28" t="str">
        <f>A.Backend!G57</f>
        <v>10</v>
      </c>
      <c r="G63" s="28" t="str">
        <f t="shared" si="3"/>
        <v xml:space="preserve"> : string = '' ; </v>
      </c>
      <c r="H63" s="35" t="str">
        <f t="shared" si="4"/>
        <v xml:space="preserve">			{headerName: this.l('Declare Type'),headerTooltip: this.l('Declare Type'),field: 'declareType',flex: 1},</v>
      </c>
      <c r="I63" s="35" t="str">
        <f t="shared" si="5"/>
        <v xml:space="preserve">								&lt;div class='input-search'&gt;
									&lt;input [(ngModel)]='declareType' name='declareType'
									class='form-control' [placeholder]="l('Declare Type')"
									type='text' (keyup.enter)='searchDatas()'&gt;
								&lt;/div&gt;</v>
      </c>
      <c r="J63" s="28"/>
      <c r="K63" s="35" t="str">
        <f t="shared" si="6"/>
        <v xml:space="preserve">					&lt;div class='col-md-12 form-group row'&gt;
						&lt;label class='col-md-2 form-control title'&gt;Declare Type&lt;/label&gt;
						&lt;input type='text' class='col-md-10 form-control input-text' name='DeclareType' [(ngModel)]='rowdata.declareType'&gt;
					&lt;/div&gt;</v>
      </c>
      <c r="L63" s="56" t="str">
        <f t="shared" si="59"/>
        <v/>
      </c>
      <c r="M63" s="28"/>
      <c r="N63" s="28"/>
      <c r="O63" s="28"/>
      <c r="P63" s="28"/>
      <c r="Q63" s="28"/>
      <c r="R63" s="28"/>
      <c r="S63" s="28" t="str">
        <f t="shared" si="13"/>
        <v xml:space="preserve">	declareType : string = '' ; </v>
      </c>
      <c r="T63" s="28" t="str">
        <f t="shared" si="14"/>
        <v xml:space="preserve">			this.declareType,</v>
      </c>
      <c r="U63" s="28" t="str">
        <f t="shared" si="15"/>
        <v xml:space="preserve">		this.declareType = '',</v>
      </c>
      <c r="V63" s="28" t="str">
        <f t="shared" si="8"/>
        <v/>
      </c>
    </row>
    <row r="64" spans="1:22" ht="18" customHeight="1" x14ac:dyDescent="0.35">
      <c r="A64" t="s">
        <v>319</v>
      </c>
      <c r="B64" s="28" t="str">
        <f t="shared" si="56"/>
        <v>IsActive</v>
      </c>
      <c r="C64" s="28" t="str">
        <f t="shared" si="57"/>
        <v>Is Active</v>
      </c>
      <c r="D64" s="28" t="str">
        <f t="shared" si="58"/>
        <v>isActive</v>
      </c>
      <c r="E64" s="28" t="str">
        <f>A.Backend!H58</f>
        <v>string</v>
      </c>
      <c r="F64" s="28" t="str">
        <f>A.Backend!G58</f>
        <v>1</v>
      </c>
      <c r="G64" s="28" t="str">
        <f t="shared" si="3"/>
        <v xml:space="preserve"> : string = '' ; </v>
      </c>
      <c r="H64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64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64" s="28"/>
      <c r="K64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64" s="56" t="str">
        <f t="shared" si="59"/>
        <v/>
      </c>
      <c r="M64" s="28"/>
      <c r="N64" s="28"/>
      <c r="O64" s="28"/>
      <c r="P64" s="28"/>
      <c r="Q64" s="28"/>
      <c r="R64" s="28"/>
      <c r="S64" s="28" t="str">
        <f t="shared" si="13"/>
        <v xml:space="preserve">	isActive : string = '' ; </v>
      </c>
      <c r="T64" s="28" t="str">
        <f t="shared" si="14"/>
        <v xml:space="preserve">			this.isActive,</v>
      </c>
      <c r="U64" s="28" t="str">
        <f t="shared" si="15"/>
        <v xml:space="preserve">		this.isActive = '',</v>
      </c>
      <c r="V64" s="28" t="str">
        <f t="shared" si="8"/>
        <v>isActive</v>
      </c>
    </row>
    <row r="66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34</v>
      </c>
    </row>
    <row r="6" spans="1:2" x14ac:dyDescent="0.35">
      <c r="A6" t="s">
        <v>23</v>
      </c>
      <c r="B6" t="s">
        <v>366</v>
      </c>
    </row>
    <row r="7" spans="1:2" x14ac:dyDescent="0.35">
      <c r="A7" t="s">
        <v>24</v>
      </c>
      <c r="B7" t="s">
        <v>361</v>
      </c>
    </row>
    <row r="8" spans="1:2" x14ac:dyDescent="0.35">
      <c r="A8" t="s">
        <v>4</v>
      </c>
      <c r="B8" t="s">
        <v>361</v>
      </c>
    </row>
    <row r="9" spans="1:2" x14ac:dyDescent="0.35">
      <c r="A9" t="s">
        <v>0</v>
      </c>
      <c r="B9" t="s">
        <v>362</v>
      </c>
    </row>
    <row r="10" spans="1:2" x14ac:dyDescent="0.35">
      <c r="A10" t="s">
        <v>25</v>
      </c>
      <c r="B10" t="s">
        <v>365</v>
      </c>
    </row>
    <row r="11" spans="1:2" x14ac:dyDescent="0.35">
      <c r="A11" t="s">
        <v>26</v>
      </c>
      <c r="B11" t="s">
        <v>365</v>
      </c>
    </row>
    <row r="12" spans="1:2" x14ac:dyDescent="0.35">
      <c r="A12" t="s">
        <v>27</v>
      </c>
      <c r="B12" t="s">
        <v>365</v>
      </c>
    </row>
    <row r="13" spans="1:2" x14ac:dyDescent="0.35">
      <c r="A13" t="s">
        <v>28</v>
      </c>
      <c r="B13" t="s">
        <v>365</v>
      </c>
    </row>
    <row r="14" spans="1:2" x14ac:dyDescent="0.35">
      <c r="A14" t="s">
        <v>29</v>
      </c>
      <c r="B14" t="s">
        <v>365</v>
      </c>
    </row>
    <row r="15" spans="1:2" x14ac:dyDescent="0.35">
      <c r="A15" t="s">
        <v>30</v>
      </c>
      <c r="B15" t="s">
        <v>365</v>
      </c>
    </row>
    <row r="16" spans="1:2" x14ac:dyDescent="0.35">
      <c r="A16" t="s">
        <v>31</v>
      </c>
      <c r="B16" t="s">
        <v>363</v>
      </c>
    </row>
    <row r="17" spans="1:2" x14ac:dyDescent="0.35">
      <c r="A17" t="s">
        <v>3</v>
      </c>
      <c r="B17" t="s">
        <v>363</v>
      </c>
    </row>
    <row r="18" spans="1:2" x14ac:dyDescent="0.35">
      <c r="A18" t="s">
        <v>33</v>
      </c>
      <c r="B18" t="s">
        <v>363</v>
      </c>
    </row>
    <row r="19" spans="1:2" x14ac:dyDescent="0.35">
      <c r="A19" t="s">
        <v>2</v>
      </c>
      <c r="B19" t="s">
        <v>363</v>
      </c>
    </row>
    <row r="20" spans="1:2" x14ac:dyDescent="0.35">
      <c r="A20" t="s">
        <v>263</v>
      </c>
      <c r="B20" t="s">
        <v>364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190</v>
      </c>
      <c r="B2" s="23" t="s">
        <v>187</v>
      </c>
    </row>
    <row r="3" spans="1:2" x14ac:dyDescent="0.35">
      <c r="B3" s="20" t="s">
        <v>112</v>
      </c>
    </row>
    <row r="4" spans="1:2" x14ac:dyDescent="0.35">
      <c r="B4" s="20" t="s">
        <v>113</v>
      </c>
    </row>
    <row r="5" spans="1:2" x14ac:dyDescent="0.35">
      <c r="B5" s="20" t="s">
        <v>114</v>
      </c>
    </row>
    <row r="6" spans="1:2" x14ac:dyDescent="0.35">
      <c r="B6" s="20" t="s">
        <v>115</v>
      </c>
    </row>
    <row r="7" spans="1:2" x14ac:dyDescent="0.35">
      <c r="B7" s="20" t="s">
        <v>116</v>
      </c>
    </row>
    <row r="8" spans="1:2" x14ac:dyDescent="0.35">
      <c r="B8" s="20" t="s">
        <v>117</v>
      </c>
    </row>
    <row r="9" spans="1:2" x14ac:dyDescent="0.35">
      <c r="B9" s="20" t="s">
        <v>118</v>
      </c>
    </row>
    <row r="10" spans="1:2" x14ac:dyDescent="0.35">
      <c r="B10" s="20" t="s">
        <v>119</v>
      </c>
    </row>
    <row r="11" spans="1:2" x14ac:dyDescent="0.35">
      <c r="B11" s="20" t="s">
        <v>120</v>
      </c>
    </row>
    <row r="12" spans="1:2" x14ac:dyDescent="0.35">
      <c r="B12" s="20" t="s">
        <v>121</v>
      </c>
    </row>
    <row r="13" spans="1:2" x14ac:dyDescent="0.35">
      <c r="B13" s="20" t="s">
        <v>122</v>
      </c>
    </row>
    <row r="14" spans="1:2" x14ac:dyDescent="0.35">
      <c r="B14" s="20" t="s">
        <v>123</v>
      </c>
    </row>
    <row r="15" spans="1:2" x14ac:dyDescent="0.35">
      <c r="B15" s="20" t="s">
        <v>124</v>
      </c>
    </row>
    <row r="16" spans="1:2" x14ac:dyDescent="0.35">
      <c r="B16" s="20" t="s">
        <v>125</v>
      </c>
    </row>
    <row r="17" spans="1:3" x14ac:dyDescent="0.35">
      <c r="B17" s="20" t="s">
        <v>126</v>
      </c>
    </row>
    <row r="18" spans="1:3" x14ac:dyDescent="0.35">
      <c r="B18" s="20" t="s">
        <v>127</v>
      </c>
      <c r="C18" t="s">
        <v>189</v>
      </c>
    </row>
    <row r="19" spans="1:3" x14ac:dyDescent="0.35">
      <c r="B19" s="20" t="s">
        <v>128</v>
      </c>
    </row>
    <row r="20" spans="1:3" x14ac:dyDescent="0.35">
      <c r="B20" s="20" t="s">
        <v>129</v>
      </c>
    </row>
    <row r="21" spans="1:3" x14ac:dyDescent="0.35">
      <c r="B21" s="20" t="s">
        <v>130</v>
      </c>
    </row>
    <row r="22" spans="1:3" x14ac:dyDescent="0.35">
      <c r="B22" s="20" t="s">
        <v>131</v>
      </c>
      <c r="C22" t="s">
        <v>194</v>
      </c>
    </row>
    <row r="23" spans="1:3" x14ac:dyDescent="0.35">
      <c r="B23" s="20" t="s">
        <v>132</v>
      </c>
    </row>
    <row r="24" spans="1:3" x14ac:dyDescent="0.35">
      <c r="B24" s="20" t="s">
        <v>133</v>
      </c>
    </row>
    <row r="25" spans="1:3" x14ac:dyDescent="0.35">
      <c r="B25" s="20" t="s">
        <v>134</v>
      </c>
    </row>
    <row r="26" spans="1:3" x14ac:dyDescent="0.35">
      <c r="A26" s="22" t="s">
        <v>191</v>
      </c>
      <c r="B26" s="23" t="s">
        <v>188</v>
      </c>
    </row>
    <row r="27" spans="1:3" x14ac:dyDescent="0.35">
      <c r="B27" s="20" t="s">
        <v>135</v>
      </c>
    </row>
    <row r="28" spans="1:3" x14ac:dyDescent="0.35">
      <c r="B28" s="21" t="s">
        <v>136</v>
      </c>
    </row>
    <row r="29" spans="1:3" x14ac:dyDescent="0.35">
      <c r="B29" s="20" t="s">
        <v>137</v>
      </c>
    </row>
    <row r="30" spans="1:3" x14ac:dyDescent="0.35">
      <c r="B30" s="20" t="s">
        <v>138</v>
      </c>
    </row>
    <row r="31" spans="1:3" x14ac:dyDescent="0.35">
      <c r="B31" s="20" t="s">
        <v>139</v>
      </c>
    </row>
    <row r="32" spans="1:3" x14ac:dyDescent="0.35">
      <c r="B32" s="20" t="s">
        <v>140</v>
      </c>
    </row>
    <row r="33" spans="2:2" x14ac:dyDescent="0.35">
      <c r="B33" s="20" t="s">
        <v>141</v>
      </c>
    </row>
    <row r="34" spans="2:2" x14ac:dyDescent="0.35">
      <c r="B34" s="20" t="s">
        <v>142</v>
      </c>
    </row>
    <row r="35" spans="2:2" x14ac:dyDescent="0.35">
      <c r="B35" s="20" t="s">
        <v>143</v>
      </c>
    </row>
    <row r="36" spans="2:2" x14ac:dyDescent="0.35">
      <c r="B36" s="20" t="s">
        <v>144</v>
      </c>
    </row>
    <row r="37" spans="2:2" x14ac:dyDescent="0.35">
      <c r="B37" s="20" t="s">
        <v>145</v>
      </c>
    </row>
    <row r="38" spans="2:2" x14ac:dyDescent="0.35">
      <c r="B38" s="20" t="s">
        <v>146</v>
      </c>
    </row>
    <row r="39" spans="2:2" x14ac:dyDescent="0.35">
      <c r="B39" s="20" t="s">
        <v>147</v>
      </c>
    </row>
    <row r="40" spans="2:2" x14ac:dyDescent="0.35">
      <c r="B40" s="20" t="s">
        <v>148</v>
      </c>
    </row>
    <row r="41" spans="2:2" x14ac:dyDescent="0.35">
      <c r="B41" s="20" t="s">
        <v>149</v>
      </c>
    </row>
    <row r="42" spans="2:2" x14ac:dyDescent="0.35">
      <c r="B42" s="20" t="s">
        <v>150</v>
      </c>
    </row>
    <row r="43" spans="2:2" x14ac:dyDescent="0.35">
      <c r="B43" s="21" t="s">
        <v>151</v>
      </c>
    </row>
    <row r="44" spans="2:2" x14ac:dyDescent="0.35">
      <c r="B44" s="20" t="s">
        <v>137</v>
      </c>
    </row>
    <row r="45" spans="2:2" x14ac:dyDescent="0.35">
      <c r="B45" s="20" t="s">
        <v>152</v>
      </c>
    </row>
    <row r="46" spans="2:2" x14ac:dyDescent="0.35">
      <c r="B46" s="20" t="s">
        <v>153</v>
      </c>
    </row>
    <row r="47" spans="2:2" x14ac:dyDescent="0.35">
      <c r="B47" s="20" t="s">
        <v>154</v>
      </c>
    </row>
    <row r="48" spans="2:2" x14ac:dyDescent="0.35">
      <c r="B48" s="20" t="s">
        <v>155</v>
      </c>
    </row>
    <row r="49" spans="2:2" x14ac:dyDescent="0.35">
      <c r="B49" s="20" t="s">
        <v>138</v>
      </c>
    </row>
    <row r="50" spans="2:2" x14ac:dyDescent="0.35">
      <c r="B50" s="20" t="s">
        <v>139</v>
      </c>
    </row>
    <row r="51" spans="2:2" x14ac:dyDescent="0.35">
      <c r="B51" s="20" t="s">
        <v>140</v>
      </c>
    </row>
    <row r="52" spans="2:2" x14ac:dyDescent="0.35">
      <c r="B52" s="20" t="s">
        <v>141</v>
      </c>
    </row>
    <row r="53" spans="2:2" x14ac:dyDescent="0.35">
      <c r="B53" s="20" t="s">
        <v>142</v>
      </c>
    </row>
    <row r="54" spans="2:2" x14ac:dyDescent="0.35">
      <c r="B54" s="20" t="s">
        <v>143</v>
      </c>
    </row>
    <row r="55" spans="2:2" x14ac:dyDescent="0.35">
      <c r="B55" s="20" t="s">
        <v>144</v>
      </c>
    </row>
    <row r="56" spans="2:2" x14ac:dyDescent="0.35">
      <c r="B56" s="20" t="s">
        <v>156</v>
      </c>
    </row>
    <row r="57" spans="2:2" x14ac:dyDescent="0.35">
      <c r="B57" s="20" t="s">
        <v>157</v>
      </c>
    </row>
    <row r="58" spans="2:2" x14ac:dyDescent="0.35">
      <c r="B58" s="20" t="s">
        <v>145</v>
      </c>
    </row>
    <row r="59" spans="2:2" x14ac:dyDescent="0.35">
      <c r="B59" s="20" t="s">
        <v>146</v>
      </c>
    </row>
    <row r="60" spans="2:2" x14ac:dyDescent="0.35">
      <c r="B60" s="20" t="s">
        <v>158</v>
      </c>
    </row>
    <row r="61" spans="2:2" x14ac:dyDescent="0.35">
      <c r="B61" s="20" t="s">
        <v>159</v>
      </c>
    </row>
    <row r="62" spans="2:2" x14ac:dyDescent="0.35">
      <c r="B62" s="20" t="s">
        <v>160</v>
      </c>
    </row>
    <row r="63" spans="2:2" x14ac:dyDescent="0.35">
      <c r="B63" s="20" t="s">
        <v>155</v>
      </c>
    </row>
    <row r="64" spans="2:2" x14ac:dyDescent="0.35">
      <c r="B64" s="20" t="s">
        <v>147</v>
      </c>
    </row>
    <row r="65" spans="2:2" x14ac:dyDescent="0.35">
      <c r="B65" s="20" t="s">
        <v>148</v>
      </c>
    </row>
    <row r="66" spans="2:2" x14ac:dyDescent="0.35">
      <c r="B66" s="20" t="s">
        <v>161</v>
      </c>
    </row>
    <row r="67" spans="2:2" x14ac:dyDescent="0.35">
      <c r="B67" s="20" t="s">
        <v>155</v>
      </c>
    </row>
    <row r="68" spans="2:2" x14ac:dyDescent="0.35">
      <c r="B68" s="20" t="s">
        <v>149</v>
      </c>
    </row>
    <row r="69" spans="2:2" x14ac:dyDescent="0.35">
      <c r="B69" s="20" t="s">
        <v>162</v>
      </c>
    </row>
    <row r="70" spans="2:2" x14ac:dyDescent="0.35">
      <c r="B70" s="21" t="s">
        <v>163</v>
      </c>
    </row>
    <row r="71" spans="2:2" x14ac:dyDescent="0.35">
      <c r="B71" s="20" t="s">
        <v>137</v>
      </c>
    </row>
    <row r="72" spans="2:2" x14ac:dyDescent="0.35">
      <c r="B72" s="20" t="s">
        <v>138</v>
      </c>
    </row>
    <row r="73" spans="2:2" x14ac:dyDescent="0.35">
      <c r="B73" s="20" t="s">
        <v>139</v>
      </c>
    </row>
    <row r="74" spans="2:2" x14ac:dyDescent="0.35">
      <c r="B74" s="20" t="s">
        <v>140</v>
      </c>
    </row>
    <row r="75" spans="2:2" x14ac:dyDescent="0.35">
      <c r="B75" s="20" t="s">
        <v>144</v>
      </c>
    </row>
    <row r="76" spans="2:2" x14ac:dyDescent="0.35">
      <c r="B76" s="20" t="s">
        <v>146</v>
      </c>
    </row>
    <row r="77" spans="2:2" x14ac:dyDescent="0.35">
      <c r="B77" s="20" t="s">
        <v>147</v>
      </c>
    </row>
    <row r="78" spans="2:2" x14ac:dyDescent="0.35">
      <c r="B78" s="20" t="s">
        <v>148</v>
      </c>
    </row>
    <row r="79" spans="2:2" x14ac:dyDescent="0.35">
      <c r="B79" s="20" t="s">
        <v>149</v>
      </c>
    </row>
    <row r="80" spans="2:2" x14ac:dyDescent="0.35">
      <c r="B80" s="20" t="s">
        <v>162</v>
      </c>
    </row>
    <row r="81" spans="1:2" x14ac:dyDescent="0.35">
      <c r="B81" s="21" t="s">
        <v>164</v>
      </c>
    </row>
    <row r="82" spans="1:2" x14ac:dyDescent="0.35">
      <c r="B82" s="21" t="s">
        <v>165</v>
      </c>
    </row>
    <row r="83" spans="1:2" x14ac:dyDescent="0.35">
      <c r="B83" s="21" t="s">
        <v>166</v>
      </c>
    </row>
    <row r="84" spans="1:2" x14ac:dyDescent="0.35">
      <c r="B84" s="21" t="s">
        <v>167</v>
      </c>
    </row>
    <row r="85" spans="1:2" x14ac:dyDescent="0.35">
      <c r="B85" s="21" t="s">
        <v>168</v>
      </c>
    </row>
    <row r="86" spans="1:2" x14ac:dyDescent="0.35">
      <c r="B86" s="21" t="s">
        <v>169</v>
      </c>
    </row>
    <row r="87" spans="1:2" x14ac:dyDescent="0.35">
      <c r="B87" s="21" t="s">
        <v>170</v>
      </c>
    </row>
    <row r="88" spans="1:2" x14ac:dyDescent="0.35">
      <c r="A88" s="22" t="s">
        <v>192</v>
      </c>
      <c r="B88" s="24" t="s">
        <v>171</v>
      </c>
    </row>
    <row r="89" spans="1:2" x14ac:dyDescent="0.35">
      <c r="B89" s="20" t="s">
        <v>172</v>
      </c>
    </row>
    <row r="90" spans="1:2" x14ac:dyDescent="0.35">
      <c r="B90" s="20" t="s">
        <v>173</v>
      </c>
    </row>
    <row r="91" spans="1:2" x14ac:dyDescent="0.35">
      <c r="B91" s="20" t="s">
        <v>174</v>
      </c>
    </row>
    <row r="92" spans="1:2" x14ac:dyDescent="0.35">
      <c r="B92" s="20" t="s">
        <v>175</v>
      </c>
    </row>
    <row r="93" spans="1:2" x14ac:dyDescent="0.35">
      <c r="B93" s="20" t="s">
        <v>176</v>
      </c>
    </row>
    <row r="94" spans="1:2" x14ac:dyDescent="0.35">
      <c r="B94" s="20" t="s">
        <v>177</v>
      </c>
    </row>
    <row r="95" spans="1:2" x14ac:dyDescent="0.35">
      <c r="B95" s="20" t="s">
        <v>178</v>
      </c>
    </row>
    <row r="96" spans="1:2" x14ac:dyDescent="0.35">
      <c r="B96" s="20" t="s">
        <v>179</v>
      </c>
    </row>
    <row r="97" spans="2:2" x14ac:dyDescent="0.35">
      <c r="B97" s="20" t="s">
        <v>180</v>
      </c>
    </row>
    <row r="98" spans="2:2" x14ac:dyDescent="0.35">
      <c r="B98" s="20" t="s">
        <v>181</v>
      </c>
    </row>
    <row r="99" spans="2:2" x14ac:dyDescent="0.35">
      <c r="B99" s="20" t="s">
        <v>182</v>
      </c>
    </row>
    <row r="100" spans="2:2" x14ac:dyDescent="0.35">
      <c r="B100" s="20" t="s">
        <v>183</v>
      </c>
    </row>
    <row r="101" spans="2:2" x14ac:dyDescent="0.35">
      <c r="B101" s="20" t="s">
        <v>184</v>
      </c>
    </row>
    <row r="102" spans="2:2" x14ac:dyDescent="0.35">
      <c r="B102" s="20" t="s">
        <v>185</v>
      </c>
    </row>
    <row r="103" spans="2:2" x14ac:dyDescent="0.3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2023-04-13T08:45:43Z</dcterms:modified>
</cp:coreProperties>
</file>
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5" l="1"/>
  <c r="K21" i="5" s="1"/>
  <c r="E21" i="5"/>
  <c r="L21" i="5" s="1"/>
  <c r="C21" i="5"/>
  <c r="B21" i="5"/>
  <c r="D21" i="5" s="1"/>
  <c r="X15" i="1"/>
  <c r="L15" i="1"/>
  <c r="G15" i="1"/>
  <c r="E15" i="1"/>
  <c r="H15" i="1" s="1"/>
  <c r="D15" i="1"/>
  <c r="V15" i="1" s="1"/>
  <c r="T21" i="5" l="1"/>
  <c r="U21" i="5"/>
  <c r="G21" i="5"/>
  <c r="S21" i="5" s="1"/>
  <c r="V21" i="5"/>
  <c r="H21" i="5"/>
  <c r="I21" i="5"/>
  <c r="I15" i="1"/>
  <c r="M15" i="1"/>
  <c r="W15" i="1"/>
  <c r="J15" i="1"/>
  <c r="O15" i="1"/>
  <c r="N15" i="1"/>
  <c r="Z15" i="1"/>
  <c r="Y15" i="1"/>
  <c r="T15" i="1"/>
  <c r="P15" i="1"/>
  <c r="F17" i="5"/>
  <c r="F23" i="5"/>
  <c r="L10" i="1"/>
  <c r="G10" i="1"/>
  <c r="F16" i="5" s="1"/>
  <c r="E10" i="1"/>
  <c r="X10" i="1" s="1"/>
  <c r="D10" i="1"/>
  <c r="V10" i="1" s="1"/>
  <c r="Y10" i="1" l="1"/>
  <c r="T10" i="1"/>
  <c r="P10" i="1"/>
  <c r="H10" i="1"/>
  <c r="E16" i="5" s="1"/>
  <c r="B7" i="5"/>
  <c r="B6" i="5"/>
  <c r="B2" i="5"/>
  <c r="G16" i="5" l="1"/>
  <c r="N10" i="1"/>
  <c r="W10" i="1"/>
  <c r="J10" i="1"/>
  <c r="I10" i="1"/>
  <c r="O10" i="1"/>
  <c r="M10" i="1"/>
  <c r="Z10" i="1"/>
  <c r="B8" i="5"/>
  <c r="B3" i="5"/>
  <c r="C22" i="5"/>
  <c r="B22" i="5"/>
  <c r="D22" i="5" s="1"/>
  <c r="T22" i="5" s="1"/>
  <c r="C20" i="5"/>
  <c r="B20" i="5"/>
  <c r="D20" i="5" s="1"/>
  <c r="T20" i="5" s="1"/>
  <c r="G16" i="1"/>
  <c r="F22" i="5" s="1"/>
  <c r="E16" i="1"/>
  <c r="D16" i="1"/>
  <c r="T16" i="1" s="1"/>
  <c r="H16" i="1" l="1"/>
  <c r="E22" i="5" s="1"/>
  <c r="X16" i="1"/>
  <c r="V16" i="1"/>
  <c r="P16" i="1"/>
  <c r="C18" i="5"/>
  <c r="B18" i="5"/>
  <c r="D18" i="5" s="1"/>
  <c r="T18" i="5" s="1"/>
  <c r="C17" i="5"/>
  <c r="B17" i="5"/>
  <c r="D17" i="5" s="1"/>
  <c r="T17" i="5" s="1"/>
  <c r="C16" i="5"/>
  <c r="B16" i="5"/>
  <c r="D16" i="5" s="1"/>
  <c r="T16" i="5" l="1"/>
  <c r="I16" i="5"/>
  <c r="U16" i="5"/>
  <c r="H16" i="5"/>
  <c r="K16" i="5"/>
  <c r="S16" i="5"/>
  <c r="G22" i="5"/>
  <c r="S22" i="5" s="1"/>
  <c r="U22" i="5"/>
  <c r="H22" i="5"/>
  <c r="K22" i="5"/>
  <c r="I22" i="5"/>
  <c r="V22" i="5"/>
  <c r="L22" i="5"/>
  <c r="J16" i="1"/>
  <c r="O16" i="1"/>
  <c r="W16" i="1"/>
  <c r="I16" i="1"/>
  <c r="N16" i="1"/>
  <c r="M16" i="1"/>
  <c r="Z16" i="1"/>
  <c r="Y16" i="1"/>
  <c r="B6" i="1"/>
  <c r="G14" i="1"/>
  <c r="F20" i="5" s="1"/>
  <c r="E14" i="1"/>
  <c r="D14" i="1"/>
  <c r="V14" i="1" s="1"/>
  <c r="H14" i="1" l="1"/>
  <c r="E20" i="5" s="1"/>
  <c r="X14" i="1"/>
  <c r="L14" i="1"/>
  <c r="P14" i="1"/>
  <c r="T14" i="1"/>
  <c r="C19" i="5"/>
  <c r="B19" i="5"/>
  <c r="D19" i="5" s="1"/>
  <c r="T19" i="5" s="1"/>
  <c r="C15" i="5"/>
  <c r="B15" i="5"/>
  <c r="D15" i="5" s="1"/>
  <c r="T15" i="5" s="1"/>
  <c r="L13" i="1"/>
  <c r="G13" i="1"/>
  <c r="F19" i="5" s="1"/>
  <c r="E13" i="1"/>
  <c r="D13" i="1"/>
  <c r="V13" i="1" s="1"/>
  <c r="G12" i="1"/>
  <c r="F18" i="5" s="1"/>
  <c r="E12" i="1"/>
  <c r="D12" i="1"/>
  <c r="T12" i="1" s="1"/>
  <c r="U20" i="5" l="1"/>
  <c r="K20" i="5"/>
  <c r="G20" i="5"/>
  <c r="S20" i="5" s="1"/>
  <c r="I20" i="5"/>
  <c r="H20" i="5"/>
  <c r="L20" i="5"/>
  <c r="V20" i="5"/>
  <c r="M14" i="1"/>
  <c r="J14" i="1"/>
  <c r="O14" i="1"/>
  <c r="H12" i="1"/>
  <c r="I12" i="1" s="1"/>
  <c r="X12" i="1"/>
  <c r="I14" i="1"/>
  <c r="N14" i="1"/>
  <c r="W14" i="1"/>
  <c r="H13" i="1"/>
  <c r="E19" i="5" s="1"/>
  <c r="X13" i="1"/>
  <c r="Z14" i="1"/>
  <c r="Y14" i="1"/>
  <c r="L12" i="1"/>
  <c r="P12" i="1"/>
  <c r="V12" i="1"/>
  <c r="P13" i="1"/>
  <c r="T13" i="1"/>
  <c r="G19" i="5" l="1"/>
  <c r="S19" i="5" s="1"/>
  <c r="U19" i="5"/>
  <c r="K19" i="5"/>
  <c r="H19" i="5"/>
  <c r="I19" i="5"/>
  <c r="M12" i="1"/>
  <c r="J12" i="1"/>
  <c r="E18" i="5"/>
  <c r="V18" i="5" s="1"/>
  <c r="N12" i="1"/>
  <c r="J13" i="1"/>
  <c r="W12" i="1"/>
  <c r="O12" i="1"/>
  <c r="O13" i="1"/>
  <c r="W13" i="1"/>
  <c r="Y12" i="1"/>
  <c r="Z12" i="1"/>
  <c r="M13" i="1"/>
  <c r="N13" i="1"/>
  <c r="I13" i="1"/>
  <c r="Z13" i="1"/>
  <c r="Y13" i="1"/>
  <c r="C23" i="5"/>
  <c r="B23" i="5"/>
  <c r="D23" i="5" s="1"/>
  <c r="T23" i="5" s="1"/>
  <c r="G17" i="1"/>
  <c r="E17" i="1"/>
  <c r="D17" i="1"/>
  <c r="V17" i="1" s="1"/>
  <c r="L18" i="5" l="1"/>
  <c r="G18" i="5"/>
  <c r="S18" i="5" s="1"/>
  <c r="U18" i="5"/>
  <c r="I18" i="5"/>
  <c r="H18" i="5"/>
  <c r="K18" i="5"/>
  <c r="X17" i="1"/>
  <c r="H17" i="1"/>
  <c r="P17" i="1"/>
  <c r="T17" i="1"/>
  <c r="G9" i="1"/>
  <c r="F15" i="5" s="1"/>
  <c r="E9" i="1"/>
  <c r="D9" i="1"/>
  <c r="V9" i="1" s="1"/>
  <c r="O17" i="1" l="1"/>
  <c r="E23" i="5"/>
  <c r="Y17" i="1"/>
  <c r="Z17" i="1"/>
  <c r="M17" i="1"/>
  <c r="I17" i="1"/>
  <c r="H9" i="1"/>
  <c r="E15" i="5" s="1"/>
  <c r="U15" i="5" s="1"/>
  <c r="X9" i="1"/>
  <c r="J17" i="1"/>
  <c r="W17" i="1"/>
  <c r="N17" i="1"/>
  <c r="L23" i="5"/>
  <c r="V23" i="5"/>
  <c r="P9" i="1"/>
  <c r="T9" i="1"/>
  <c r="U23" i="5" l="1"/>
  <c r="G23" i="5"/>
  <c r="S23" i="5" s="1"/>
  <c r="I23" i="5"/>
  <c r="H23" i="5"/>
  <c r="K23" i="5"/>
  <c r="J9" i="1"/>
  <c r="L15" i="5"/>
  <c r="W9" i="1"/>
  <c r="Y9" i="1"/>
  <c r="Z9" i="1"/>
  <c r="O9" i="1"/>
  <c r="K15" i="5"/>
  <c r="V15" i="5"/>
  <c r="I9" i="1"/>
  <c r="G15" i="5"/>
  <c r="S15" i="5" s="1"/>
  <c r="H15" i="5"/>
  <c r="M9" i="1"/>
  <c r="I15" i="5"/>
  <c r="N9" i="1"/>
  <c r="Q3" i="1"/>
  <c r="B4" i="5" s="1"/>
  <c r="B5" i="5" s="1"/>
  <c r="G11" i="1" l="1"/>
  <c r="E11" i="1"/>
  <c r="D11" i="1"/>
  <c r="T11" i="1" s="1"/>
  <c r="H11" i="1" l="1"/>
  <c r="E17" i="5" s="1"/>
  <c r="X11" i="1"/>
  <c r="L19" i="5"/>
  <c r="V19" i="5"/>
  <c r="P11" i="1"/>
  <c r="V11" i="1"/>
  <c r="H17" i="5" l="1"/>
  <c r="U17" i="5"/>
  <c r="G17" i="5"/>
  <c r="S17" i="5" s="1"/>
  <c r="K17" i="5"/>
  <c r="I17" i="5"/>
  <c r="L17" i="5"/>
  <c r="V17" i="5"/>
  <c r="W11" i="1"/>
  <c r="V16" i="5"/>
  <c r="N11" i="1"/>
  <c r="L16" i="5"/>
  <c r="J11" i="1"/>
  <c r="O11" i="1"/>
  <c r="M11" i="1"/>
  <c r="I11" i="1"/>
  <c r="Z11" i="1"/>
  <c r="Y11" i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9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9" i="1"/>
  <c r="T7" i="1" l="1"/>
  <c r="W19" i="1"/>
  <c r="G6" i="1" l="1"/>
  <c r="K13" i="5"/>
  <c r="L13" i="5"/>
  <c r="U13" i="5"/>
  <c r="S13" i="5"/>
  <c r="H13" i="5"/>
  <c r="V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7" i="1" l="1"/>
  <c r="L16" i="1"/>
  <c r="L9" i="1"/>
  <c r="L11" i="1"/>
  <c r="C7" i="1"/>
  <c r="I19" i="1"/>
  <c r="P19" i="1"/>
  <c r="N19" i="1"/>
  <c r="O19" i="1"/>
  <c r="J19" i="1"/>
  <c r="Q7" i="1" l="1"/>
  <c r="M68" i="3" s="1"/>
  <c r="L7" i="1"/>
  <c r="G68" i="3" s="1"/>
  <c r="K68" i="3"/>
  <c r="J68" i="3"/>
  <c r="K19" i="1"/>
  <c r="M19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<sst xmlns="http://schemas.openxmlformats.org/spreadsheetml/2006/main" count="467" uniqueCount="371">
  <si>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</si>
  <si>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</si>
  <si>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</si>
  <si>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</si>
  <si>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</si>
  <si>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</si>
  <si>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</si>
  <si>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</si>
  <si>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</si>
  <si>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</si>
  <si>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</si>
  <si>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</si>
  <si>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</si>
  <si>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</si>
  <si>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</si>
  <si>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</si>
  <si>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</si>
  <si>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</si>
  <si>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</si>
  <si>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</si>
  <si>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</si>
  <si>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</si>
  <si>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</si>
  <si>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</si>
  <si>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</si>
  <si>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</si>
  <si>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</si>
  <si>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</si>
  <si>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</si>
  <si>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</si>
  <si>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</si>
  <si>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</si>
  <si>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</si>
  <si>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</si>
  <si>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</si>
  <si>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</si>
  <si>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</si>
  <si>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</si>
  <si>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</si>
  <si>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</si>
  <si>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</si>
  <si>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</si>
  <si>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</si>
  <si>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</si>
  <si>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</si>
  <si>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</si>
  <si>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</si>
  <si>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</si>
  <si>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</si>
  <si>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</si>
  <si>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</si>
  <si>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</si>
  <si>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</si>
  <si>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</si>
  <si>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</si>
  <si>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</si>
  <si>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</si>
  <si>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</si>
  <si>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</si>
  <si>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</si>
  <si>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</si>
  <si>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</si>
  <si>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</si>
  <si>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</si>
  <si>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</si>
  <si>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</si>
  <si>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</si>
  <si>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</si>
  <si>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</si>
  <si>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</si>
  <si>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</si>
  <si>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</si>
  <si>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</si>
  <si>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</si>
  <si>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</si>
  <si>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</si>
  <si>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</si>
  <si>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</si>
  <si>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</si>
  <si>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</si>
  <si>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</si>
  <si>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</si>
  <si>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</si>
  <si>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</si>
  <si>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</si>
  <si>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</si>
  <si>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</si>
  <si>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</si>
  <si>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</si>
  <si>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</si>
  <si>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</si>
  <si>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</si>
  <si>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</si>
  <si>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</si>
  <si>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</si>
  <si>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</si>
  <si>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</si>
  <si>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</si>
  <si>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</si>
  <si>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</si>
  <si>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</si>
  <si>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</si>
  <si>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</si>
  <si>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</si>
  <si>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</si>
  <si>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</si>
  <si>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</si>
  <si>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</si>
  <si>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</si>
  <si>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</si>
  <si>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</si>
  <si>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</si>
  <si>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</si>
  <si>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</si>
  <si>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</si>
  <si>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</si>
  <si>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</si>
  <si>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</si>
  <si>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</si>
  <si>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</si>
  <si>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</si>
  <si>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</si>
  <si>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</si>
  <si>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</si>
  <si>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</si>
  <si>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</si>
  <si>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</si>
  <si>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</si>
  <si>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</si>
  <si>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</si>
  <si>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</si>
  <si>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</si>
  <si>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</si>
  <si>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</si>
  <si>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</si>
  <si>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</si>
  <si>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</si>
  <si>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</si>
  <si>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</si>
  <si>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</si>
  <si>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</si>
  <si>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</si>
  <si>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</si>
  <si>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</si>
  <si>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</si>
  <si>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</si>
  <si>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</si>
  <si>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</si>
  <si>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</si>
  <si>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</si>
  <si>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</si>
  <si>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</si>
  <si>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</si>
  <si>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</si>
  <si>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</si>
  <si>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</si>
  <si>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</si>
  <si>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</si>
  <si>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</si>
  <si>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</si>
  <si>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</si>
  <si>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</si>
  <si>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</si>
  <si>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</si>
  <si>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</si>
  <si>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</si>
  <si>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</si>
  <si>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</si>
  <si>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</si>
  <si>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</si>
  <si>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</si>
  <si>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</si>
  <si>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</si>
  <si>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</si>
  <si>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</si>
  <si>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</si>
  <si>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</si>
  <si>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</si>
  <si>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</si>
  <si>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</si>
  <si>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</si>
  <si>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</si>
  <si>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</si>
  <si>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</si>
  <si>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</si>
  <si>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</si>
  <si>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</si>
  <si>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</si>
  <si>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</si>
  <si>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</si>
  <si>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</si>
  <si>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</si>
  <si>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</si>
  <si>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</si>
  <si>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</si>
  <si>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</si>
  <si>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</si>
  <si>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</si>
  <si>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</si>
  <si>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</si>
  <si>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</si>
  <si>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</si>
  <si>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</si>
  <si>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</si>
  <si>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</si>
  <si>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</si>
  <si>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</si>
  <si>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</si>
  <si>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</si>
  <si>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</si>
  <si>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</si>
  <si>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</si>
  <si>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</si>
  <si>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</si>
  <si>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</si>
  <si>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</si>
  <si>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</si>
  <si>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</si>
  <si>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</si>
  <si>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</si>
  <si>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</si>
  <si>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</si>
  <si>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</si>
  <si>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</si>
  <si>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</si>
  <si>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</si>
  <si>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</si>
  <si>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</si>
  <si>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</si>
  <si>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</si>
  <si>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</si>
  <si>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</si>
  <si>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</si>
  <si>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</si>
  <si>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</si>
  <si>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</si>
  <si>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</si>
  <si>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</si>
  <si>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</si>
  <si>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</si>
  <si>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</si>
  <si>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</si>
  <si>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</si>
  <si>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</si>
  <si>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</si>
  <si>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</si>
  <si>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</si>
  <si>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</si>
  <si>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</si>
  <si>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</si>
  <si>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</si>
  <si>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</si>
  <si>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</si>
  <si>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</si>
  <si>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</si>
  <si>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</si>
  <si>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</si>
  <si>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</si>
  <si>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</si>
  <si>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</si>
  <si>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</si>
  <si>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</si>
  <si>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</si>
  <si>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</si>
  <si>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</si>
  <si>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</si>
  <si>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</si>
  <si>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</si>
  <si>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</si>
  <si>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</si>
  <si>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</si>
  <si>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</si>
  <si>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</si>
  <si>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</si>
  <si>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</si>
  <si>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</si>
  <si>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</si>
  <si>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</si>
  <si>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</si>
  <si>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</si>
  <si>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</si>
  <si>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</si>
  <si>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</si>
  <si>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</si>
  <si>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</si>
  <si>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</si>
  <si>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</si>
  <si>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</si>
  <si>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</si>
  <si>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</si>
  <si>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</si>
  <si>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</si>
  <si>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</si>
  <si>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</si>
  <si>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</si>
  <si>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</si>
  <si>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</si>
  <si>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</si>
  <si>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</si>
  <si>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</si>
  <si>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</si>
  <si>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</si>
  <si>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</si>
  <si>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</si>
  <si>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</si>
  <si>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</si>
  <si>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</si>
  <si>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</si>
  <si>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</si>
  <si>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</si>
  <si>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</si>
  <si>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</si>
  <si>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</si>
  <si>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</si>
  <si>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</si>
  <si>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</si>
  <si>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</si>
  <si>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</si>
  <si>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</si>
  <si>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</si>
  <si>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</si>
  <si>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</si>
  <si>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</si>
  <si>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</si>
  <si>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</si>
  <si>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</si>
  <si>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</si>
  <si>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</si>
  <si>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</si>
  <si>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</si>
  <si>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</si>
  <si>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</si>
  <si>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</si>
  <si>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</si>
  <si>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</si>
  <si>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</si>
  <si>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</si>
  <si>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</si>
  <si>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</si>
  <si>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</si>
  <si>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</si>
  <si>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</si>
  <si>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</si>
  <si>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</si>
  <si>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</si>
  <si>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</si>
  <si>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</si>
  <si>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</si>
  <si>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</si>
  <si>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</si>
  <si>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</si>
  <si>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SUPPLIER_NO</t>
  </si>
  <si>
    <t>varchar(10)</t>
  </si>
  <si>
    <t>int?</t>
  </si>
  <si>
    <t>long?</t>
  </si>
  <si>
    <t>DateTime?</t>
  </si>
  <si>
    <t>TimeSpan?</t>
  </si>
  <si>
    <t>decimal?</t>
  </si>
  <si>
    <t>byte?</t>
  </si>
  <si>
    <t>PART_NO</t>
  </si>
  <si>
    <t>varchar(50)</t>
  </si>
  <si>
    <t>InvCkdPartList</t>
  </si>
  <si>
    <t>PartList</t>
  </si>
  <si>
    <t>Part List</t>
  </si>
  <si>
    <t>PART_NAME</t>
  </si>
  <si>
    <t>PART_NO_Normalized</t>
  </si>
  <si>
    <t>SUPPLIER_CD</t>
  </si>
  <si>
    <t>COLOR_SFX</t>
  </si>
  <si>
    <t>Supplier_Id</t>
  </si>
  <si>
    <t>Bigint</t>
  </si>
  <si>
    <t>Material_Id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</si>
</sst>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D89" sqref="D89"/>
    </sheetView>
  </sheetViews>
  <sheetFormatPr defaultColWidth="8.88671875" defaultRowHeight="14.4" x14ac:dyDescent="0.3"/>
  <cols>
    <col min="1" max="1" width="3.44140625" customWidth="1"/>
    <col min="2" max="2" width="18.44140625" customWidth="1"/>
    <col min="3" max="5" width="26.109375" customWidth="1"/>
    <col min="6" max="6" width="29.44140625" customWidth="1"/>
    <col min="7" max="10" width="26.109375" customWidth="1"/>
    <col min="11" max="11" width="26.44140625" customWidth="1"/>
    <col min="12" max="12" width="27.664062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347</v>
      </c>
      <c r="F18" s="1" t="s">
        <v>349</v>
      </c>
      <c r="G18" t="s">
        <v>348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321</v>
      </c>
      <c r="F42" s="1" t="s">
        <v>334</v>
      </c>
      <c r="G42" t="s">
        <v>334</v>
      </c>
    </row>
    <row r="43" spans="1:8" x14ac:dyDescent="0.3">
      <c r="A43" s="1"/>
      <c r="D43" t="s">
        <v>322</v>
      </c>
      <c r="F43" s="1" t="s">
        <v>328</v>
      </c>
      <c r="G43" t="s">
        <v>335</v>
      </c>
    </row>
    <row r="44" spans="1:8" x14ac:dyDescent="0.3">
      <c r="A44" s="1"/>
      <c r="D44" t="s">
        <v>324</v>
      </c>
      <c r="F44" s="1" t="s">
        <v>329</v>
      </c>
      <c r="G44" t="s">
        <v>336</v>
      </c>
    </row>
    <row r="45" spans="1:8" x14ac:dyDescent="0.3">
      <c r="A45" s="1"/>
      <c r="D45" t="s">
        <v>323</v>
      </c>
      <c r="F45" s="1" t="s">
        <v>330</v>
      </c>
      <c r="G45" t="s">
        <v>337</v>
      </c>
    </row>
    <row r="46" spans="1:8" x14ac:dyDescent="0.3">
      <c r="A46" s="1"/>
      <c r="D46" t="s">
        <v>326</v>
      </c>
      <c r="F46" s="1" t="s">
        <v>331</v>
      </c>
      <c r="G46" t="s">
        <v>338</v>
      </c>
    </row>
    <row r="47" spans="1:8" x14ac:dyDescent="0.3">
      <c r="A47" s="1"/>
      <c r="D47" t="s">
        <v>344</v>
      </c>
      <c r="F47" s="1" t="s">
        <v>345</v>
      </c>
      <c r="G47" t="s">
        <v>346</v>
      </c>
    </row>
    <row r="48" spans="1:8" x14ac:dyDescent="0.3">
      <c r="A48" s="1"/>
      <c r="D48" t="s">
        <v>327</v>
      </c>
      <c r="F48" s="1" t="s">
        <v>332</v>
      </c>
      <c r="G48" t="s">
        <v>339</v>
      </c>
    </row>
    <row r="49" spans="1:7" x14ac:dyDescent="0.3">
      <c r="A49" s="1"/>
      <c r="D49" t="s">
        <v>325</v>
      </c>
      <c r="F49" s="1" t="s">
        <v>333</v>
      </c>
      <c r="G49" t="s">
        <v>340</v>
      </c>
    </row>
    <row r="50" spans="1:7" x14ac:dyDescent="0.3">
      <c r="A50" s="1"/>
      <c r="D50" t="s">
        <v>341</v>
      </c>
      <c r="F50" s="1" t="s">
        <v>342</v>
      </c>
      <c r="G50" t="s">
        <v>343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e">
        <f ca="1">A.Backend!J7</f>
        <v>#NAME?</v>
      </c>
      <c r="D68" s="48" t="str">
        <f>A.Backend!O7</f>
        <v xml:space="preserve">		public const string Pages_Inventory_CKD_PartList = "Pages.Inventory.CKD.PartList";
		public const string Pages_Inventory_CKD_PartList_CreateEdit = "Pages.Inventory.CKD.PartList.CreateEdit";
		public const string Pages_Inventory_CKD_PartList_Delete = "Pages.Inventory.CKD.PartList.Delete";
</v>
      </c>
      <c r="E68" s="48" t="str">
        <f>A.Backend!N7</f>
        <v xml:space="preserve">		var perInvCkdPartList = PARENTS.CreateChildPermission(AppPermissions.Pages_Inventory_CKD_PartList, L( "InventoryCKDPartList"), multiTenancySides: MultiTenancySides.Tenant);
		perInvCkdPartList.CreateChildPermission(AppPermissions.Pages_Inventory_CKD_PartList_CreateEdit, L( "InventoryCKDPartListCreateEdit"), multiTenancySides: MultiTenancySides.Tenant);
		perInvCkdPartList.CreateChildPermission(AppPermissions.Pages_Inventory_CKD_PartList_Delete, L( "InventoryCKDPartListDelete"), multiTenancySides: MultiTenancySides.Tenant);</v>
      </c>
      <c r="F68" s="48" t="str">
        <f>A.Backend!K7</f>
        <v>public virtual DbSet&lt;InvCkdPartList&gt; InvCkdPartLists { get; set; }</v>
      </c>
      <c r="G68" s="48" t="e">
        <f ca="1">A.Backend!L7</f>
        <v>#NAME?</v>
      </c>
      <c r="H68" s="48" t="e">
        <f ca="1">A.Backend!M7</f>
        <v>#NAME?</v>
      </c>
      <c r="I68" s="48" t="e">
        <f ca="1">A.Backend!R7</f>
        <v>#NAME?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IInvCkdPartListAppService : IApplicationService
	{
		Task&lt;PagedResultDto&lt;InvCkdPartListDto&gt;&gt; GetAll(GetInvCkdPartListInput input);
		Task CreateOrEdit(CreateOrEditInvCkdPartListDto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IInvCkdPartListExcelExporter : IApplicationService
	{
		FileDto ExportToFile(List&lt;InvCkdPartListDto&gt; invckdpartlist);
	}
}
</v>
      </c>
      <c r="L68" s="48" t="e">
        <f ca="1">A.Backend!T7</f>
        <v>#NAME?</v>
      </c>
      <c r="M68" s="55" t="e">
        <f ca="1">A.Backend!Q7</f>
        <v>#NAME?</v>
      </c>
      <c r="N68" s="58" t="str">
        <f>A.Backend!U7</f>
        <v xml:space="preserve">  configuration.CreateMap&lt;InvCkdPartListDto, InvCkdPartList&gt;();
  configuration.CreateMap&lt;InvCkdPartList, InvCkdPartListDto&gt;();
  configuration.CreateMap&lt;CreateOrEditInvCkdPartListDto, InvCkdPartList&gt;();</v>
      </c>
    </row>
    <row r="69" spans="2:14" s="15" customFormat="1" ht="21.75" customHeight="1" x14ac:dyDescent="0.3">
      <c r="C69" s="61"/>
      <c r="H69" s="62"/>
      <c r="I69" s="62"/>
      <c r="M69" s="62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partlist</v>
      </c>
      <c r="C73" s="66" t="str">
        <f>"create folder " &amp;B73</f>
        <v>create folder partlist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partlist.component.ts</v>
      </c>
      <c r="D74" s="28" t="str">
        <f>B.Frontend!I14</f>
        <v>partlist.component.html</v>
      </c>
      <c r="E74" s="28" t="str">
        <f>B.Frontend!J14</f>
        <v>partlist.component.less</v>
      </c>
      <c r="F74" s="28" t="str">
        <f>B.Frontend!K14</f>
        <v>create-or-edit-partlist-modal.component.html</v>
      </c>
      <c r="G74" s="28" t="str">
        <f>B.Frontend!L14</f>
        <v>create-or-edit-partlist-modal.component.ts</v>
      </c>
      <c r="H74" s="28" t="str">
        <f>B.Frontend!M14</f>
        <v>create-or-edit-partlist-modal.component.less</v>
      </c>
      <c r="I74" s="28" t="str">
        <f>B.Frontend!N14</f>
        <v>partlist.module.ts</v>
      </c>
      <c r="J74" s="28" t="str">
        <f>B.Frontend!O14</f>
        <v>partlist-routing.module.ts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e">
        <f ca="1">B.Frontend!H10</f>
        <v>#NAME?</v>
      </c>
      <c r="D75" s="46" t="e">
        <f ca="1">B.Frontend!I10</f>
        <v>#NAME?</v>
      </c>
      <c r="E75" s="46" t="str">
        <f>B.Frontend!J10</f>
        <v>.input-search{
    width: 250px;
    border-radius: 10px;
    margin-left: 10px;
}
.btn-search{
    width: 50px;
    margin-left: 10px;
}</v>
      </c>
      <c r="F75" s="46" t="e">
        <f ca="1">B.Frontend!K10</f>
        <v>#NAME?</v>
      </c>
      <c r="G75" s="46" t="e">
        <f ca="1">B.Frontend!L10</f>
        <v>#NAME?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PartListRoutingModule } from './partlist-routing.module';
import { PartListComponent } from './partlist.component';
import { CreateOrEditPartListModalComponent } from './create-or-edit-partlist-modal.component';
@NgModule({
    declarations: [
       PartListComponent, 
        CreateOrEditPartListModalComponent
    ],
    imports: [
        AppSharedModule, PartListRoutingModule]
})
export class PartListModule {}</v>
      </c>
      <c r="J75" s="46" t="str">
        <f>B.Frontend!O10</f>
        <v>import {NgModule} from '@angular/core';
import {RouterModule, Routes} from '@angular/router';
import { PartListComponent } from './partlist.component';
const routes: Routes = [{
    path: '',
    component: PartListComponent,
    pathMatch: 'full'
}];
@NgModule({
    imports: [RouterModule.forChild(routes)],
    exports: [RouterModule],
})
export class PartListRoutingModule {}</v>
      </c>
      <c r="K75" s="46" t="str">
        <f>B.Frontend!P10</f>
        <v xml:space="preserve"> new AppMenuItem("PartList", "Pages.Inventory.CKD.PartList", "flaticon-book",   "/app/main/inventory/ckd/partlist"),</v>
      </c>
      <c r="L75" s="47" t="str">
        <f>B.Frontend!Q10</f>
        <v>{
    path: 'inventory/ckd/partlist',
    loadChildren: () =&gt; import('./inventory/ckd/partlist/partlist.module').then(m =&gt; m.PartListModule),
    data: { permission: 'Pages.Inventory.CKD.PartList' }
},</v>
      </c>
      <c r="M75" s="45" t="str">
        <f>B.Frontend!R10</f>
        <v>ApiServiceProxies.InvCkdPartListServiceProxy,</v>
      </c>
    </row>
    <row r="77" spans="2:14" x14ac:dyDescent="0.3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9"/>
  <sheetViews>
    <sheetView tabSelected="1" workbookViewId="0">
      <pane xSplit="1" topLeftCell="B1" activePane="topRight" state="frozen"/>
      <selection pane="topRight" activeCell="A9" sqref="A9:A16"/>
    </sheetView>
  </sheetViews>
  <sheetFormatPr defaultColWidth="9.109375" defaultRowHeight="14.4" x14ac:dyDescent="0.3"/>
  <cols>
    <col min="1" max="1" width="20.886718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88671875" style="7" customWidth="1"/>
    <col min="7" max="7" width="17.33203125" style="7" bestFit="1" customWidth="1"/>
    <col min="8" max="8" width="15" style="7" customWidth="1"/>
    <col min="9" max="9" width="16" style="7" customWidth="1"/>
    <col min="10" max="10" width="15.88671875" style="7" customWidth="1"/>
    <col min="11" max="11" width="16" style="7" customWidth="1"/>
    <col min="12" max="12" width="16.6640625" style="7" customWidth="1"/>
    <col min="13" max="13" width="17.44140625" style="7" customWidth="1"/>
    <col min="14" max="14" width="16.109375" style="7" customWidth="1"/>
    <col min="15" max="15" width="14.6640625" style="7" customWidth="1"/>
    <col min="16" max="16" width="16" style="7" customWidth="1"/>
    <col min="17" max="17" width="15.664062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109375" style="7" customWidth="1"/>
    <col min="23" max="23" width="27.88671875" style="8" customWidth="1"/>
    <col min="24" max="16384" width="9.109375" style="7"/>
  </cols>
  <sheetData>
    <row r="1" spans="1:26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3">
      <c r="A2" s="1" t="s">
        <v>12</v>
      </c>
      <c r="B2" s="27" t="s">
        <v>350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3">
      <c r="A3" s="1" t="s">
        <v>5</v>
      </c>
      <c r="B3" s="27" t="s">
        <v>361</v>
      </c>
      <c r="C3" s="9" t="s">
        <v>41</v>
      </c>
      <c r="D3" s="9" t="s">
        <v>42</v>
      </c>
      <c r="E3" s="9" t="s">
        <v>37</v>
      </c>
      <c r="F3" s="10" t="str">
        <f>"J"&amp;COUNTA($A:$A)</f>
        <v>J17</v>
      </c>
      <c r="G3" s="4" t="s">
        <v>54</v>
      </c>
      <c r="H3" s="9" t="str">
        <f>"I"&amp;COUNTA($A:$A)</f>
        <v>I17</v>
      </c>
      <c r="I3" s="9" t="str">
        <f>REPT(CHAR(9),2)&amp;"[Required]"&amp;"
"</f>
        <v xml:space="preserve">		[Required]
</v>
      </c>
      <c r="J3" s="10" t="str">
        <f>"L"&amp;COUNTA($A:$A)</f>
        <v>L17</v>
      </c>
      <c r="K3" s="5" t="s">
        <v>53</v>
      </c>
      <c r="L3" s="10" t="str">
        <f>"M"&amp;COUNTA($A:$A)</f>
        <v>M17</v>
      </c>
      <c r="M3" s="10" t="str">
        <f>"N"&amp;COUNTA($A:$A)</f>
        <v>N17</v>
      </c>
      <c r="N3" s="10" t="str">
        <f>"O"&amp;COUNTA($A:$A)</f>
        <v>O17</v>
      </c>
      <c r="O3" s="10" t="str">
        <f>"P"&amp;COUNTA($A:$A)</f>
        <v>P17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InvCkdPartListExportInput{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T17</v>
      </c>
      <c r="V3" s="10" t="str">
        <f>"V"&amp;COUNTA($A:$A)</f>
        <v>V17</v>
      </c>
      <c r="W3" s="9" t="str">
        <f>"W"&amp;COUNTA($A:$A)</f>
        <v>W17</v>
      </c>
    </row>
    <row r="4" spans="1:26" s="10" customFormat="1" ht="33" customHeight="1" x14ac:dyDescent="0.3">
      <c r="A4" s="1" t="s">
        <v>233</v>
      </c>
      <c r="B4" s="60" t="s">
        <v>321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3">
      <c r="A5" s="1" t="s">
        <v>234</v>
      </c>
      <c r="B5" s="60" t="s">
        <v>362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InvCkdPartList: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InvCkdPartListConsts	
	{
</v>
      </c>
      <c r="F6" s="10" t="str">
        <f>REPT(CHAR(9),1)&amp;"public class "&amp;B3&amp;"Dto"&amp;K3&amp;REPT(CHAR(9),1)&amp;"
"&amp;REPT(CHAR(9),1)&amp;C3</f>
        <v xml:space="preserve">	public class InvCkdPartListDto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CreateOrEditInvCkdPartListDto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GetInvCkdPartListInput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" customHeight="1" x14ac:dyDescent="0.3">
      <c r="A7" s="1" t="s">
        <v>13</v>
      </c>
      <c r="B7" s="9" t="str">
        <f>B3</f>
        <v>InvCkdPartList</v>
      </c>
      <c r="C7" s="10" t="str">
        <f>REPT(CHAR(9),1)&amp;"[Table("""&amp;B7&amp;""")]"&amp;"
"</f>
        <v xml:space="preserve">	[Table("InvCkdPartList")]
</v>
      </c>
      <c r="D7" s="10"/>
      <c r="E7" s="10"/>
      <c r="F7" s="10"/>
      <c r="G7" s="10"/>
      <c r="H7" s="10"/>
      <c r="I7" s="10"/>
      <c r="J7" t="e">
        <f ca="1">SUBSTITUTE(SUBSTITUTE((B1&amp;C6&amp;C7&amp;K19&amp;D6&amp;I19&amp;E3&amp;J19&amp;""&amp;REPT(CHAR(9),1)&amp;D3&amp;D3),"WorkingPattern",$Q$3),"Master",$B$4)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DbSet&lt;InvCkdPartList&gt; InvCkdPartLists { get; set; }</v>
      </c>
      <c r="L7" t="e">
        <f ca="1">SUBSTITUTE(SUBSTITUTE((C6&amp;E6&amp;I19&amp;"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perInvCkdPartList = PARENTS.CreateChildPermission(AppPermissions.Pages_Inventory_CKD_PartList, L( "InventoryCKDPartList"), multiTenancySides: MultiTenancySides.Tenant);
		perInvCkdPartList.CreateChildPermission(AppPermissions.Pages_Inventory_CKD_PartList_CreateEdit, L( "InventoryCKDPartListCreateEdit"), multiTenancySides: MultiTenancySides.Tenant);
		perInvCkdPartList.CreateChildPermission(AppPermissions.Pages_Inventory_CKD_PartList_Delete, L( "InventoryCKDPartListDelete"),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Pages_Inventory_CKD_PartList = "Pages.Inventory.CKD.PartList";
		public const string Pages_Inventory_CKD_PartList_CreateEdit = "Pages.Inventory.CKD.PartList.CreateEdit";
		public const string Pages_Inventory_CKD_PartList_Delete = "Pages.Inventory.CKD.PartList.Delete";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IInvCkdPartListAppService : IApplicationService
	{
		Task&lt;PagedResultDto&lt;InvCkdPartListDto&gt;&gt; GetAll(GetInvCkdPartListInput input);
		Task CreateOrEdit(CreateOrEditInvCkdPartListDto input);
		Task Delete(EntityDto input);
	}
}
</v>
      </c>
      <c r="Q7" t="e">
        <f ca="1">SUBSTITUTE(SUBSTITUTE(SUBSTITUTE(SUBSTITUTE(SUBSTITUTE(SUBSTITUTE(E1,"MstWptCalendar",$B$3),"&lt;PROPERTIES&gt;",P19),"Calendar",$B$5),"WorkingPattern",$Q$3),"Master",$B$4),"&lt;PARAMS_SEARCH&gt;",$W$19)</f>
        <v>#NAME?</v>
      </c>
      <c r="R7" t="e">
        <f ca="1">SUBSTITUTE(SUBSTITUTE((C1&amp;"namespace "&amp;B6&amp;".Dto"&amp;E3&amp;C3&amp;R3&amp;M19&amp;E3&amp;REPT(CHAR(9),1)&amp;D3&amp;D3),"WorkingPattern",$Q$3),"Master",$B$4)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IInvCkdPartListExcelExporter : IApplicationService
	{
		FileDto ExportToFile(List&lt;InvCkdPartListDto&gt; invckdpartlist);
	}
}
</v>
      </c>
      <c r="T7" s="26" t="e">
        <f ca="1">SUBSTITUTE(SUBSTITUTE(SUBSTITUTE(SUBSTITUTE(SUBSTITUTE(SUBSTITUTE(SUBSTITUTE(T1,"MstWptCalendar",$B$3),"&lt;PROPERTIES1&gt;",V19),"&lt;PROPERTIES&gt;",T19),"Calendar",$B$5),"calendar",LOWER(B5)),"WorkingPattern",$Q$3),"Master",$B$4)</f>
        <v>#NAME?</v>
      </c>
      <c r="U7" s="26" t="str">
        <f>SUBSTITUTE(SUBSTITUTE(U1,"MstWptCalendar",$B$3),"Master",$B$4)</f>
        <v xml:space="preserve">  configuration.CreateMap&lt;InvCkdPartListDto, InvCkdPartList&gt;();
  configuration.CreateMap&lt;InvCkdPartList, InvCkdPartListDto&gt;();
  configuration.CreateMap&lt;CreateOrEditInvCkdPartListDto, InvCkdPartList&gt;();</v>
      </c>
      <c r="V7" s="26"/>
      <c r="W7" s="26"/>
    </row>
    <row r="8" spans="1:26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3">
      <c r="A9" t="s">
        <v>359</v>
      </c>
      <c r="B9" t="s">
        <v>360</v>
      </c>
      <c r="C9" t="s">
        <v>1</v>
      </c>
      <c r="D9" t="str">
        <f t="shared" ref="D9:D10" si="0">SUBSTITUTE(PROPER(A9),"_","")</f>
        <v>PartNo</v>
      </c>
      <c r="E9" t="str">
        <f t="shared" ref="E9:E10" si="1">IFERROR(LEFT(B9, FIND("(",B9)-1),B9)</f>
        <v>varchar</v>
      </c>
      <c r="F9" s="6"/>
      <c r="G9" t="str">
        <f t="shared" ref="G9:G10" si="2">IFERROR(MID(B9,FIND("(",B9) +1, FIND(")",B9) - FIND("(",B9) - 1),"")</f>
        <v>50</v>
      </c>
      <c r="H9" t="str">
        <f>+VLOOKUP(E9,'Data Type Mapping'!A:B,2,)</f>
        <v>string</v>
      </c>
      <c r="I9" t="str">
        <f t="shared" ref="I9:I10" si="3">IF(H9="string",REPT(CHAR(9),2)&amp;"public const int Max"&amp;D9&amp;"Length = "&amp;G9&amp;";"&amp;$E$3,"" )</f>
        <v xml:space="preserve">		public const int MaxPartNoLength = 50;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:L10" si="5">IF(K9="","",REPT(CHAR(9),1)&amp;"[Index(nameof("&amp;IF(D9="","",""&amp;D9)&amp;")"&amp;", Name="&amp;"""IX_"&amp;$B$7&amp;"_"&amp;D9&amp;""")]")</f>
        <v/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[StringLength(InvCkdPartListConsts.MaxPartNoLength)]
		public virtual string PartNo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:P10" si="9">REPT(CHAR(9),7)&amp;D9&amp;" = o." &amp;D9 &amp;","</f>
        <v xml:space="preserve">							PartNo = o.PartNo,</v>
      </c>
      <c r="T9" s="64" t="str">
        <f t="shared" ref="T9:T10" si="10">REPT(CHAR(9),8)&amp;"("""&amp;D9&amp;"""),"</f>
        <v xml:space="preserve">								("PartNo"),</v>
      </c>
      <c r="V9" s="65" t="str">
        <f t="shared" ref="V9:V10" si="11">REPT(CHAR(9),8)&amp;"_ =&gt; _."&amp;D9&amp;","</f>
        <v xml:space="preserve">								_ =&gt; _.PartNo,</v>
      </c>
      <c r="W9" s="64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  <c r="X9" t="str">
        <f>IF(E9="VARCHAR","Char",(IF(E9="DATE","Date","Number")))</f>
        <v>Char</v>
      </c>
      <c r="Y9" t="str">
        <f>IF(X9="Char","Left",IF(X9="Date","Center","Right"))</f>
        <v>Left</v>
      </c>
      <c r="Z9" t="str">
        <f>IF(X9="Char","",IF(X9="Date","DD/MM/YYYY",IF(H9="decimal?","#,###.####","#,###")))</f>
        <v/>
      </c>
    </row>
    <row r="10" spans="1:26" customFormat="1" ht="18.75" customHeight="1" x14ac:dyDescent="0.3">
      <c r="A10" t="s">
        <v>365</v>
      </c>
      <c r="B10" t="s">
        <v>352</v>
      </c>
      <c r="C10" t="s">
        <v>1</v>
      </c>
      <c r="D10" t="str">
        <f t="shared" si="0"/>
        <v>PartNoNormalized</v>
      </c>
      <c r="E10" t="str">
        <f t="shared" si="1"/>
        <v>varchar</v>
      </c>
      <c r="F10" s="6"/>
      <c r="G10" t="str">
        <f t="shared" si="2"/>
        <v>10</v>
      </c>
      <c r="H10" t="str">
        <f>+VLOOKUP(E10,'Data Type Mapping'!A:B,2,)</f>
        <v>string</v>
      </c>
      <c r="I10" t="str">
        <f t="shared" si="3"/>
        <v xml:space="preserve">		public const int MaxPartNoNormalizedLength = 10;
</v>
      </c>
      <c r="J10" t="str">
        <f t="shared" si="4"/>
        <v xml:space="preserve">		[StringLength(MaxPartNoNormalizedLength)]
		public virtual string PartNoNormalized { get; set; }
</v>
      </c>
      <c r="K10" s="6"/>
      <c r="L10" t="str">
        <f t="shared" si="5"/>
        <v/>
      </c>
      <c r="M10" t="str">
        <f t="shared" si="6"/>
        <v xml:space="preserve">		public virtual string PartNoNormalized { get; set; }
</v>
      </c>
      <c r="N10" t="str">
        <f t="shared" si="7"/>
        <v xml:space="preserve">		[StringLength(InvCkdPartListConsts.MaxPartNoNormalizedLength)]
		public virtual string PartNoNormalized { get; set; }
</v>
      </c>
      <c r="O10" t="str">
        <f t="shared" si="8"/>
        <v xml:space="preserve">		public virtual string PartNoNormalized { get; set; }
</v>
      </c>
      <c r="P10" t="str">
        <f t="shared" si="9"/>
        <v xml:space="preserve">							PartNoNormalized = o.PartNoNormalized,</v>
      </c>
      <c r="T10" s="64" t="str">
        <f t="shared" si="10"/>
        <v xml:space="preserve">								("PartNoNormalized"),</v>
      </c>
      <c r="V10" s="65" t="str">
        <f t="shared" si="11"/>
        <v xml:space="preserve">								_ =&gt; _.PartNoNormalized,</v>
      </c>
      <c r="W10" s="64" t="str">
        <f t="shared" si="12"/>
        <v xml:space="preserve">				.WhereIf(!string.IsNullOrWhiteSpace(input.PartNoNormalized), e =&gt; e.PartNoNormalized.Contains(input.PartNoNormalized))</v>
      </c>
      <c r="X10" t="str">
        <f t="shared" ref="X10" si="13">IF(E10="VARCHAR","Char",(IF(E10="DATE","Date","Number")))</f>
        <v>Char</v>
      </c>
      <c r="Y10" t="str">
        <f t="shared" ref="Y10" si="14">IF(X10="Char","Left",IF(X10="Date","Center","Right"))</f>
        <v>Left</v>
      </c>
      <c r="Z10" t="str">
        <f t="shared" ref="Z10" si="15">IF(X10="Char","",IF(X10="Date","DD/MM/YYYY",IF(H10="decimal?","#,###.####","#,###")))</f>
        <v/>
      </c>
    </row>
    <row r="11" spans="1:26" customFormat="1" ht="18.75" customHeight="1" x14ac:dyDescent="0.3">
      <c r="A11" t="s">
        <v>364</v>
      </c>
      <c r="B11" t="s">
        <v>352</v>
      </c>
      <c r="C11" t="s">
        <v>1</v>
      </c>
      <c r="D11" t="str">
        <f t="shared" ref="D11:D12" si="16">SUBSTITUTE(PROPER(A11),"_","")</f>
        <v>PartName</v>
      </c>
      <c r="E11" t="str">
        <f t="shared" ref="E11:E12" si="17">IFERROR(LEFT(B11, FIND("(",B11)-1),B11)</f>
        <v>varchar</v>
      </c>
      <c r="F11" s="6"/>
      <c r="G11" t="str">
        <f t="shared" ref="G11:G12" si="18">IFERROR(MID(B11,FIND("(",B11) +1, FIND(")",B11) - FIND("(",B11) - 1),"")</f>
        <v>10</v>
      </c>
      <c r="H11" t="str">
        <f>+VLOOKUP(E11,'Data Type Mapping'!A:B,2,)</f>
        <v>string</v>
      </c>
      <c r="I11" t="str">
        <f t="shared" ref="I11:I12" si="19">IF(H11="string",REPT(CHAR(9),2)&amp;"public const int Max"&amp;D11&amp;"Length = "&amp;G11&amp;";"&amp;$E$3,"" )</f>
        <v xml:space="preserve">		public const int MaxPartNameLength = 10;
</v>
      </c>
      <c r="J11" t="str">
        <f t="shared" ref="J11:J12" si="2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[StringLength(MaxPartNameLength)]
		public virtual string PartName { get; set; }
</v>
      </c>
      <c r="K11" s="6"/>
      <c r="L11" t="str">
        <f t="shared" ref="L11:L12" si="21">IF(K11="","",REPT(CHAR(9),1)&amp;"[Index(nameof("&amp;IF(D11="","",""&amp;D11)&amp;")"&amp;", Name="&amp;"""IX_"&amp;$B$7&amp;"_"&amp;D11&amp;""")]")</f>
        <v/>
      </c>
      <c r="M11" t="str">
        <f t="shared" ref="M11:M12" si="22">REPT(CHAR(9),2)&amp;"public virtual "&amp;IF(OR(H11="DateTime",H11="TimeSpan"),H11&amp;"?",H11)&amp;IF(C11="?","? "," ")&amp;D11&amp;" { get; set; }" &amp; "
"</f>
        <v xml:space="preserve">		public virtual string PartName { get; set; }
</v>
      </c>
      <c r="N11" t="str">
        <f t="shared" ref="N11:N12" si="2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[StringLength(InvCkdPartListConsts.MaxPartNameLength)]
		public virtual string PartName { get; set; }
</v>
      </c>
      <c r="O11" t="str">
        <f t="shared" ref="O11:O12" si="24">IF(OR(H11="string",H11="DateTime",H11="int"),REPT(CHAR(9),2)&amp;"public virtual "&amp;IF(OR(H11="DateTime",H11="TimeSpan"),H11&amp;"?",H11)&amp;IF(C11="?","? "," ")&amp;D11&amp;" { get; set; }"&amp;$E$3,"")</f>
        <v xml:space="preserve">		public virtual string PartName { get; set; }
</v>
      </c>
      <c r="P11" t="str">
        <f t="shared" ref="P11:P12" si="25">REPT(CHAR(9),7)&amp;D11&amp;" = o." &amp;D11 &amp;","</f>
        <v xml:space="preserve">							PartName = o.PartName,</v>
      </c>
      <c r="T11" s="64" t="str">
        <f t="shared" ref="T11:T12" si="26">REPT(CHAR(9),8)&amp;"("""&amp;D11&amp;"""),"</f>
        <v xml:space="preserve">								("PartName"),</v>
      </c>
      <c r="V11" s="65" t="str">
        <f t="shared" ref="V11:V12" si="27">REPT(CHAR(9),8)&amp;"_ =&gt; _."&amp;D11&amp;","</f>
        <v xml:space="preserve">								_ =&gt; _.PartName,</v>
      </c>
      <c r="W11" s="64" t="str">
        <f t="shared" ref="W11:W12" si="2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.WhereIf(!string.IsNullOrWhiteSpace(input.PartName), e =&gt; e.PartName.Contains(input.PartName))</v>
      </c>
      <c r="X11" t="str">
        <f t="shared" ref="X11:X17" si="29">IF(E11="VARCHAR","Char",(IF(E11="DATE","Date","Number")))</f>
        <v>Char</v>
      </c>
      <c r="Y11" t="str">
        <f t="shared" ref="Y11:Y17" si="30">IF(X11="Char","Left",IF(X11="Date","Center","Right"))</f>
        <v>Left</v>
      </c>
      <c r="Z11" t="str">
        <f t="shared" ref="Z11:Z17" si="31">IF(X11="Char","",IF(X11="Date","DD/MM/YYYY",IF(H11="decimal?","#,###.####","#,###")))</f>
        <v/>
      </c>
    </row>
    <row r="12" spans="1:26" customFormat="1" ht="18.75" customHeight="1" x14ac:dyDescent="0.3">
      <c r="A12" t="s">
        <v>351</v>
      </c>
      <c r="B12" t="s">
        <v>360</v>
      </c>
      <c r="C12" t="s">
        <v>1</v>
      </c>
      <c r="D12" t="str">
        <f t="shared" si="16"/>
        <v>SupplierNo</v>
      </c>
      <c r="E12" t="str">
        <f t="shared" si="17"/>
        <v>varchar</v>
      </c>
      <c r="F12" s="6"/>
      <c r="G12" t="str">
        <f t="shared" si="18"/>
        <v>50</v>
      </c>
      <c r="H12" t="str">
        <f>+VLOOKUP(E12,'Data Type Mapping'!A:B,2,)</f>
        <v>string</v>
      </c>
      <c r="I12" t="str">
        <f t="shared" si="19"/>
        <v xml:space="preserve">		public const int MaxSupplierNoLength = 50;
</v>
      </c>
      <c r="J12" t="str">
        <f t="shared" si="20"/>
        <v xml:space="preserve">		[StringLength(MaxSupplierNoLength)]
		public virtual string SupplierNo { get; set; }
</v>
      </c>
      <c r="K12" s="6"/>
      <c r="L12" t="str">
        <f t="shared" si="21"/>
        <v/>
      </c>
      <c r="M12" t="str">
        <f t="shared" si="22"/>
        <v xml:space="preserve">		public virtual string SupplierNo { get; set; }
</v>
      </c>
      <c r="N12" t="str">
        <f t="shared" si="23"/>
        <v xml:space="preserve">		[StringLength(InvCkdPartListConsts.MaxSupplierNoLength)]
		public virtual string SupplierNo { get; set; }
</v>
      </c>
      <c r="O12" t="str">
        <f t="shared" si="24"/>
        <v xml:space="preserve">		public virtual string SupplierNo { get; set; }
</v>
      </c>
      <c r="P12" t="str">
        <f t="shared" si="25"/>
        <v xml:space="preserve">							SupplierNo = o.SupplierNo,</v>
      </c>
      <c r="T12" s="64" t="str">
        <f t="shared" si="26"/>
        <v xml:space="preserve">								("SupplierNo"),</v>
      </c>
      <c r="V12" s="65" t="str">
        <f t="shared" si="27"/>
        <v xml:space="preserve">								_ =&gt; _.SupplierNo,</v>
      </c>
      <c r="W12" s="64" t="str">
        <f t="shared" si="28"/>
        <v xml:space="preserve">				.WhereIf(!string.IsNullOrWhiteSpace(input.SupplierNo), e =&gt; e.SupplierNo.Contains(input.SupplierNo))</v>
      </c>
      <c r="X12" t="str">
        <f t="shared" si="29"/>
        <v>Char</v>
      </c>
      <c r="Y12" t="str">
        <f t="shared" si="30"/>
        <v>Left</v>
      </c>
      <c r="Z12" t="str">
        <f t="shared" si="31"/>
        <v/>
      </c>
    </row>
    <row r="13" spans="1:26" customFormat="1" ht="18.75" customHeight="1" x14ac:dyDescent="0.3">
      <c r="A13" t="s">
        <v>366</v>
      </c>
      <c r="B13" t="s">
        <v>360</v>
      </c>
      <c r="C13" t="s">
        <v>1</v>
      </c>
      <c r="D13" t="str">
        <f t="shared" ref="D13:D16" si="32">SUBSTITUTE(PROPER(A13),"_","")</f>
        <v>SupplierCd</v>
      </c>
      <c r="E13" t="str">
        <f t="shared" ref="E13:E16" si="33">IFERROR(LEFT(B13, FIND("(",B13)-1),B13)</f>
        <v>varchar</v>
      </c>
      <c r="F13" s="6"/>
      <c r="G13" t="str">
        <f t="shared" ref="G13:G16" si="34">IFERROR(MID(B13,FIND("(",B13) +1, FIND(")",B13) - FIND("(",B13) - 1),"")</f>
        <v>50</v>
      </c>
      <c r="H13" t="str">
        <f>+VLOOKUP(E13,'Data Type Mapping'!A:B,2,)</f>
        <v>string</v>
      </c>
      <c r="I13" t="str">
        <f t="shared" ref="I13:I16" si="35">IF(H13="string",REPT(CHAR(9),2)&amp;"public const int Max"&amp;D13&amp;"Length = "&amp;G13&amp;";"&amp;$E$3,"" )</f>
        <v xml:space="preserve">		public const int MaxSupplierCdLength = 50;
</v>
      </c>
      <c r="J13" t="str">
        <f t="shared" ref="J13:J16" si="36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[StringLength(MaxSupplierCdLength)]
		public virtual string SupplierCd { get; set; }
</v>
      </c>
      <c r="K13" s="6"/>
      <c r="L13" t="str">
        <f t="shared" ref="L13:L16" si="37">IF(K13="","",REPT(CHAR(9),1)&amp;"[Index(nameof("&amp;IF(D13="","",""&amp;D13)&amp;")"&amp;", Name="&amp;"""IX_"&amp;$B$7&amp;"_"&amp;D13&amp;""")]")</f>
        <v/>
      </c>
      <c r="M13" t="str">
        <f t="shared" ref="M13:M16" si="38">REPT(CHAR(9),2)&amp;"public virtual "&amp;IF(OR(H13="DateTime",H13="TimeSpan"),H13&amp;"?",H13)&amp;IF(C13="?","? "," ")&amp;D13&amp;" { get; set; }" &amp; "
"</f>
        <v xml:space="preserve">		public virtual string SupplierCd { get; set; }
</v>
      </c>
      <c r="N13" t="str">
        <f t="shared" ref="N13:N16" si="39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[StringLength(InvCkdPartListConsts.MaxSupplierCdLength)]
		public virtual string SupplierCd { get; set; }
</v>
      </c>
      <c r="O13" t="str">
        <f t="shared" ref="O13:O16" si="40">IF(OR(H13="string",H13="DateTime",H13="int"),REPT(CHAR(9),2)&amp;"public virtual "&amp;IF(OR(H13="DateTime",H13="TimeSpan"),H13&amp;"?",H13)&amp;IF(C13="?","? "," ")&amp;D13&amp;" { get; set; }"&amp;$E$3,"")</f>
        <v xml:space="preserve">		public virtual string SupplierCd { get; set; }
</v>
      </c>
      <c r="P13" t="str">
        <f t="shared" ref="P13:P16" si="41">REPT(CHAR(9),7)&amp;D13&amp;" = o." &amp;D13 &amp;","</f>
        <v xml:space="preserve">							SupplierCd = o.SupplierCd,</v>
      </c>
      <c r="T13" s="64" t="str">
        <f t="shared" ref="T13:T16" si="42">REPT(CHAR(9),8)&amp;"("""&amp;D13&amp;"""),"</f>
        <v xml:space="preserve">								("SupplierCd"),</v>
      </c>
      <c r="V13" s="65" t="str">
        <f t="shared" ref="V13:V16" si="43">REPT(CHAR(9),8)&amp;"_ =&gt; _."&amp;D13&amp;","</f>
        <v xml:space="preserve">								_ =&gt; _.SupplierCd,</v>
      </c>
      <c r="W13" s="64" t="str">
        <f t="shared" ref="W13:W16" si="44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.WhereIf(!string.IsNullOrWhiteSpace(input.SupplierCd), e =&gt; e.SupplierCd.Contains(input.SupplierCd))</v>
      </c>
      <c r="X13" t="str">
        <f t="shared" si="29"/>
        <v>Char</v>
      </c>
      <c r="Y13" t="str">
        <f t="shared" si="30"/>
        <v>Left</v>
      </c>
      <c r="Z13" t="str">
        <f t="shared" si="31"/>
        <v/>
      </c>
    </row>
    <row r="14" spans="1:26" customFormat="1" ht="18.75" customHeight="1" x14ac:dyDescent="0.3">
      <c r="A14" t="s">
        <v>367</v>
      </c>
      <c r="B14" t="s">
        <v>352</v>
      </c>
      <c r="C14" t="s">
        <v>1</v>
      </c>
      <c r="D14" t="str">
        <f t="shared" si="32"/>
        <v>ColorSfx</v>
      </c>
      <c r="E14" t="str">
        <f t="shared" si="33"/>
        <v>varchar</v>
      </c>
      <c r="F14" s="6"/>
      <c r="G14" t="str">
        <f t="shared" si="34"/>
        <v>10</v>
      </c>
      <c r="H14" t="str">
        <f>+VLOOKUP(E14,'Data Type Mapping'!A:B,2,)</f>
        <v>string</v>
      </c>
      <c r="I14" t="str">
        <f t="shared" si="35"/>
        <v xml:space="preserve">		public const int MaxColorSfxLength = 10;
</v>
      </c>
      <c r="J14" t="str">
        <f t="shared" si="36"/>
        <v xml:space="preserve">		[StringLength(MaxColorSfxLength)]
		public virtual string ColorSfx { get; set; }
</v>
      </c>
      <c r="K14" s="6"/>
      <c r="L14" t="str">
        <f t="shared" si="37"/>
        <v/>
      </c>
      <c r="M14" t="str">
        <f t="shared" si="38"/>
        <v xml:space="preserve">		public virtual string ColorSfx { get; set; }
</v>
      </c>
      <c r="N14" t="str">
        <f t="shared" si="39"/>
        <v xml:space="preserve">		[StringLength(InvCkdPartListConsts.MaxColorSfxLength)]
		public virtual string ColorSfx { get; set; }
</v>
      </c>
      <c r="O14" t="str">
        <f t="shared" si="40"/>
        <v xml:space="preserve">		public virtual string ColorSfx { get; set; }
</v>
      </c>
      <c r="P14" t="str">
        <f t="shared" si="41"/>
        <v xml:space="preserve">							ColorSfx = o.ColorSfx,</v>
      </c>
      <c r="T14" s="64" t="str">
        <f t="shared" si="42"/>
        <v xml:space="preserve">								("ColorSfx"),</v>
      </c>
      <c r="V14" s="65" t="str">
        <f t="shared" si="43"/>
        <v xml:space="preserve">								_ =&gt; _.ColorSfx,</v>
      </c>
      <c r="W14" s="64" t="str">
        <f t="shared" si="44"/>
        <v xml:space="preserve">				.WhereIf(!string.IsNullOrWhiteSpace(input.ColorSfx), e =&gt; e.ColorSfx.Contains(input.ColorSfx))</v>
      </c>
      <c r="X14" t="str">
        <f t="shared" si="29"/>
        <v>Char</v>
      </c>
      <c r="Y14" t="str">
        <f t="shared" si="30"/>
        <v>Left</v>
      </c>
      <c r="Z14" t="str">
        <f t="shared" si="31"/>
        <v/>
      </c>
    </row>
    <row r="15" spans="1:26" customFormat="1" ht="18.75" customHeight="1" x14ac:dyDescent="0.3">
      <c r="A15" t="s">
        <v>368</v>
      </c>
      <c r="B15" t="s">
        <v>369</v>
      </c>
      <c r="C15" t="s">
        <v>1</v>
      </c>
      <c r="D15" t="str">
        <f t="shared" ref="D15" si="45">SUBSTITUTE(PROPER(A15),"_","")</f>
        <v>SupplierId</v>
      </c>
      <c r="E15" t="str">
        <f t="shared" ref="E15" si="46">IFERROR(LEFT(B15, FIND("(",B15)-1),B15)</f>
        <v>Bigint</v>
      </c>
      <c r="F15" s="6"/>
      <c r="G15" t="str">
        <f t="shared" ref="G15" si="47">IFERROR(MID(B15,FIND("(",B15) +1, FIND(")",B15) - FIND("(",B15) - 1),"")</f>
        <v/>
      </c>
      <c r="H15" t="str">
        <f>+VLOOKUP(E15,'Data Type Mapping'!A:B,2,)</f>
        <v>long?</v>
      </c>
      <c r="I15" t="str">
        <f t="shared" ref="I15" si="48">IF(H15="string",REPT(CHAR(9),2)&amp;"public const int Max"&amp;D15&amp;"Length = "&amp;G15&amp;";"&amp;$E$3,"" )</f>
        <v/>
      </c>
      <c r="J15" t="str">
        <f t="shared" ref="J15" si="49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long? SupplierId { get; set; }
</v>
      </c>
      <c r="K15" s="6"/>
      <c r="L15" t="str">
        <f t="shared" ref="L15" si="50">IF(K15="","",REPT(CHAR(9),1)&amp;"[Index(nameof("&amp;IF(D15="","",""&amp;D15)&amp;")"&amp;", Name="&amp;"""IX_"&amp;$B$7&amp;"_"&amp;D15&amp;""")]")</f>
        <v/>
      </c>
      <c r="M15" t="str">
        <f t="shared" ref="M15" si="51">REPT(CHAR(9),2)&amp;"public virtual "&amp;IF(OR(H15="DateTime",H15="TimeSpan"),H15&amp;"?",H15)&amp;IF(C15="?","? "," ")&amp;D15&amp;" { get; set; }" &amp; "
"</f>
        <v xml:space="preserve">		public virtual long? SupplierId { get; set; }
</v>
      </c>
      <c r="N15" t="str">
        <f t="shared" ref="N15" si="52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long? SupplierId { get; set; }
</v>
      </c>
      <c r="O15" t="str">
        <f t="shared" ref="O15" si="53">IF(OR(H15="string",H15="DateTime",H15="int"),REPT(CHAR(9),2)&amp;"public virtual "&amp;IF(OR(H15="DateTime",H15="TimeSpan"),H15&amp;"?",H15)&amp;IF(C15="?","? "," ")&amp;D15&amp;" { get; set; }"&amp;$E$3,"")</f>
        <v/>
      </c>
      <c r="P15" t="str">
        <f t="shared" ref="P15" si="54">REPT(CHAR(9),7)&amp;D15&amp;" = o." &amp;D15 &amp;","</f>
        <v xml:space="preserve">							SupplierId = o.SupplierId,</v>
      </c>
      <c r="T15" s="64" t="str">
        <f t="shared" ref="T15" si="55">REPT(CHAR(9),8)&amp;"("""&amp;D15&amp;"""),"</f>
        <v xml:space="preserve">								("SupplierId"),</v>
      </c>
      <c r="V15" s="65" t="str">
        <f t="shared" ref="V15" si="56">REPT(CHAR(9),8)&amp;"_ =&gt; _."&amp;D15&amp;","</f>
        <v xml:space="preserve">								_ =&gt; _.SupplierId,</v>
      </c>
      <c r="W15" s="64" t="str">
        <f t="shared" ref="W15" si="57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  <c r="X15" t="str">
        <f t="shared" ref="X15" si="58">IF(E15="VARCHAR","Char",(IF(E15="DATE","Date","Number")))</f>
        <v>Number</v>
      </c>
      <c r="Y15" t="str">
        <f t="shared" ref="Y15" si="59">IF(X15="Char","Left",IF(X15="Date","Center","Right"))</f>
        <v>Right</v>
      </c>
      <c r="Z15" t="str">
        <f t="shared" ref="Z15" si="60">IF(X15="Char","",IF(X15="Date","DD/MM/YYYY",IF(H15="decimal?","#,###.####","#,###")))</f>
        <v>#,###</v>
      </c>
    </row>
    <row r="16" spans="1:26" customFormat="1" ht="18.75" customHeight="1" x14ac:dyDescent="0.3">
      <c r="A16" t="s">
        <v>370</v>
      </c>
      <c r="B16" t="s">
        <v>369</v>
      </c>
      <c r="C16" t="s">
        <v>1</v>
      </c>
      <c r="D16" t="str">
        <f t="shared" si="32"/>
        <v>MaterialId</v>
      </c>
      <c r="E16" t="str">
        <f t="shared" si="33"/>
        <v>Bigint</v>
      </c>
      <c r="F16" s="6"/>
      <c r="G16" t="str">
        <f t="shared" si="34"/>
        <v/>
      </c>
      <c r="H16" t="str">
        <f>+VLOOKUP(E16,'Data Type Mapping'!A:B,2,)</f>
        <v>long?</v>
      </c>
      <c r="I16" t="str">
        <f t="shared" si="35"/>
        <v/>
      </c>
      <c r="J16" t="str">
        <f t="shared" si="36"/>
        <v xml:space="preserve">		public virtual long? MaterialId { get; set; }
</v>
      </c>
      <c r="K16" s="6"/>
      <c r="L16" t="str">
        <f t="shared" si="37"/>
        <v/>
      </c>
      <c r="M16" t="str">
        <f t="shared" si="38"/>
        <v xml:space="preserve">		public virtual long? MaterialId { get; set; }
</v>
      </c>
      <c r="N16" t="str">
        <f t="shared" si="39"/>
        <v xml:space="preserve">		public virtual long? MaterialId { get; set; }
</v>
      </c>
      <c r="O16" t="str">
        <f t="shared" si="40"/>
        <v/>
      </c>
      <c r="P16" t="str">
        <f t="shared" si="41"/>
        <v xml:space="preserve">							MaterialId = o.MaterialId,</v>
      </c>
      <c r="T16" s="64" t="str">
        <f t="shared" si="42"/>
        <v xml:space="preserve">								("MaterialId"),</v>
      </c>
      <c r="V16" s="65" t="str">
        <f t="shared" si="43"/>
        <v xml:space="preserve">								_ =&gt; _.MaterialId,</v>
      </c>
      <c r="W16" s="64" t="str">
        <f t="shared" si="44"/>
        <v/>
      </c>
      <c r="X16" t="str">
        <f t="shared" si="29"/>
        <v>Number</v>
      </c>
      <c r="Y16" t="str">
        <f t="shared" si="30"/>
        <v>Right</v>
      </c>
      <c r="Z16" t="str">
        <f t="shared" si="31"/>
        <v>#,###</v>
      </c>
    </row>
    <row r="17" spans="1:26" customFormat="1" ht="22.5" customHeight="1" x14ac:dyDescent="0.3">
      <c r="A17" t="s">
        <v>319</v>
      </c>
      <c r="B17" t="s">
        <v>320</v>
      </c>
      <c r="C17" t="s">
        <v>1</v>
      </c>
      <c r="D17" t="str">
        <f>SUBSTITUTE(PROPER(A17),"_","")</f>
        <v>IsActive</v>
      </c>
      <c r="E17" t="str">
        <f t="shared" ref="E17" si="61">IFERROR(LEFT(B17, FIND("(",B17)-1),B17)</f>
        <v>varchar</v>
      </c>
      <c r="F17" s="6"/>
      <c r="G17" t="str">
        <f t="shared" ref="G17" si="62">IFERROR(MID(B17,FIND("(",B17) +1, FIND(")",B17) - FIND("(",B17) - 1),"")</f>
        <v>1</v>
      </c>
      <c r="H17" t="str">
        <f>+VLOOKUP(E17,'Data Type Mapping'!A:B,2,)</f>
        <v>string</v>
      </c>
      <c r="I17" t="str">
        <f t="shared" ref="I17" si="63">IF(H17="string",REPT(CHAR(9),2)&amp;"public const int Max"&amp;D17&amp;"Length = "&amp;G17&amp;";"&amp;$E$3,"" )</f>
        <v xml:space="preserve">		public const int MaxIsActiveLength = 1;
</v>
      </c>
      <c r="J17" t="str">
        <f t="shared" ref="J17" si="64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[StringLength(MaxIsActiveLength)]
		public virtual string IsActive { get; set; }
</v>
      </c>
      <c r="K17" s="6"/>
      <c r="L17" t="str">
        <f>IF(K17="","",REPT(CHAR(9),1)&amp;"[Index(nameof("&amp;IF(D17="","",""&amp;D17)&amp;")"&amp;", Name="&amp;"""IX_"&amp;$B$7&amp;"_"&amp;D17&amp;""")]")</f>
        <v/>
      </c>
      <c r="M17" t="str">
        <f t="shared" ref="M17" si="65">REPT(CHAR(9),2)&amp;"public virtual "&amp;IF(OR(H17="DateTime",H17="TimeSpan"),H17&amp;"?",H17)&amp;IF(C17="?","? "," ")&amp;D17&amp;" { get; set; }" &amp; "
"</f>
        <v xml:space="preserve">		public virtual string IsActive { get; set; }
</v>
      </c>
      <c r="N17" t="str">
        <f t="shared" ref="N17" si="66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[StringLength(InvCkdPartListConsts.MaxIsActiveLength)]
		public virtual string IsActive { get; set; }
</v>
      </c>
      <c r="O17" t="str">
        <f t="shared" ref="O17" si="67">IF(OR(H17="string",H17="DateTime",H17="int"),REPT(CHAR(9),2)&amp;"public virtual "&amp;IF(OR(H17="DateTime",H17="TimeSpan"),H17&amp;"?",H17)&amp;IF(C17="?","? "," ")&amp;D17&amp;" { get; set; }"&amp;$E$3,"")</f>
        <v xml:space="preserve">		public virtual string IsActive { get; set; }
</v>
      </c>
      <c r="P17" t="str">
        <f t="shared" ref="P17" si="68">REPT(CHAR(9),7)&amp;D17&amp;" = o." &amp;D17 &amp;","</f>
        <v xml:space="preserve">							IsActive = o.IsActive,</v>
      </c>
      <c r="T17" s="64" t="str">
        <f t="shared" ref="T17" si="69">REPT(CHAR(9),8)&amp;"("""&amp;D17&amp;"""),"</f>
        <v xml:space="preserve">								("IsActive"),</v>
      </c>
      <c r="V17" s="65" t="str">
        <f t="shared" ref="V17" si="70">REPT(CHAR(9),8)&amp;"_ =&gt; _."&amp;D17&amp;","</f>
        <v xml:space="preserve">								_ =&gt; _.IsActive,</v>
      </c>
      <c r="W17" s="64" t="str">
        <f t="shared" ref="W17" si="71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.WhereIf(!string.IsNullOrWhiteSpace(input.IsActive), e =&gt; e.IsActive.Contains(input.IsActive))</v>
      </c>
      <c r="X17" t="str">
        <f t="shared" si="29"/>
        <v>Char</v>
      </c>
      <c r="Y17" t="str">
        <f t="shared" si="30"/>
        <v>Left</v>
      </c>
      <c r="Z17" t="str">
        <f t="shared" si="31"/>
        <v/>
      </c>
    </row>
    <row r="19" spans="1:26" ht="45.75" customHeight="1" x14ac:dyDescent="0.3">
      <c r="H19" s="11"/>
      <c r="I19" s="31" t="e">
        <f ca="1">TEXTJOIN2("
", TRUE,INDIRECT( $H$1):INDIRECT( $H$3))</f>
        <v>#NAME?</v>
      </c>
      <c r="J19" s="30" t="e">
        <f ca="1">TEXTJOIN2("
", TRUE,INDIRECT( $F$1):INDIRECT( $F$3))</f>
        <v>#NAME?</v>
      </c>
      <c r="K19" s="32" t="e">
        <f ca="1">TEXTJOIN2("
", TRUE,INDIRECT( $J$1):INDIRECT( $J$3))</f>
        <v>#NAME?</v>
      </c>
      <c r="L19" s="12" t="s">
        <v>57</v>
      </c>
      <c r="M19" s="33" t="e">
        <f ca="1">TEXTJOIN2("
",TRUE,INDIRECT( $L$1):INDIRECT($L$3))</f>
        <v>#NAME?</v>
      </c>
      <c r="N19" s="30" t="e">
        <f ca="1">TEXTJOIN2("
",TRUE,INDIRECT( $M$1):INDIRECT($M$3))</f>
        <v>#NAME?</v>
      </c>
      <c r="O19" s="30" t="e">
        <f ca="1">TEXTJOIN2("
",TRUE,INDIRECT( $N$1):INDIRECT($N$3))</f>
        <v>#NAME?</v>
      </c>
      <c r="P19" s="8" t="e">
        <f ca="1">TEXTJOIN2("
",TRUE,INDIRECT( $O$1):INDIRECT($O$3))</f>
        <v>#NAME?</v>
      </c>
      <c r="T19" s="8" t="e">
        <f ca="1">TEXTJOIN2("
",TRUE,INDIRECT( $T$2):INDIRECT($T$3))</f>
        <v>#NAME?</v>
      </c>
      <c r="V19" s="8" t="e">
        <f ca="1">TEXTJOIN2("
",TRUE,INDIRECT( $V$2):INDIRECT($V$3))</f>
        <v>#NAME?</v>
      </c>
      <c r="W19" s="8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5"/>
  <sheetViews>
    <sheetView workbookViewId="0">
      <selection activeCell="A15" sqref="A15:A22"/>
    </sheetView>
  </sheetViews>
  <sheetFormatPr defaultColWidth="8.88671875" defaultRowHeight="14.4" x14ac:dyDescent="0.3"/>
  <cols>
    <col min="1" max="1" width="17.6640625" customWidth="1"/>
    <col min="2" max="2" width="15.44140625" customWidth="1"/>
    <col min="3" max="3" width="16.88671875" customWidth="1"/>
    <col min="4" max="7" width="15.109375" customWidth="1"/>
    <col min="8" max="8" width="24.44140625" customWidth="1"/>
    <col min="9" max="9" width="26.109375" customWidth="1"/>
    <col min="10" max="10" width="22.33203125" customWidth="1"/>
    <col min="11" max="11" width="25.88671875" customWidth="1"/>
    <col min="12" max="12" width="23.6640625" customWidth="1"/>
    <col min="13" max="13" width="23.44140625" customWidth="1"/>
    <col min="14" max="15" width="20.44140625" customWidth="1"/>
    <col min="16" max="16" width="25.88671875" customWidth="1"/>
    <col min="17" max="18" width="25.44140625" customWidth="1"/>
    <col min="19" max="19" width="24" customWidth="1"/>
    <col min="20" max="20" width="19.109375" customWidth="1"/>
    <col min="21" max="21" width="19.88671875" customWidth="1"/>
    <col min="22" max="22" width="13.6640625" customWidth="1"/>
  </cols>
  <sheetData>
    <row r="1" spans="1:22" x14ac:dyDescent="0.3">
      <c r="A1" s="38" t="s">
        <v>208</v>
      </c>
      <c r="B1" s="39" t="s">
        <v>363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InvCkdPartList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PartList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partlist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5" t="e">
        <f ca="1">SUBSTITUTE(SUBSTITUTE(SUBSTITUTE(SUBSTITUTE(SUBSTITUTE(I9,"MstWptCalendar",$B$6),"Calendar",$B$7),"calendar",$B$8),"&lt;PROPERTIES&gt;",I13),"&lt;FULL_TITLE&gt;",B1)</f>
        <v>#NAME?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#NAME?</v>
      </c>
      <c r="L10" s="45" t="e">
        <f ca="1">SUBSTITUTE(SUBSTITUTE(SUBSTITUTE(SUBSTITUTE(SUBSTITUTE(L9,"MstWptCalendar",$B$6),"Calendar",$B$7),"calendar",$B$8),"&lt;VIEWDATETIME&gt;",$L$13),"isActive",$V$13)</f>
        <v>#NAME?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PartListRoutingModule } from './partlist-routing.module';
import { PartListComponent } from './partlist.component';
import { CreateOrEditPartListModalComponent } from './create-or-edit-partlist-modal.component';
@NgModule({
    declarations: [
       PartListComponent, 
        CreateOrEditPartListModalComponent
    ],
    imports: [
        AppSharedModule, PartListRoutingModule]
})
export class PartListModule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PartListComponent } from './partlist.component';
const routes: Routes = [{
    path: '',
    component: PartListComponent,
    pathMatch: 'full'
}];
@NgModule({
    imports: [RouterModule.forChild(routes)],
    exports: [RouterModule],
})
export class PartListRoutingModule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AppMenuItem("PartList", "Pages.Inventory.CKD.PartList", "flaticon-book",   "/app/main/inventory/ckd/partlist"),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'inventory/ckd/partlist',
    loadChildren: () =&gt; import('./inventory/ckd/partlist/partlist.module').then(m =&gt; m.PartListModule),
    data: { permission: 'Pages.Inventory.CKD.PartList' }
},</v>
      </c>
      <c r="R10" s="47" t="str">
        <f>SUBSTITUTE(R9,"MstWptCalendar",$B$6)</f>
        <v>ApiServiceProxies.InvCkdPartListServiceProxy,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H23</v>
      </c>
      <c r="I12" s="28" t="str">
        <f>"I"&amp;COUNTA($A:$A)</f>
        <v>I23</v>
      </c>
      <c r="J12" s="28"/>
      <c r="K12" s="28" t="str">
        <f>"K"&amp;COUNTA($A:$A)</f>
        <v>K23</v>
      </c>
      <c r="L12" s="28" t="str">
        <f>"L"&amp;COUNTA($A:$A)</f>
        <v>L23</v>
      </c>
      <c r="M12" s="28"/>
      <c r="N12" s="28"/>
      <c r="O12" s="28"/>
      <c r="P12" s="28"/>
      <c r="Q12" s="28"/>
      <c r="R12" s="28"/>
      <c r="S12" s="28" t="str">
        <f>"S"&amp;COUNTA($A:$A)</f>
        <v>S23</v>
      </c>
      <c r="T12" s="28" t="str">
        <f>"T"&amp;COUNTA($A:$A)</f>
        <v>T23</v>
      </c>
      <c r="U12" s="28" t="str">
        <f>"U"&amp;COUNTA($A:$A)</f>
        <v>U23</v>
      </c>
      <c r="V12" s="28" t="str">
        <f>"V"&amp;COUNTA($A:$A)</f>
        <v>V23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#NAME?</v>
      </c>
      <c r="I13" s="35" t="e">
        <f ca="1">TEXTJOIN2("
",TRUE,INDIRECT(I11):INDIRECT(I12))</f>
        <v>#NAME?</v>
      </c>
      <c r="J13" s="28"/>
      <c r="K13" s="35" t="e">
        <f ca="1">TEXTJOIN2("
",TRUE,INDIRECT(K11):INDIRECT(K12))</f>
        <v>#NAME?</v>
      </c>
      <c r="L13" s="56" t="e">
        <f ca="1">TEXTJOIN2("
",TRUE,INDIRECT(L11):INDIRECT(L12))</f>
        <v>#NAME?</v>
      </c>
      <c r="M13" s="28"/>
      <c r="N13" s="28"/>
      <c r="O13" s="28"/>
      <c r="P13" s="28"/>
      <c r="Q13" s="28"/>
      <c r="R13" s="28"/>
      <c r="S13" s="63" t="e">
        <f ca="1">TEXTJOIN2("
",TRUE,INDIRECT(S11):INDIRECT(S12))</f>
        <v>#NAME?</v>
      </c>
      <c r="T13" s="63" t="e">
        <f ca="1">TEXTJOIN2("
",TRUE,INDIRECT(T11):INDIRECT(T12))</f>
        <v>#NAME?</v>
      </c>
      <c r="U13" s="63" t="e">
        <f ca="1">TEXTJOIN2("
",TRUE,INDIRECT(U11):INDIRECT(U12))</f>
        <v>#NAME?</v>
      </c>
      <c r="V13" s="28" t="e">
        <f ca="1">TEXTJOIN2("
",TRUE,INDIRECT(V11):INDIRECT(V12))</f>
        <v>#NAME?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partlist.component.ts</v>
      </c>
      <c r="I14" s="37" t="str">
        <f>B8&amp;".component.html"</f>
        <v>partlist.component.html</v>
      </c>
      <c r="J14" s="36" t="str">
        <f>B8&amp;".component.less"</f>
        <v>partlist.component.less</v>
      </c>
      <c r="K14" s="37" t="str">
        <f>"create-or-edit-"&amp;B8&amp;"-modal.component.html"</f>
        <v>create-or-edit-partlist-modal.component.html</v>
      </c>
      <c r="L14" s="37" t="str">
        <f>"create-or-edit-"&amp;B8&amp;"-modal.component.ts"</f>
        <v>create-or-edit-partlist-modal.component.ts</v>
      </c>
      <c r="M14" s="37" t="str">
        <f>"create-or-edit-"&amp;B8&amp;"-modal.component.less"</f>
        <v>create-or-edit-partlist-modal.component.less</v>
      </c>
      <c r="N14" s="37" t="str">
        <f>B8&amp;".module.ts"</f>
        <v>partlist.module.ts</v>
      </c>
      <c r="O14" s="37" t="str">
        <f>B8&amp;"-routing.module.ts"</f>
        <v>partlist-routing.module.ts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359</v>
      </c>
      <c r="B15" s="28" t="str">
        <f t="shared" ref="B15:B19" si="0">SUBSTITUTE(PROPER(A15),"_","")</f>
        <v>PartNo</v>
      </c>
      <c r="C15" s="28" t="str">
        <f t="shared" ref="C15:C19" si="1">SUBSTITUTE(PROPER(A15),"_"," ")</f>
        <v>Part No</v>
      </c>
      <c r="D15" s="28" t="str">
        <f t="shared" ref="D15:D23" si="2">LOWER(LEFT(B15,1))&amp;RIGHT(B15,LEN(B15) - 1)</f>
        <v>partNo</v>
      </c>
      <c r="E15" s="28" t="str">
        <f>A.Backend!H9</f>
        <v>string</v>
      </c>
      <c r="F15" s="28" t="str">
        <f>A.Backend!G9</f>
        <v>50</v>
      </c>
      <c r="G15" s="28" t="str">
        <f t="shared" ref="G15:G23" si="3">IF(E15="string"," : string = '' ; ",IF(OR(E15="DateTime",E15="TimeSpan")," : any ;",IF(E15="int"," : number = 0 ;","")))</f>
        <v xml:space="preserve"> : string = '' ; </v>
      </c>
      <c r="H15" s="35" t="str">
        <f t="shared" ref="H15:H23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3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23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:L19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partNo : string = '' ; </v>
      </c>
      <c r="T15" s="28" t="str">
        <f>REPT(CHAR(9),3)&amp;"this."&amp;D15&amp;","</f>
        <v xml:space="preserve">			this.partNo,</v>
      </c>
      <c r="U15" s="28" t="str">
        <f>IF(E15="int",REPT(CHAR(9),2)&amp;"this."&amp;D15&amp;" = 0,",REPT(CHAR(9),2)&amp;"this."&amp;D15&amp;" = '',")</f>
        <v xml:space="preserve">		this.partNo = '',</v>
      </c>
      <c r="V15" s="28" t="str">
        <f t="shared" ref="V15:V19" si="8">IF(AND(E15="string",F15="1"),D15,"")</f>
        <v/>
      </c>
    </row>
    <row r="16" spans="1:22" ht="18" customHeight="1" x14ac:dyDescent="0.3">
      <c r="A16" t="s">
        <v>365</v>
      </c>
      <c r="B16" s="28" t="str">
        <f t="shared" ref="B16" si="9">SUBSTITUTE(PROPER(A16),"_","")</f>
        <v>PartNoNormalized</v>
      </c>
      <c r="C16" s="28" t="str">
        <f t="shared" ref="C16" si="10">SUBSTITUTE(PROPER(A16),"_"," ")</f>
        <v>Part No Normalized</v>
      </c>
      <c r="D16" s="28" t="str">
        <f t="shared" si="2"/>
        <v>partNoNormalized</v>
      </c>
      <c r="E16" s="28" t="str">
        <f>A.Backend!H10</f>
        <v>string</v>
      </c>
      <c r="F16" s="28" t="str">
        <f>A.Backend!G10</f>
        <v>10</v>
      </c>
      <c r="G16" s="28" t="str">
        <f t="shared" si="3"/>
        <v xml:space="preserve"> : string = '' ; </v>
      </c>
      <c r="H16" s="35" t="str">
        <f t="shared" si="4"/>
        <v xml:space="preserve">			{headerName: this.l('Part No Normalized'),headerTooltip: this.l('Part No Normalized'),field: 'partNoNormalized',flex: 1},</v>
      </c>
      <c r="I16" s="35" t="str">
        <f t="shared" si="5"/>
        <v xml:space="preserve">								&lt;div class='input-search'&gt;
									&lt;input [(ngModel)]='partNoNormalized' name='partNoNormalized'
									class='form-control' [placeholder]="l('Part No Normalized')"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</v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3" si="12">REPT(CHAR(9),1)&amp;D16&amp;G16</f>
        <v xml:space="preserve">	partNoNormalized : string = '' ; </v>
      </c>
      <c r="T16" s="28" t="str">
        <f t="shared" ref="T16:T23" si="13">REPT(CHAR(9),3)&amp;"this."&amp;D16&amp;","</f>
        <v xml:space="preserve">			this.partNoNormalized,</v>
      </c>
      <c r="U16" s="28" t="str">
        <f t="shared" ref="U16:U23" si="14">IF(E16="int",REPT(CHAR(9),2)&amp;"this."&amp;D16&amp;" = 0,",REPT(CHAR(9),2)&amp;"this."&amp;D16&amp;" = '',")</f>
        <v xml:space="preserve">		this.partNoNormalized = '',</v>
      </c>
      <c r="V16" s="28" t="str">
        <f t="shared" ref="V16" si="15">IF(AND(E16="string",F16="1"),D16,"")</f>
        <v/>
      </c>
    </row>
    <row r="17" spans="1:22" ht="18" customHeight="1" x14ac:dyDescent="0.3">
      <c r="A17" t="s">
        <v>364</v>
      </c>
      <c r="B17" s="28" t="str">
        <f>SUBSTITUTE(PROPER(A17),"_","")</f>
        <v>PartName</v>
      </c>
      <c r="C17" s="28" t="str">
        <f>SUBSTITUTE(PROPER(A17),"_"," ")</f>
        <v>Part Name</v>
      </c>
      <c r="D17" s="28" t="str">
        <f t="shared" si="2"/>
        <v>partName</v>
      </c>
      <c r="E17" s="28" t="str">
        <f>A.Backend!H11</f>
        <v>string</v>
      </c>
      <c r="F17" s="28" t="str">
        <f>A.Backend!G11</f>
        <v>10</v>
      </c>
      <c r="G17" s="28" t="str">
        <f t="shared" si="3"/>
        <v xml:space="preserve"> : string = '' ; </v>
      </c>
      <c r="H17" s="35" t="str">
        <f t="shared" si="4"/>
        <v xml:space="preserve">			{headerName: this.l('Part Name'),headerTooltip: this.l('Part Name'),field: 'partName',flex: 1},</v>
      </c>
      <c r="I17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partName : string = '' ; </v>
      </c>
      <c r="T17" s="28" t="str">
        <f t="shared" si="13"/>
        <v xml:space="preserve">			this.partName,</v>
      </c>
      <c r="U17" s="28" t="str">
        <f t="shared" si="14"/>
        <v xml:space="preserve">		this.partName = '',</v>
      </c>
      <c r="V17" s="28" t="str">
        <f>IF(AND(E17="string",F17="1"),D17,"")</f>
        <v/>
      </c>
    </row>
    <row r="18" spans="1:22" ht="15" customHeight="1" x14ac:dyDescent="0.3">
      <c r="A18" t="s">
        <v>351</v>
      </c>
      <c r="B18" s="28" t="str">
        <f t="shared" ref="B18" si="16">SUBSTITUTE(PROPER(A18),"_","")</f>
        <v>SupplierNo</v>
      </c>
      <c r="C18" s="28" t="str">
        <f t="shared" ref="C18" si="17">SUBSTITUTE(PROPER(A18),"_"," ")</f>
        <v>Supplier No</v>
      </c>
      <c r="D18" s="28" t="str">
        <f t="shared" si="2"/>
        <v>supplierNo</v>
      </c>
      <c r="E18" s="28" t="str">
        <f>A.Backend!H12</f>
        <v>string</v>
      </c>
      <c r="F18" s="28" t="str">
        <f>A.Backend!G12</f>
        <v>50</v>
      </c>
      <c r="G18" s="28" t="str">
        <f t="shared" si="3"/>
        <v xml:space="preserve"> : string = '' ; </v>
      </c>
      <c r="H18" s="35" t="str">
        <f t="shared" si="4"/>
        <v xml:space="preserve">			{headerName: this.l('Supplier No'),headerTooltip: this.l('Supplier No'),field: 'supplierNo',flex: 1},</v>
      </c>
      <c r="I18" s="35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8" s="56" t="str">
        <f t="shared" ref="L18" si="1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2"/>
        <v xml:space="preserve">	supplierNo : string = '' ; </v>
      </c>
      <c r="T18" s="28" t="str">
        <f t="shared" si="13"/>
        <v xml:space="preserve">			this.supplierNo,</v>
      </c>
      <c r="U18" s="28" t="str">
        <f t="shared" si="14"/>
        <v xml:space="preserve">		this.supplierNo = '',</v>
      </c>
      <c r="V18" s="28" t="str">
        <f t="shared" ref="V18" si="19">IF(AND(E18="string",F18="1"),D18,"")</f>
        <v/>
      </c>
    </row>
    <row r="19" spans="1:22" ht="18" customHeight="1" x14ac:dyDescent="0.3">
      <c r="A19" t="s">
        <v>366</v>
      </c>
      <c r="B19" s="28" t="str">
        <f t="shared" si="0"/>
        <v>SupplierCd</v>
      </c>
      <c r="C19" s="28" t="str">
        <f t="shared" si="1"/>
        <v>Supplier Cd</v>
      </c>
      <c r="D19" s="28" t="str">
        <f t="shared" si="2"/>
        <v>supplierCd</v>
      </c>
      <c r="E19" s="28" t="str">
        <f>A.Backend!H13</f>
        <v>string</v>
      </c>
      <c r="F19" s="28" t="str">
        <f>A.Backend!G13</f>
        <v>50</v>
      </c>
      <c r="G19" s="28" t="str">
        <f t="shared" si="3"/>
        <v xml:space="preserve"> : string = '' ; </v>
      </c>
      <c r="H19" s="35" t="str">
        <f t="shared" si="4"/>
        <v xml:space="preserve">			{headerName: this.l('Supplier Cd'),headerTooltip: this.l('Supplier Cd'),field: 'supplierCd',flex: 1},</v>
      </c>
      <c r="I19" s="35" t="str">
        <f t="shared" si="5"/>
        <v xml:space="preserve">								&lt;div class='input-search'&gt;
									&lt;input [(ngModel)]='supplierCd' name='supplierCd'
									class='form-control' [placeholder]="l('Supplier Cd')"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title'&gt;Supplier Cd&lt;/label&gt;
						&lt;input type='text' class='col-md-10 form-control input-text' name='SupplierCd' [(ngModel)]='rowdata.supplierCd'&gt;
					&lt;/div&gt;</v>
      </c>
      <c r="L19" s="56" t="str">
        <f t="shared" si="7"/>
        <v/>
      </c>
      <c r="M19" s="28"/>
      <c r="N19" s="28"/>
      <c r="O19" s="28"/>
      <c r="P19" s="28"/>
      <c r="Q19" s="28"/>
      <c r="R19" s="28"/>
      <c r="S19" s="28" t="str">
        <f t="shared" si="12"/>
        <v xml:space="preserve">	supplierCd : string = '' ; </v>
      </c>
      <c r="T19" s="28" t="str">
        <f t="shared" si="13"/>
        <v xml:space="preserve">			this.supplierCd,</v>
      </c>
      <c r="U19" s="28" t="str">
        <f t="shared" si="14"/>
        <v xml:space="preserve">		this.supplierCd = '',</v>
      </c>
      <c r="V19" s="28" t="str">
        <f t="shared" si="8"/>
        <v/>
      </c>
    </row>
    <row r="20" spans="1:22" ht="15" customHeight="1" x14ac:dyDescent="0.3">
      <c r="A20" t="s">
        <v>367</v>
      </c>
      <c r="B20" s="28" t="str">
        <f t="shared" ref="B20:B22" si="20">SUBSTITUTE(PROPER(A20),"_","")</f>
        <v>ColorSfx</v>
      </c>
      <c r="C20" s="28" t="str">
        <f t="shared" ref="C20:C22" si="21">SUBSTITUTE(PROPER(A20),"_"," ")</f>
        <v>Color Sfx</v>
      </c>
      <c r="D20" s="28" t="str">
        <f t="shared" si="2"/>
        <v>colorSfx</v>
      </c>
      <c r="E20" s="28" t="str">
        <f>A.Backend!H14</f>
        <v>string</v>
      </c>
      <c r="F20" s="28" t="str">
        <f>A.Backend!G14</f>
        <v>10</v>
      </c>
      <c r="G20" s="28" t="str">
        <f t="shared" si="3"/>
        <v xml:space="preserve"> : string = '' ; </v>
      </c>
      <c r="H20" s="35" t="str">
        <f t="shared" si="4"/>
        <v xml:space="preserve">			{headerName: this.l('Color Sfx'),headerTooltip: this.l('Color Sfx'),field: 'colorSfx',flex: 1},</v>
      </c>
      <c r="I20" s="35" t="str">
        <f t="shared" si="5"/>
        <v xml:space="preserve">								&lt;div class='input-search'&gt;
									&lt;input [(ngModel)]='colorSfx' name='colorSfx'
									class='form-control' [placeholder]="l('Color Sfx')"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title'&gt;Color Sfx&lt;/label&gt;
						&lt;input type='text' class='col-md-10 form-control input-text' name='ColorSfx' [(ngModel)]='rowdata.colorSfx'&gt;
					&lt;/div&gt;</v>
      </c>
      <c r="L20" s="56" t="str">
        <f t="shared" ref="L20:L22" si="22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si="12"/>
        <v xml:space="preserve">	colorSfx : string = '' ; </v>
      </c>
      <c r="T20" s="28" t="str">
        <f t="shared" si="13"/>
        <v xml:space="preserve">			this.colorSfx,</v>
      </c>
      <c r="U20" s="28" t="str">
        <f t="shared" si="14"/>
        <v xml:space="preserve">		this.colorSfx = '',</v>
      </c>
      <c r="V20" s="28" t="str">
        <f t="shared" ref="V20:V22" si="23">IF(AND(E20="string",F20="1"),D20,"")</f>
        <v/>
      </c>
    </row>
    <row r="21" spans="1:22" ht="18" customHeight="1" x14ac:dyDescent="0.3">
      <c r="A21" t="s">
        <v>368</v>
      </c>
      <c r="B21" s="28" t="str">
        <f t="shared" ref="B21" si="24">SUBSTITUTE(PROPER(A21),"_","")</f>
        <v>SupplierId</v>
      </c>
      <c r="C21" s="28" t="str">
        <f t="shared" ref="C21" si="25">SUBSTITUTE(PROPER(A21),"_"," ")</f>
        <v>Supplier Id</v>
      </c>
      <c r="D21" s="28" t="str">
        <f t="shared" ref="D21" si="26">LOWER(LEFT(B21,1))&amp;RIGHT(B21,LEN(B21) - 1)</f>
        <v>supplierId</v>
      </c>
      <c r="E21" s="28" t="str">
        <f>A.Backend!H15</f>
        <v>long?</v>
      </c>
      <c r="F21" s="28" t="str">
        <f>A.Backend!G15</f>
        <v/>
      </c>
      <c r="G21" s="28" t="str">
        <f t="shared" ref="G21" si="27">IF(E21="string"," : string = '' ; ",IF(OR(E21="DateTime",E21="TimeSpan")," : any ;",IF(E21="int"," : number = 0 ;","")))</f>
        <v/>
      </c>
      <c r="H21" s="35" t="str">
        <f t="shared" ref="H21" si="28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this.l('Supplier Id'),headerTooltip: this.l('Supplier Id'),field: 'supplierId',flex: 1},</v>
      </c>
      <c r="I21" s="35" t="str">
        <f t="shared" ref="I21" si="29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28"/>
      <c r="K21" s="35" t="str">
        <f t="shared" ref="K21" si="30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/>
      </c>
      <c r="L21" s="56" t="str">
        <f t="shared" ref="L21" si="31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ref="S21" si="32">REPT(CHAR(9),1)&amp;D21&amp;G21</f>
        <v xml:space="preserve">	supplierId</v>
      </c>
      <c r="T21" s="28" t="str">
        <f t="shared" ref="T21" si="33">REPT(CHAR(9),3)&amp;"this."&amp;D21&amp;","</f>
        <v xml:space="preserve">			this.supplierId,</v>
      </c>
      <c r="U21" s="28" t="str">
        <f t="shared" ref="U21" si="34">IF(E21="int",REPT(CHAR(9),2)&amp;"this."&amp;D21&amp;" = 0,",REPT(CHAR(9),2)&amp;"this."&amp;D21&amp;" = '',")</f>
        <v xml:space="preserve">		this.supplierId = '',</v>
      </c>
      <c r="V21" s="28" t="str">
        <f t="shared" ref="V21" si="35">IF(AND(E21="string",F21="1"),D21,"")</f>
        <v/>
      </c>
    </row>
    <row r="22" spans="1:22" ht="18" customHeight="1" x14ac:dyDescent="0.3">
      <c r="A22" t="s">
        <v>370</v>
      </c>
      <c r="B22" s="28" t="str">
        <f t="shared" si="20"/>
        <v>MaterialId</v>
      </c>
      <c r="C22" s="28" t="str">
        <f t="shared" si="21"/>
        <v>Material Id</v>
      </c>
      <c r="D22" s="28" t="str">
        <f t="shared" si="2"/>
        <v>materialId</v>
      </c>
      <c r="E22" s="28" t="str">
        <f>A.Backend!H16</f>
        <v>long?</v>
      </c>
      <c r="F22" s="28" t="str">
        <f>A.Backend!G16</f>
        <v/>
      </c>
      <c r="G22" s="28" t="str">
        <f t="shared" si="3"/>
        <v/>
      </c>
      <c r="H22" s="35" t="str">
        <f t="shared" si="4"/>
        <v xml:space="preserve">			{headerName: this.l('Material Id'),headerTooltip: this.l('Material Id'),field: 'materialId',flex: 1},</v>
      </c>
      <c r="I22" s="35" t="str">
        <f t="shared" si="5"/>
        <v/>
      </c>
      <c r="J22" s="28"/>
      <c r="K22" s="35" t="str">
        <f t="shared" si="6"/>
        <v/>
      </c>
      <c r="L22" s="56" t="str">
        <f t="shared" si="22"/>
        <v/>
      </c>
      <c r="M22" s="28"/>
      <c r="N22" s="28"/>
      <c r="O22" s="28"/>
      <c r="P22" s="28"/>
      <c r="Q22" s="28"/>
      <c r="R22" s="28"/>
      <c r="S22" s="28" t="str">
        <f t="shared" si="12"/>
        <v xml:space="preserve">	materialId</v>
      </c>
      <c r="T22" s="28" t="str">
        <f t="shared" si="13"/>
        <v xml:space="preserve">			this.materialId,</v>
      </c>
      <c r="U22" s="28" t="str">
        <f t="shared" si="14"/>
        <v xml:space="preserve">		this.materialId = '',</v>
      </c>
      <c r="V22" s="28" t="str">
        <f t="shared" si="23"/>
        <v/>
      </c>
    </row>
    <row r="23" spans="1:22" ht="18" customHeight="1" x14ac:dyDescent="0.3">
      <c r="A23" s="28" t="s">
        <v>319</v>
      </c>
      <c r="B23" s="28" t="str">
        <f t="shared" ref="B23" si="36">SUBSTITUTE(PROPER(A23),"_","")</f>
        <v>IsActive</v>
      </c>
      <c r="C23" s="28" t="str">
        <f t="shared" ref="C23" si="37">SUBSTITUTE(PROPER(A23),"_"," ")</f>
        <v>Is Active</v>
      </c>
      <c r="D23" s="28" t="str">
        <f t="shared" si="2"/>
        <v>isActive</v>
      </c>
      <c r="E23" s="28" t="str">
        <f>A.Backend!H17</f>
        <v>string</v>
      </c>
      <c r="F23" s="28" t="str">
        <f>A.Backend!G17</f>
        <v>1</v>
      </c>
      <c r="G23" s="28" t="str">
        <f t="shared" si="3"/>
        <v xml:space="preserve"> : string = '' ; </v>
      </c>
      <c r="H23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3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3" s="28"/>
      <c r="K23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3" s="56" t="str">
        <f t="shared" ref="L23" si="38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2"/>
        <v xml:space="preserve">	isActive : string = '' ; </v>
      </c>
      <c r="T23" s="28" t="str">
        <f t="shared" si="13"/>
        <v xml:space="preserve">			this.isActive,</v>
      </c>
      <c r="U23" s="28" t="str">
        <f t="shared" si="14"/>
        <v xml:space="preserve">		this.isActive = '',</v>
      </c>
      <c r="V23" s="28" t="str">
        <f t="shared" ref="V23" si="39">IF(AND(E23="string",F23="1"),D23,"")</f>
        <v>isActive</v>
      </c>
    </row>
    <row r="25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8671875" defaultRowHeight="14.4" x14ac:dyDescent="0.3"/>
  <cols>
    <col min="1" max="1" width="22.44140625" bestFit="1" customWidth="1"/>
    <col min="2" max="2" width="29.886718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358</v>
      </c>
    </row>
    <row r="7" spans="1:2" x14ac:dyDescent="0.3">
      <c r="A7" t="s">
        <v>24</v>
      </c>
      <c r="B7" t="s">
        <v>353</v>
      </c>
    </row>
    <row r="8" spans="1:2" x14ac:dyDescent="0.3">
      <c r="A8" t="s">
        <v>4</v>
      </c>
      <c r="B8" t="s">
        <v>353</v>
      </c>
    </row>
    <row r="9" spans="1:2" x14ac:dyDescent="0.3">
      <c r="A9" t="s">
        <v>0</v>
      </c>
      <c r="B9" t="s">
        <v>354</v>
      </c>
    </row>
    <row r="10" spans="1:2" x14ac:dyDescent="0.3">
      <c r="A10" t="s">
        <v>25</v>
      </c>
      <c r="B10" t="s">
        <v>357</v>
      </c>
    </row>
    <row r="11" spans="1:2" x14ac:dyDescent="0.3">
      <c r="A11" t="s">
        <v>26</v>
      </c>
      <c r="B11" t="s">
        <v>357</v>
      </c>
    </row>
    <row r="12" spans="1:2" x14ac:dyDescent="0.3">
      <c r="A12" t="s">
        <v>27</v>
      </c>
      <c r="B12" t="s">
        <v>357</v>
      </c>
    </row>
    <row r="13" spans="1:2" x14ac:dyDescent="0.3">
      <c r="A13" t="s">
        <v>28</v>
      </c>
      <c r="B13" t="s">
        <v>357</v>
      </c>
    </row>
    <row r="14" spans="1:2" x14ac:dyDescent="0.3">
      <c r="A14" t="s">
        <v>29</v>
      </c>
      <c r="B14" t="s">
        <v>357</v>
      </c>
    </row>
    <row r="15" spans="1:2" x14ac:dyDescent="0.3">
      <c r="A15" t="s">
        <v>30</v>
      </c>
      <c r="B15" t="s">
        <v>357</v>
      </c>
    </row>
    <row r="16" spans="1:2" x14ac:dyDescent="0.3">
      <c r="A16" t="s">
        <v>31</v>
      </c>
      <c r="B16" t="s">
        <v>355</v>
      </c>
    </row>
    <row r="17" spans="1:2" x14ac:dyDescent="0.3">
      <c r="A17" t="s">
        <v>3</v>
      </c>
      <c r="B17" t="s">
        <v>355</v>
      </c>
    </row>
    <row r="18" spans="1:2" x14ac:dyDescent="0.3">
      <c r="A18" t="s">
        <v>33</v>
      </c>
      <c r="B18" t="s">
        <v>355</v>
      </c>
    </row>
    <row r="19" spans="1:2" x14ac:dyDescent="0.3">
      <c r="A19" t="s">
        <v>2</v>
      </c>
      <c r="B19" t="s">
        <v>355</v>
      </c>
    </row>
    <row r="20" spans="1:2" x14ac:dyDescent="0.3">
      <c r="A20" t="s">
        <v>263</v>
      </c>
      <c r="B20" t="s">
        <v>356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8671875" defaultRowHeight="15.6" x14ac:dyDescent="0.3"/>
  <cols>
    <col min="1" max="1" width="14.33203125" customWidth="1"/>
    <col min="2" max="2" width="71.664062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2023-06-06T02:17:58Z</dcterms:modified>
</cp:coreProperties>
</file>
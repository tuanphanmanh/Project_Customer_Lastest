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" i="1" l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X10" i="1"/>
  <c r="Y10" i="1"/>
  <c r="X11" i="1"/>
  <c r="Y11" i="1" s="1"/>
  <c r="X12" i="1"/>
  <c r="Y12" i="1"/>
  <c r="X13" i="1"/>
  <c r="Y13" i="1"/>
  <c r="X14" i="1"/>
  <c r="Y14" i="1"/>
  <c r="X15" i="1"/>
  <c r="Y15" i="1" s="1"/>
  <c r="X16" i="1"/>
  <c r="Y16" i="1"/>
  <c r="X17" i="1"/>
  <c r="Y17" i="1"/>
  <c r="X18" i="1"/>
  <c r="Y18" i="1"/>
  <c r="X19" i="1"/>
  <c r="Y19" i="1" s="1"/>
  <c r="X20" i="1"/>
  <c r="Y20" i="1"/>
  <c r="X21" i="1"/>
  <c r="Y21" i="1"/>
  <c r="X22" i="1"/>
  <c r="Y22" i="1"/>
  <c r="X23" i="1"/>
  <c r="Y23" i="1" s="1"/>
  <c r="X24" i="1"/>
  <c r="Y24" i="1"/>
  <c r="X25" i="1"/>
  <c r="Y25" i="1"/>
  <c r="X26" i="1"/>
  <c r="Y26" i="1"/>
  <c r="X27" i="1"/>
  <c r="Y27" i="1" s="1"/>
  <c r="X28" i="1"/>
  <c r="Y28" i="1"/>
  <c r="X29" i="1"/>
  <c r="Y29" i="1"/>
  <c r="X30" i="1"/>
  <c r="Y30" i="1"/>
  <c r="X31" i="1"/>
  <c r="Y31" i="1" s="1"/>
  <c r="X32" i="1"/>
  <c r="Y32" i="1"/>
  <c r="X33" i="1"/>
  <c r="Y33" i="1"/>
  <c r="X34" i="1"/>
  <c r="Y34" i="1"/>
  <c r="X35" i="1"/>
  <c r="Y35" i="1" s="1"/>
  <c r="X36" i="1"/>
  <c r="Y36" i="1"/>
  <c r="X37" i="1"/>
  <c r="Y37" i="1"/>
  <c r="X38" i="1"/>
  <c r="Y38" i="1"/>
  <c r="X39" i="1"/>
  <c r="Y39" i="1" s="1"/>
  <c r="X40" i="1"/>
  <c r="Y40" i="1"/>
  <c r="X41" i="1"/>
  <c r="Y41" i="1"/>
  <c r="X42" i="1"/>
  <c r="Y42" i="1"/>
  <c r="Y9" i="1"/>
  <c r="X9" i="1"/>
  <c r="H42" i="1" l="1"/>
  <c r="B7" i="5" l="1"/>
  <c r="B6" i="5"/>
  <c r="B4" i="5"/>
  <c r="B2" i="5"/>
  <c r="B8" i="5" l="1"/>
  <c r="B5" i="5"/>
  <c r="B3" i="5"/>
  <c r="H54" i="5"/>
  <c r="F54" i="5"/>
  <c r="E54" i="5"/>
  <c r="V54" i="5" s="1"/>
  <c r="D54" i="5"/>
  <c r="C54" i="5"/>
  <c r="B54" i="5"/>
  <c r="L53" i="5"/>
  <c r="K53" i="5"/>
  <c r="G53" i="5"/>
  <c r="F53" i="5"/>
  <c r="V53" i="5" s="1"/>
  <c r="E53" i="5"/>
  <c r="I53" i="5" s="1"/>
  <c r="C53" i="5"/>
  <c r="B53" i="5"/>
  <c r="D53" i="5" s="1"/>
  <c r="F52" i="5"/>
  <c r="E52" i="5"/>
  <c r="V52" i="5" s="1"/>
  <c r="D52" i="5"/>
  <c r="C52" i="5"/>
  <c r="B52" i="5"/>
  <c r="L51" i="5"/>
  <c r="G51" i="5"/>
  <c r="F51" i="5"/>
  <c r="K51" i="5" s="1"/>
  <c r="E51" i="5"/>
  <c r="I51" i="5" s="1"/>
  <c r="C51" i="5"/>
  <c r="B51" i="5"/>
  <c r="D51" i="5" s="1"/>
  <c r="F50" i="5"/>
  <c r="E50" i="5"/>
  <c r="V50" i="5" s="1"/>
  <c r="D50" i="5"/>
  <c r="C50" i="5"/>
  <c r="B50" i="5"/>
  <c r="L49" i="5"/>
  <c r="G49" i="5"/>
  <c r="F49" i="5"/>
  <c r="V49" i="5" s="1"/>
  <c r="E49" i="5"/>
  <c r="I49" i="5" s="1"/>
  <c r="C49" i="5"/>
  <c r="B49" i="5"/>
  <c r="D49" i="5" s="1"/>
  <c r="F48" i="5"/>
  <c r="C48" i="5"/>
  <c r="B48" i="5"/>
  <c r="D48" i="5" s="1"/>
  <c r="F47" i="5"/>
  <c r="C47" i="5"/>
  <c r="B47" i="5"/>
  <c r="D47" i="5" s="1"/>
  <c r="F46" i="5"/>
  <c r="C46" i="5"/>
  <c r="B46" i="5"/>
  <c r="D46" i="5" s="1"/>
  <c r="T46" i="5" s="1"/>
  <c r="F45" i="5"/>
  <c r="C45" i="5"/>
  <c r="B45" i="5"/>
  <c r="D45" i="5" s="1"/>
  <c r="F44" i="5"/>
  <c r="D44" i="5"/>
  <c r="T44" i="5" s="1"/>
  <c r="C44" i="5"/>
  <c r="B44" i="5"/>
  <c r="F43" i="5"/>
  <c r="C43" i="5"/>
  <c r="B43" i="5"/>
  <c r="D43" i="5" s="1"/>
  <c r="F42" i="5"/>
  <c r="D42" i="5"/>
  <c r="T42" i="5" s="1"/>
  <c r="C42" i="5"/>
  <c r="B42" i="5"/>
  <c r="F41" i="5"/>
  <c r="C41" i="5"/>
  <c r="B41" i="5"/>
  <c r="D41" i="5" s="1"/>
  <c r="F40" i="5"/>
  <c r="D40" i="5"/>
  <c r="T40" i="5" s="1"/>
  <c r="C40" i="5"/>
  <c r="B40" i="5"/>
  <c r="F39" i="5"/>
  <c r="C39" i="5"/>
  <c r="B39" i="5"/>
  <c r="D39" i="5" s="1"/>
  <c r="F38" i="5"/>
  <c r="C38" i="5"/>
  <c r="B38" i="5"/>
  <c r="D38" i="5" s="1"/>
  <c r="T38" i="5" s="1"/>
  <c r="F37" i="5"/>
  <c r="C37" i="5"/>
  <c r="B37" i="5"/>
  <c r="D37" i="5" s="1"/>
  <c r="F36" i="5"/>
  <c r="C36" i="5"/>
  <c r="B36" i="5"/>
  <c r="D36" i="5" s="1"/>
  <c r="T36" i="5" s="1"/>
  <c r="F35" i="5"/>
  <c r="C35" i="5"/>
  <c r="B35" i="5"/>
  <c r="D35" i="5" s="1"/>
  <c r="F34" i="5"/>
  <c r="D34" i="5"/>
  <c r="C34" i="5"/>
  <c r="B34" i="5"/>
  <c r="F33" i="5"/>
  <c r="C33" i="5"/>
  <c r="B33" i="5"/>
  <c r="D33" i="5" s="1"/>
  <c r="F32" i="5"/>
  <c r="C32" i="5"/>
  <c r="B32" i="5"/>
  <c r="D32" i="5" s="1"/>
  <c r="F31" i="5"/>
  <c r="C31" i="5"/>
  <c r="B31" i="5"/>
  <c r="D31" i="5" s="1"/>
  <c r="F30" i="5"/>
  <c r="C30" i="5"/>
  <c r="B30" i="5"/>
  <c r="D30" i="5" s="1"/>
  <c r="F29" i="5"/>
  <c r="C29" i="5"/>
  <c r="B29" i="5"/>
  <c r="D29" i="5" s="1"/>
  <c r="F28" i="5"/>
  <c r="C28" i="5"/>
  <c r="B28" i="5"/>
  <c r="D28" i="5" s="1"/>
  <c r="F27" i="5"/>
  <c r="C27" i="5"/>
  <c r="B27" i="5"/>
  <c r="D27" i="5" s="1"/>
  <c r="F26" i="5"/>
  <c r="C26" i="5"/>
  <c r="B26" i="5"/>
  <c r="D26" i="5" s="1"/>
  <c r="F25" i="5"/>
  <c r="C25" i="5"/>
  <c r="B25" i="5"/>
  <c r="D25" i="5" s="1"/>
  <c r="F24" i="5"/>
  <c r="C24" i="5"/>
  <c r="B24" i="5"/>
  <c r="D24" i="5" s="1"/>
  <c r="T24" i="5" s="1"/>
  <c r="F23" i="5"/>
  <c r="C23" i="5"/>
  <c r="B23" i="5"/>
  <c r="D23" i="5" s="1"/>
  <c r="F22" i="5"/>
  <c r="C22" i="5"/>
  <c r="B22" i="5"/>
  <c r="D22" i="5" s="1"/>
  <c r="T22" i="5" s="1"/>
  <c r="F21" i="5"/>
  <c r="C21" i="5"/>
  <c r="B21" i="5"/>
  <c r="D21" i="5" s="1"/>
  <c r="F20" i="5"/>
  <c r="C20" i="5"/>
  <c r="B20" i="5"/>
  <c r="D20" i="5" s="1"/>
  <c r="L41" i="1"/>
  <c r="G41" i="1"/>
  <c r="E41" i="1"/>
  <c r="H41" i="1" s="1"/>
  <c r="E47" i="5" s="1"/>
  <c r="I47" i="5" s="1"/>
  <c r="D41" i="1"/>
  <c r="V41" i="1" s="1"/>
  <c r="L40" i="1"/>
  <c r="H40" i="1"/>
  <c r="M40" i="1" s="1"/>
  <c r="G40" i="1"/>
  <c r="E40" i="1"/>
  <c r="D40" i="1"/>
  <c r="T40" i="1" s="1"/>
  <c r="L39" i="1"/>
  <c r="G39" i="1"/>
  <c r="E39" i="1"/>
  <c r="H39" i="1" s="1"/>
  <c r="E45" i="5" s="1"/>
  <c r="D39" i="1"/>
  <c r="V39" i="1" s="1"/>
  <c r="G38" i="1"/>
  <c r="E38" i="1"/>
  <c r="H38" i="1" s="1"/>
  <c r="I38" i="1" s="1"/>
  <c r="D38" i="1"/>
  <c r="T38" i="1" s="1"/>
  <c r="L37" i="1"/>
  <c r="G37" i="1"/>
  <c r="E37" i="1"/>
  <c r="H37" i="1" s="1"/>
  <c r="E43" i="5" s="1"/>
  <c r="D37" i="1"/>
  <c r="V37" i="1" s="1"/>
  <c r="L36" i="1"/>
  <c r="H36" i="1"/>
  <c r="I36" i="1" s="1"/>
  <c r="G36" i="1"/>
  <c r="E36" i="1"/>
  <c r="D36" i="1"/>
  <c r="T36" i="1" s="1"/>
  <c r="L35" i="1"/>
  <c r="G35" i="1"/>
  <c r="E35" i="1"/>
  <c r="H35" i="1" s="1"/>
  <c r="E41" i="5" s="1"/>
  <c r="I41" i="5" s="1"/>
  <c r="D35" i="1"/>
  <c r="V35" i="1" s="1"/>
  <c r="H34" i="1"/>
  <c r="E40" i="5" s="1"/>
  <c r="V40" i="5" s="1"/>
  <c r="G34" i="1"/>
  <c r="E34" i="1"/>
  <c r="D34" i="1"/>
  <c r="T34" i="1" s="1"/>
  <c r="L33" i="1"/>
  <c r="G33" i="1"/>
  <c r="E33" i="1"/>
  <c r="H33" i="1" s="1"/>
  <c r="E39" i="5" s="1"/>
  <c r="D33" i="1"/>
  <c r="V33" i="1" s="1"/>
  <c r="L32" i="1"/>
  <c r="G32" i="1"/>
  <c r="E32" i="1"/>
  <c r="H32" i="1" s="1"/>
  <c r="I32" i="1" s="1"/>
  <c r="D32" i="1"/>
  <c r="T32" i="1" s="1"/>
  <c r="L31" i="1"/>
  <c r="G31" i="1"/>
  <c r="E31" i="1"/>
  <c r="H31" i="1" s="1"/>
  <c r="E37" i="5" s="1"/>
  <c r="D31" i="1"/>
  <c r="V31" i="1" s="1"/>
  <c r="H30" i="1"/>
  <c r="M30" i="1" s="1"/>
  <c r="G30" i="1"/>
  <c r="E30" i="1"/>
  <c r="D30" i="1"/>
  <c r="T30" i="1" s="1"/>
  <c r="P29" i="1"/>
  <c r="L29" i="1"/>
  <c r="G29" i="1"/>
  <c r="E29" i="1"/>
  <c r="H29" i="1" s="1"/>
  <c r="E35" i="5" s="1"/>
  <c r="D29" i="1"/>
  <c r="V29" i="1" s="1"/>
  <c r="L28" i="1"/>
  <c r="G28" i="1"/>
  <c r="E28" i="1"/>
  <c r="H28" i="1" s="1"/>
  <c r="I28" i="1" s="1"/>
  <c r="D28" i="1"/>
  <c r="T28" i="1" s="1"/>
  <c r="L27" i="1"/>
  <c r="G27" i="1"/>
  <c r="E27" i="1"/>
  <c r="H27" i="1" s="1"/>
  <c r="E33" i="5" s="1"/>
  <c r="D27" i="1"/>
  <c r="V27" i="1" s="1"/>
  <c r="H26" i="1"/>
  <c r="I26" i="1" s="1"/>
  <c r="G26" i="1"/>
  <c r="E26" i="1"/>
  <c r="D26" i="1"/>
  <c r="T26" i="1" s="1"/>
  <c r="L25" i="1"/>
  <c r="G25" i="1"/>
  <c r="E25" i="1"/>
  <c r="H25" i="1" s="1"/>
  <c r="E31" i="5" s="1"/>
  <c r="D25" i="1"/>
  <c r="V25" i="1" s="1"/>
  <c r="L24" i="1"/>
  <c r="H24" i="1"/>
  <c r="E30" i="5" s="1"/>
  <c r="L30" i="5" s="1"/>
  <c r="G24" i="1"/>
  <c r="E24" i="1"/>
  <c r="D24" i="1"/>
  <c r="T24" i="1" s="1"/>
  <c r="L23" i="1"/>
  <c r="G23" i="1"/>
  <c r="E23" i="1"/>
  <c r="H23" i="1" s="1"/>
  <c r="E29" i="5" s="1"/>
  <c r="I29" i="5" s="1"/>
  <c r="D23" i="1"/>
  <c r="V23" i="1" s="1"/>
  <c r="G22" i="1"/>
  <c r="E22" i="1"/>
  <c r="H22" i="1" s="1"/>
  <c r="E28" i="5" s="1"/>
  <c r="D22" i="1"/>
  <c r="T22" i="1" s="1"/>
  <c r="L21" i="1"/>
  <c r="G21" i="1"/>
  <c r="E21" i="1"/>
  <c r="H21" i="1" s="1"/>
  <c r="E27" i="5" s="1"/>
  <c r="I27" i="5" s="1"/>
  <c r="D21" i="1"/>
  <c r="V21" i="1" s="1"/>
  <c r="L20" i="1"/>
  <c r="G20" i="1"/>
  <c r="E20" i="1"/>
  <c r="H20" i="1" s="1"/>
  <c r="I20" i="1" s="1"/>
  <c r="D20" i="1"/>
  <c r="T20" i="1" s="1"/>
  <c r="L19" i="1"/>
  <c r="G19" i="1"/>
  <c r="E19" i="1"/>
  <c r="H19" i="1" s="1"/>
  <c r="E25" i="5" s="1"/>
  <c r="I25" i="5" s="1"/>
  <c r="D19" i="1"/>
  <c r="V19" i="1" s="1"/>
  <c r="G18" i="1"/>
  <c r="E18" i="1"/>
  <c r="H18" i="1" s="1"/>
  <c r="E24" i="5" s="1"/>
  <c r="G24" i="5" s="1"/>
  <c r="D18" i="1"/>
  <c r="T18" i="1" s="1"/>
  <c r="L17" i="1"/>
  <c r="G17" i="1"/>
  <c r="E17" i="1"/>
  <c r="H17" i="1" s="1"/>
  <c r="E23" i="5" s="1"/>
  <c r="I23" i="5" s="1"/>
  <c r="D17" i="1"/>
  <c r="V17" i="1" s="1"/>
  <c r="L16" i="1"/>
  <c r="G16" i="1"/>
  <c r="E16" i="1"/>
  <c r="H16" i="1" s="1"/>
  <c r="E22" i="5" s="1"/>
  <c r="D16" i="1"/>
  <c r="T16" i="1" s="1"/>
  <c r="L15" i="1"/>
  <c r="G15" i="1"/>
  <c r="E15" i="1"/>
  <c r="H15" i="1" s="1"/>
  <c r="E21" i="5" s="1"/>
  <c r="I21" i="5" s="1"/>
  <c r="D15" i="1"/>
  <c r="V15" i="1" s="1"/>
  <c r="G14" i="1"/>
  <c r="E14" i="1"/>
  <c r="H14" i="1" s="1"/>
  <c r="E20" i="5" s="1"/>
  <c r="G20" i="5" s="1"/>
  <c r="D14" i="1"/>
  <c r="T14" i="1" s="1"/>
  <c r="E32" i="5" l="1"/>
  <c r="G32" i="5" s="1"/>
  <c r="S32" i="5" s="1"/>
  <c r="E46" i="5"/>
  <c r="I46" i="5" s="1"/>
  <c r="I43" i="5"/>
  <c r="L43" i="5"/>
  <c r="G43" i="5"/>
  <c r="S43" i="5" s="1"/>
  <c r="I28" i="5"/>
  <c r="G28" i="5"/>
  <c r="S28" i="5" s="1"/>
  <c r="I35" i="5"/>
  <c r="G35" i="5"/>
  <c r="S35" i="5" s="1"/>
  <c r="L35" i="5"/>
  <c r="G22" i="5"/>
  <c r="L22" i="5"/>
  <c r="L37" i="5"/>
  <c r="G37" i="5"/>
  <c r="S37" i="5" s="1"/>
  <c r="G39" i="5"/>
  <c r="S39" i="5" s="1"/>
  <c r="L39" i="5"/>
  <c r="I45" i="5"/>
  <c r="L45" i="5"/>
  <c r="G45" i="5"/>
  <c r="V43" i="5"/>
  <c r="I34" i="1"/>
  <c r="E34" i="5"/>
  <c r="I34" i="5" s="1"/>
  <c r="E38" i="5"/>
  <c r="V38" i="5" s="1"/>
  <c r="V41" i="5"/>
  <c r="V47" i="5"/>
  <c r="I40" i="1"/>
  <c r="V35" i="5"/>
  <c r="V39" i="5"/>
  <c r="H40" i="5"/>
  <c r="G41" i="5"/>
  <c r="S41" i="5" s="1"/>
  <c r="E44" i="5"/>
  <c r="V44" i="5" s="1"/>
  <c r="G47" i="5"/>
  <c r="S47" i="5" s="1"/>
  <c r="V28" i="5"/>
  <c r="V37" i="5"/>
  <c r="E26" i="5"/>
  <c r="I26" i="5" s="1"/>
  <c r="E36" i="5"/>
  <c r="V36" i="5" s="1"/>
  <c r="L41" i="5"/>
  <c r="E42" i="5"/>
  <c r="V42" i="5" s="1"/>
  <c r="V45" i="5"/>
  <c r="L47" i="5"/>
  <c r="T48" i="5"/>
  <c r="T39" i="5"/>
  <c r="U39" i="5"/>
  <c r="T41" i="5"/>
  <c r="U41" i="5"/>
  <c r="T51" i="5"/>
  <c r="S51" i="5"/>
  <c r="U51" i="5"/>
  <c r="T35" i="5"/>
  <c r="U35" i="5"/>
  <c r="T37" i="5"/>
  <c r="K37" i="5"/>
  <c r="U37" i="5"/>
  <c r="T47" i="5"/>
  <c r="U47" i="5"/>
  <c r="T49" i="5"/>
  <c r="U49" i="5"/>
  <c r="S49" i="5"/>
  <c r="K35" i="5"/>
  <c r="I39" i="5"/>
  <c r="T45" i="5"/>
  <c r="U45" i="5"/>
  <c r="S45" i="5"/>
  <c r="I37" i="5"/>
  <c r="T43" i="5"/>
  <c r="U43" i="5"/>
  <c r="T53" i="5"/>
  <c r="U53" i="5"/>
  <c r="S53" i="5"/>
  <c r="H38" i="5"/>
  <c r="K39" i="5"/>
  <c r="K43" i="5"/>
  <c r="H44" i="5"/>
  <c r="K45" i="5"/>
  <c r="K49" i="5"/>
  <c r="I38" i="5"/>
  <c r="T50" i="5"/>
  <c r="V51" i="5"/>
  <c r="T52" i="5"/>
  <c r="T54" i="5"/>
  <c r="H35" i="5"/>
  <c r="H37" i="5"/>
  <c r="U38" i="5"/>
  <c r="H39" i="5"/>
  <c r="K40" i="5"/>
  <c r="U40" i="5"/>
  <c r="H41" i="5"/>
  <c r="H43" i="5"/>
  <c r="U44" i="5"/>
  <c r="H45" i="5"/>
  <c r="H47" i="5"/>
  <c r="H49" i="5"/>
  <c r="K50" i="5"/>
  <c r="U50" i="5"/>
  <c r="H51" i="5"/>
  <c r="K52" i="5"/>
  <c r="U52" i="5"/>
  <c r="H53" i="5"/>
  <c r="K54" i="5"/>
  <c r="U54" i="5"/>
  <c r="K41" i="5"/>
  <c r="K47" i="5"/>
  <c r="H50" i="5"/>
  <c r="H52" i="5"/>
  <c r="I40" i="5"/>
  <c r="I50" i="5"/>
  <c r="I52" i="5"/>
  <c r="I54" i="5"/>
  <c r="G38" i="5"/>
  <c r="S38" i="5" s="1"/>
  <c r="L38" i="5"/>
  <c r="G40" i="5"/>
  <c r="S40" i="5" s="1"/>
  <c r="L40" i="5"/>
  <c r="L44" i="5"/>
  <c r="G46" i="5"/>
  <c r="S46" i="5" s="1"/>
  <c r="G50" i="5"/>
  <c r="S50" i="5" s="1"/>
  <c r="L50" i="5"/>
  <c r="G52" i="5"/>
  <c r="S52" i="5" s="1"/>
  <c r="L52" i="5"/>
  <c r="G54" i="5"/>
  <c r="S54" i="5" s="1"/>
  <c r="L54" i="5"/>
  <c r="G26" i="5"/>
  <c r="S26" i="5" s="1"/>
  <c r="H28" i="5"/>
  <c r="I31" i="5"/>
  <c r="H33" i="5"/>
  <c r="L26" i="5"/>
  <c r="H27" i="5"/>
  <c r="U30" i="5"/>
  <c r="G30" i="5"/>
  <c r="S30" i="5" s="1"/>
  <c r="L24" i="5"/>
  <c r="K25" i="5"/>
  <c r="K27" i="5"/>
  <c r="L28" i="5"/>
  <c r="H29" i="5"/>
  <c r="H31" i="5"/>
  <c r="I32" i="5"/>
  <c r="K29" i="5"/>
  <c r="I30" i="5"/>
  <c r="G34" i="5"/>
  <c r="S34" i="5" s="1"/>
  <c r="V30" i="5"/>
  <c r="S20" i="5"/>
  <c r="L20" i="5"/>
  <c r="T27" i="5"/>
  <c r="U27" i="5"/>
  <c r="T29" i="5"/>
  <c r="U29" i="5"/>
  <c r="T31" i="5"/>
  <c r="U31" i="5"/>
  <c r="T33" i="5"/>
  <c r="U33" i="5"/>
  <c r="T25" i="5"/>
  <c r="U25" i="5"/>
  <c r="I33" i="5"/>
  <c r="H26" i="5"/>
  <c r="H30" i="5"/>
  <c r="K31" i="5"/>
  <c r="H32" i="5"/>
  <c r="K33" i="5"/>
  <c r="H20" i="5"/>
  <c r="H22" i="5"/>
  <c r="H24" i="5"/>
  <c r="G25" i="5"/>
  <c r="S25" i="5" s="1"/>
  <c r="L25" i="5"/>
  <c r="V25" i="5"/>
  <c r="T26" i="5"/>
  <c r="G27" i="5"/>
  <c r="S27" i="5" s="1"/>
  <c r="L27" i="5"/>
  <c r="V27" i="5"/>
  <c r="T28" i="5"/>
  <c r="G29" i="5"/>
  <c r="S29" i="5" s="1"/>
  <c r="L29" i="5"/>
  <c r="V29" i="5"/>
  <c r="T30" i="5"/>
  <c r="G31" i="5"/>
  <c r="S31" i="5" s="1"/>
  <c r="L31" i="5"/>
  <c r="V31" i="5"/>
  <c r="T32" i="5"/>
  <c r="G33" i="5"/>
  <c r="S33" i="5" s="1"/>
  <c r="L33" i="5"/>
  <c r="V33" i="5"/>
  <c r="T34" i="5"/>
  <c r="H25" i="5"/>
  <c r="K26" i="5"/>
  <c r="U26" i="5"/>
  <c r="K28" i="5"/>
  <c r="U28" i="5"/>
  <c r="K30" i="5"/>
  <c r="K32" i="5"/>
  <c r="K34" i="5"/>
  <c r="U20" i="5"/>
  <c r="V20" i="5"/>
  <c r="U22" i="5"/>
  <c r="V22" i="5"/>
  <c r="U24" i="5"/>
  <c r="V24" i="5"/>
  <c r="T21" i="5"/>
  <c r="T23" i="5"/>
  <c r="S22" i="5"/>
  <c r="K23" i="5"/>
  <c r="U23" i="5"/>
  <c r="S24" i="5"/>
  <c r="I20" i="5"/>
  <c r="T20" i="5"/>
  <c r="G21" i="5"/>
  <c r="S21" i="5" s="1"/>
  <c r="L21" i="5"/>
  <c r="V21" i="5"/>
  <c r="I22" i="5"/>
  <c r="G23" i="5"/>
  <c r="S23" i="5" s="1"/>
  <c r="L23" i="5"/>
  <c r="V23" i="5"/>
  <c r="I24" i="5"/>
  <c r="K21" i="5"/>
  <c r="U21" i="5"/>
  <c r="K20" i="5"/>
  <c r="H21" i="5"/>
  <c r="K22" i="5"/>
  <c r="H23" i="5"/>
  <c r="K24" i="5"/>
  <c r="I30" i="1"/>
  <c r="P39" i="1"/>
  <c r="P27" i="1"/>
  <c r="M28" i="1"/>
  <c r="P33" i="1"/>
  <c r="M34" i="1"/>
  <c r="M24" i="1"/>
  <c r="P31" i="1"/>
  <c r="M32" i="1"/>
  <c r="P37" i="1"/>
  <c r="M38" i="1"/>
  <c r="M26" i="1"/>
  <c r="P35" i="1"/>
  <c r="M36" i="1"/>
  <c r="P41" i="1"/>
  <c r="M18" i="1"/>
  <c r="I18" i="1"/>
  <c r="W35" i="1"/>
  <c r="O35" i="1"/>
  <c r="J35" i="1"/>
  <c r="N35" i="1"/>
  <c r="I35" i="1"/>
  <c r="M35" i="1"/>
  <c r="W41" i="1"/>
  <c r="O41" i="1"/>
  <c r="J41" i="1"/>
  <c r="N41" i="1"/>
  <c r="I41" i="1"/>
  <c r="M41" i="1"/>
  <c r="M22" i="1"/>
  <c r="I22" i="1"/>
  <c r="W29" i="1"/>
  <c r="O29" i="1"/>
  <c r="J29" i="1"/>
  <c r="N29" i="1"/>
  <c r="I29" i="1"/>
  <c r="M29" i="1"/>
  <c r="W39" i="1"/>
  <c r="O39" i="1"/>
  <c r="J39" i="1"/>
  <c r="N39" i="1"/>
  <c r="I39" i="1"/>
  <c r="M39" i="1"/>
  <c r="W27" i="1"/>
  <c r="O27" i="1"/>
  <c r="J27" i="1"/>
  <c r="N27" i="1"/>
  <c r="I27" i="1"/>
  <c r="M27" i="1"/>
  <c r="W33" i="1"/>
  <c r="O33" i="1"/>
  <c r="J33" i="1"/>
  <c r="N33" i="1"/>
  <c r="I33" i="1"/>
  <c r="M33" i="1"/>
  <c r="W31" i="1"/>
  <c r="O31" i="1"/>
  <c r="J31" i="1"/>
  <c r="N31" i="1"/>
  <c r="I31" i="1"/>
  <c r="M31" i="1"/>
  <c r="W37" i="1"/>
  <c r="O37" i="1"/>
  <c r="J37" i="1"/>
  <c r="N37" i="1"/>
  <c r="I37" i="1"/>
  <c r="M37" i="1"/>
  <c r="N28" i="1"/>
  <c r="V28" i="1"/>
  <c r="N36" i="1"/>
  <c r="V36" i="1"/>
  <c r="N38" i="1"/>
  <c r="V38" i="1"/>
  <c r="N40" i="1"/>
  <c r="V40" i="1"/>
  <c r="P15" i="1"/>
  <c r="I24" i="1"/>
  <c r="J26" i="1"/>
  <c r="O26" i="1"/>
  <c r="W26" i="1"/>
  <c r="T27" i="1"/>
  <c r="J28" i="1"/>
  <c r="O28" i="1"/>
  <c r="W28" i="1"/>
  <c r="T29" i="1"/>
  <c r="J30" i="1"/>
  <c r="O30" i="1"/>
  <c r="W30" i="1"/>
  <c r="T31" i="1"/>
  <c r="J32" i="1"/>
  <c r="O32" i="1"/>
  <c r="W32" i="1"/>
  <c r="T33" i="1"/>
  <c r="J34" i="1"/>
  <c r="O34" i="1"/>
  <c r="W34" i="1"/>
  <c r="T35" i="1"/>
  <c r="J36" i="1"/>
  <c r="O36" i="1"/>
  <c r="W36" i="1"/>
  <c r="T37" i="1"/>
  <c r="J38" i="1"/>
  <c r="O38" i="1"/>
  <c r="W38" i="1"/>
  <c r="T39" i="1"/>
  <c r="J40" i="1"/>
  <c r="O40" i="1"/>
  <c r="W40" i="1"/>
  <c r="T41" i="1"/>
  <c r="N26" i="1"/>
  <c r="V26" i="1"/>
  <c r="N30" i="1"/>
  <c r="V30" i="1"/>
  <c r="N32" i="1"/>
  <c r="V32" i="1"/>
  <c r="N34" i="1"/>
  <c r="V34" i="1"/>
  <c r="P21" i="1"/>
  <c r="P26" i="1"/>
  <c r="P28" i="1"/>
  <c r="P30" i="1"/>
  <c r="P32" i="1"/>
  <c r="P34" i="1"/>
  <c r="P36" i="1"/>
  <c r="P38" i="1"/>
  <c r="P40" i="1"/>
  <c r="P23" i="1"/>
  <c r="W15" i="1"/>
  <c r="P19" i="1"/>
  <c r="M20" i="1"/>
  <c r="P25" i="1"/>
  <c r="W19" i="1"/>
  <c r="O19" i="1"/>
  <c r="J19" i="1"/>
  <c r="N19" i="1"/>
  <c r="I19" i="1"/>
  <c r="M19" i="1"/>
  <c r="W25" i="1"/>
  <c r="O25" i="1"/>
  <c r="J25" i="1"/>
  <c r="N25" i="1"/>
  <c r="I25" i="1"/>
  <c r="M25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N24" i="1"/>
  <c r="V24" i="1"/>
  <c r="J18" i="1"/>
  <c r="O18" i="1"/>
  <c r="W18" i="1"/>
  <c r="T19" i="1"/>
  <c r="J20" i="1"/>
  <c r="O20" i="1"/>
  <c r="W20" i="1"/>
  <c r="T21" i="1"/>
  <c r="J22" i="1"/>
  <c r="O22" i="1"/>
  <c r="W22" i="1"/>
  <c r="T23" i="1"/>
  <c r="J24" i="1"/>
  <c r="O24" i="1"/>
  <c r="W24" i="1"/>
  <c r="T25" i="1"/>
  <c r="P18" i="1"/>
  <c r="P20" i="1"/>
  <c r="P22" i="1"/>
  <c r="P24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18" i="5"/>
  <c r="B18" i="5"/>
  <c r="D18" i="5" s="1"/>
  <c r="T18" i="5" s="1"/>
  <c r="C17" i="5"/>
  <c r="B17" i="5"/>
  <c r="D17" i="5" s="1"/>
  <c r="C16" i="5"/>
  <c r="B16" i="5"/>
  <c r="D16" i="5" s="1"/>
  <c r="V32" i="5" l="1"/>
  <c r="U32" i="5"/>
  <c r="I44" i="5"/>
  <c r="K44" i="5"/>
  <c r="H46" i="5"/>
  <c r="I42" i="5"/>
  <c r="G42" i="5"/>
  <c r="S42" i="5" s="1"/>
  <c r="K36" i="5"/>
  <c r="H36" i="5"/>
  <c r="G36" i="5"/>
  <c r="S36" i="5" s="1"/>
  <c r="I36" i="5"/>
  <c r="L34" i="5"/>
  <c r="K46" i="5"/>
  <c r="L32" i="5"/>
  <c r="U46" i="5"/>
  <c r="U36" i="5"/>
  <c r="V34" i="5"/>
  <c r="L46" i="5"/>
  <c r="L36" i="5"/>
  <c r="K42" i="5"/>
  <c r="V46" i="5"/>
  <c r="H34" i="5"/>
  <c r="U34" i="5"/>
  <c r="L42" i="5"/>
  <c r="K38" i="5"/>
  <c r="V26" i="5"/>
  <c r="G44" i="5"/>
  <c r="S44" i="5" s="1"/>
  <c r="U42" i="5"/>
  <c r="H42" i="5"/>
  <c r="T16" i="5"/>
  <c r="T17" i="5"/>
  <c r="B6" i="1"/>
  <c r="G13" i="1"/>
  <c r="F19" i="5" s="1"/>
  <c r="E13" i="1"/>
  <c r="H13" i="1" s="1"/>
  <c r="E19" i="5" s="1"/>
  <c r="D13" i="1"/>
  <c r="V13" i="1" s="1"/>
  <c r="W13" i="1" l="1"/>
  <c r="N13" i="1"/>
  <c r="I13" i="1"/>
  <c r="M13" i="1"/>
  <c r="O13" i="1"/>
  <c r="J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I18" i="5"/>
  <c r="U18" i="5"/>
  <c r="G18" i="5"/>
  <c r="S18" i="5" s="1"/>
  <c r="H18" i="5"/>
  <c r="K18" i="5"/>
  <c r="L18" i="5"/>
  <c r="I17" i="5"/>
  <c r="K17" i="5"/>
  <c r="U17" i="5"/>
  <c r="G17" i="5"/>
  <c r="S17" i="5" s="1"/>
  <c r="L17" i="5"/>
  <c r="H17" i="5"/>
  <c r="V17" i="5"/>
  <c r="M11" i="1"/>
  <c r="T19" i="5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C55" i="5" l="1"/>
  <c r="B55" i="5"/>
  <c r="D55" i="5" s="1"/>
  <c r="G42" i="1"/>
  <c r="F55" i="5" s="1"/>
  <c r="E42" i="1"/>
  <c r="D42" i="1"/>
  <c r="V42" i="1" s="1"/>
  <c r="E55" i="5" l="1"/>
  <c r="I55" i="5" s="1"/>
  <c r="E48" i="5"/>
  <c r="T55" i="5"/>
  <c r="W42" i="1"/>
  <c r="J42" i="1"/>
  <c r="I42" i="1"/>
  <c r="O42" i="1"/>
  <c r="N42" i="1"/>
  <c r="M42" i="1"/>
  <c r="P42" i="1"/>
  <c r="T42" i="1"/>
  <c r="G9" i="1"/>
  <c r="F15" i="5" s="1"/>
  <c r="E9" i="1"/>
  <c r="H9" i="1" s="1"/>
  <c r="E15" i="5" s="1"/>
  <c r="D9" i="1"/>
  <c r="V9" i="1" s="1"/>
  <c r="L48" i="5" l="1"/>
  <c r="H48" i="5"/>
  <c r="K48" i="5"/>
  <c r="U48" i="5"/>
  <c r="G48" i="5"/>
  <c r="S48" i="5" s="1"/>
  <c r="V48" i="5"/>
  <c r="I48" i="5"/>
  <c r="K55" i="5"/>
  <c r="H55" i="5"/>
  <c r="G55" i="5"/>
  <c r="S55" i="5" s="1"/>
  <c r="U55" i="5"/>
  <c r="L55" i="5"/>
  <c r="V55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K16" i="5" l="1"/>
  <c r="G16" i="5"/>
  <c r="S16" i="5" s="1"/>
  <c r="I16" i="5"/>
  <c r="U16" i="5"/>
  <c r="L16" i="5"/>
  <c r="V16" i="5"/>
  <c r="H16" i="5"/>
  <c r="H19" i="5"/>
  <c r="L19" i="5"/>
  <c r="I19" i="5"/>
  <c r="G19" i="5"/>
  <c r="S19" i="5" s="1"/>
  <c r="K19" i="5"/>
  <c r="U19" i="5"/>
  <c r="V19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44" i="1"/>
  <c r="K12" i="5" l="1"/>
  <c r="H12" i="5"/>
  <c r="V12" i="5"/>
  <c r="T12" i="5"/>
  <c r="U12" i="5"/>
  <c r="I12" i="5"/>
  <c r="L12" i="5"/>
  <c r="S12" i="5"/>
  <c r="R3" i="1" l="1"/>
  <c r="D1" i="1"/>
  <c r="F6" i="1"/>
  <c r="T44" i="1"/>
  <c r="T13" i="5"/>
  <c r="T7" i="1" l="1"/>
  <c r="W44" i="1"/>
  <c r="G6" i="1" l="1"/>
  <c r="K13" i="5"/>
  <c r="H13" i="5"/>
  <c r="L13" i="5"/>
  <c r="S13" i="5"/>
  <c r="U13" i="5"/>
  <c r="V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38" i="1" l="1"/>
  <c r="L30" i="1"/>
  <c r="L34" i="1"/>
  <c r="L26" i="1"/>
  <c r="L18" i="1"/>
  <c r="L22" i="1"/>
  <c r="L42" i="1"/>
  <c r="L14" i="1"/>
  <c r="L9" i="1"/>
  <c r="L10" i="1"/>
  <c r="C7" i="1"/>
  <c r="P44" i="1"/>
  <c r="N44" i="1"/>
  <c r="I44" i="1"/>
  <c r="J44" i="1"/>
  <c r="O44" i="1"/>
  <c r="Q7" i="1" l="1"/>
  <c r="M68" i="3" s="1"/>
  <c r="L7" i="1"/>
  <c r="G68" i="3" s="1"/>
  <c r="K68" i="3"/>
  <c r="J68" i="3"/>
  <c r="K44" i="1"/>
  <c r="M4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<sst xmlns="http://schemas.openxmlformats.org/spreadsheetml/2006/main" count="574" uniqueCount="405">
  <si>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</si>
  <si>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</si>
  <si>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</si>
  <si>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</si>
  <si>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</si>
  <si>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</si>
  <si>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</si>
  <si>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</si>
  <si>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</si>
  <si>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</si>
  <si>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</si>
  <si>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</si>
  <si>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</si>
  <si>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</si>
  <si>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</si>
  <si>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</si>
  <si>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</si>
  <si>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</si>
  <si>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</si>
  <si>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</si>
  <si>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</si>
  <si>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</si>
  <si>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</si>
  <si>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</si>
  <si>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</si>
  <si>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</si>
  <si>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</si>
  <si>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</si>
  <si>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</si>
  <si>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</si>
  <si>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</si>
  <si>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</si>
  <si>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</si>
  <si>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</si>
  <si>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</si>
  <si>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</si>
  <si>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</si>
  <si>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</si>
  <si>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</si>
  <si>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</si>
  <si>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</si>
  <si>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</si>
  <si>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</si>
  <si>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</si>
  <si>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</si>
  <si>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</si>
  <si>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</si>
  <si>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</si>
  <si>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</si>
  <si>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</si>
  <si>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</si>
  <si>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</si>
  <si>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</si>
  <si>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</si>
  <si>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</si>
  <si>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</si>
  <si>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</si>
  <si>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</si>
  <si>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</si>
  <si>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</si>
  <si>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</si>
  <si>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</si>
  <si>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</si>
  <si>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</si>
  <si>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</si>
  <si>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</si>
  <si>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</si>
  <si>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</si>
  <si>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</si>
  <si>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</si>
  <si>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</si>
  <si>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</si>
  <si>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</si>
  <si>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</si>
  <si>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</si>
  <si>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</si>
  <si>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</si>
  <si>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</si>
  <si>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</si>
  <si>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</si>
  <si>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</si>
  <si>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</si>
  <si>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</si>
  <si>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</si>
  <si>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</si>
  <si>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</si>
  <si>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</si>
  <si>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</si>
  <si>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</si>
  <si>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</si>
  <si>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</si>
  <si>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</si>
  <si>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</si>
  <si>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</si>
  <si>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</si>
  <si>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</si>
  <si>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</si>
  <si>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</si>
  <si>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</si>
  <si>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</si>
  <si>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</si>
  <si>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</si>
  <si>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</si>
  <si>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</si>
  <si>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</si>
  <si>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</si>
  <si>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</si>
  <si>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</si>
  <si>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</si>
  <si>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</si>
  <si>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</si>
  <si>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</si>
  <si>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</si>
  <si>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</si>
  <si>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</si>
  <si>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</si>
  <si>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</si>
  <si>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</si>
  <si>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</si>
  <si>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</si>
  <si>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</si>
  <si>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</si>
  <si>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</si>
  <si>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</si>
  <si>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</si>
  <si>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</si>
  <si>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</si>
  <si>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</si>
  <si>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</si>
  <si>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</si>
  <si>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</si>
  <si>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</si>
  <si>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</si>
  <si>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</si>
  <si>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</si>
  <si>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</si>
  <si>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</si>
  <si>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</si>
  <si>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</si>
  <si>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</si>
  <si>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</si>
  <si>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</si>
  <si>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</si>
  <si>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</si>
  <si>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</si>
  <si>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</si>
  <si>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</si>
  <si>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</si>
  <si>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</si>
  <si>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</si>
  <si>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</si>
  <si>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</si>
  <si>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</si>
  <si>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</si>
  <si>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</si>
  <si>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</si>
  <si>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</si>
  <si>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</si>
  <si>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</si>
  <si>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</si>
  <si>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</si>
  <si>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</si>
  <si>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</si>
  <si>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</si>
  <si>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</si>
  <si>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</si>
  <si>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</si>
  <si>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</si>
  <si>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</si>
  <si>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</si>
  <si>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</si>
  <si>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</si>
  <si>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</si>
  <si>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</si>
  <si>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</si>
  <si>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</si>
  <si>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</si>
  <si>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</si>
  <si>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</si>
  <si>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</si>
  <si>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</si>
  <si>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</si>
  <si>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</si>
  <si>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</si>
  <si>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</si>
  <si>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</si>
  <si>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</si>
  <si>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</si>
  <si>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</si>
  <si>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</si>
  <si>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</si>
  <si>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</si>
  <si>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</si>
  <si>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</si>
  <si>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</si>
  <si>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</si>
  <si>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</si>
  <si>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</si>
  <si>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</si>
  <si>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</si>
  <si>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</si>
  <si>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</si>
  <si>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</si>
  <si>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</si>
  <si>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</si>
  <si>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</si>
  <si>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</si>
  <si>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</si>
  <si>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</si>
  <si>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</si>
  <si>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</si>
  <si>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</si>
  <si>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</si>
  <si>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</si>
  <si>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</si>
  <si>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</si>
  <si>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</si>
  <si>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</si>
  <si>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</si>
  <si>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</si>
  <si>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</si>
  <si>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</si>
  <si>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</si>
  <si>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</si>
  <si>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</si>
  <si>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</si>
  <si>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</si>
  <si>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</si>
  <si>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</si>
  <si>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</si>
  <si>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</si>
  <si>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</si>
  <si>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</si>
  <si>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</si>
  <si>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</si>
  <si>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</si>
  <si>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</si>
  <si>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</si>
  <si>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</si>
  <si>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</si>
  <si>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</si>
  <si>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</si>
  <si>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</si>
  <si>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</si>
  <si>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</si>
  <si>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</si>
  <si>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</si>
  <si>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</si>
  <si>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</si>
  <si>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</si>
  <si>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</si>
  <si>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</si>
  <si>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</si>
  <si>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</si>
  <si>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</si>
  <si>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</si>
  <si>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</si>
  <si>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</si>
  <si>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</si>
  <si>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</si>
  <si>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</si>
  <si>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</si>
  <si>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</si>
  <si>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</si>
  <si>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</si>
  <si>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</si>
  <si>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</si>
  <si>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</si>
  <si>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</si>
  <si>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</si>
  <si>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</si>
  <si>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</si>
  <si>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</si>
  <si>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</si>
  <si>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</si>
  <si>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</si>
  <si>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</si>
  <si>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</si>
  <si>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</si>
  <si>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</si>
  <si>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</si>
  <si>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</si>
  <si>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</si>
  <si>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</si>
  <si>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</si>
  <si>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</si>
  <si>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</si>
  <si>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</si>
  <si>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</si>
  <si>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</si>
  <si>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</si>
  <si>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</si>
  <si>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</si>
  <si>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</si>
  <si>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</si>
  <si>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</si>
  <si>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</si>
  <si>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</si>
  <si>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</si>
  <si>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</si>
  <si>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</si>
  <si>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</si>
  <si>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</si>
  <si>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</si>
  <si>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</si>
  <si>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</si>
  <si>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</si>
  <si>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</si>
  <si>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</si>
  <si>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</si>
  <si>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</si>
  <si>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</si>
  <si>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</si>
  <si>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</si>
  <si>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</si>
  <si>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</si>
  <si>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</si>
  <si>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</si>
  <si>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</si>
  <si>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</si>
  <si>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</si>
  <si>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</si>
  <si>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</si>
  <si>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</si>
  <si>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</si>
  <si>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</si>
  <si>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</si>
  <si>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</si>
  <si>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</si>
  <si>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</si>
  <si>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</si>
  <si>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</si>
  <si>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</si>
  <si>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</si>
  <si>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</si>
  <si>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</si>
  <si>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</si>
  <si>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</si>
  <si>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</si>
  <si>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</si>
  <si>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</si>
  <si>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</si>
  <si>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</si>
  <si>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</si>
  <si>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</si>
  <si>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</si>
  <si>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</si>
  <si>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</si>
  <si>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</si>
  <si>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</si>
  <si>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</si>
  <si>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BILLOFLADING_NO</t>
  </si>
  <si>
    <t>SHIPMENT_ID</t>
  </si>
  <si>
    <t>BILL_DATE</t>
  </si>
  <si>
    <t>STATUS</t>
  </si>
  <si>
    <t>STATUS_CODE</t>
  </si>
  <si>
    <t>INVOICE_NO</t>
  </si>
  <si>
    <t>BILL_ID</t>
  </si>
  <si>
    <t>ORDERTYPE_CODE</t>
  </si>
  <si>
    <t>GOODSTYPE_CODE</t>
  </si>
  <si>
    <t>INVOICE_PARENT_ID</t>
  </si>
  <si>
    <t>INVOICE_DATE</t>
  </si>
  <si>
    <t>FOB</t>
  </si>
  <si>
    <t>FREIGHT</t>
  </si>
  <si>
    <t>FREIGHT_TOTAL</t>
  </si>
  <si>
    <t>INSURANCE</t>
  </si>
  <si>
    <t>INSURANCE_TOTAL</t>
  </si>
  <si>
    <t>CIF</t>
  </si>
  <si>
    <t>THC_TOTAL</t>
  </si>
  <si>
    <t>NET_WEIGHT</t>
  </si>
  <si>
    <t>GROSS_WEIGHT</t>
  </si>
  <si>
    <t>CEPT_TYPE</t>
  </si>
  <si>
    <t>CURRENCY</t>
  </si>
  <si>
    <t>REMARKS</t>
  </si>
  <si>
    <t>SUPPLIER_NO</t>
  </si>
  <si>
    <t>QUANTITY</t>
  </si>
  <si>
    <t>FLAG</t>
  </si>
  <si>
    <t>FREEZED</t>
  </si>
  <si>
    <t>SOURCE_TYPE</t>
  </si>
  <si>
    <t>STATUS_ERR</t>
  </si>
  <si>
    <t>LAST_ORDERTYPE</t>
  </si>
  <si>
    <t>FOB_VN</t>
  </si>
  <si>
    <t>FREIGHT_TOTAL_VN</t>
  </si>
  <si>
    <t>INSURANCE_TOTAL_VN</t>
  </si>
  <si>
    <t>CIF_VN</t>
  </si>
  <si>
    <t>THC_TOTAL_VN</t>
  </si>
  <si>
    <t>SPOTAX</t>
  </si>
  <si>
    <t>PERIOD_ID</t>
  </si>
  <si>
    <t>varchar(20)</t>
  </si>
  <si>
    <t>varchar(4)</t>
  </si>
  <si>
    <t>decimal(14,5)</t>
  </si>
  <si>
    <t>decimal(18,5)</t>
  </si>
  <si>
    <t>decimal(18,4)</t>
  </si>
  <si>
    <t>varchar(10)</t>
  </si>
  <si>
    <t>nvarchar(1000)</t>
  </si>
  <si>
    <t>varchar(2)</t>
  </si>
  <si>
    <t>varchar(1000)</t>
  </si>
  <si>
    <t>InvCkdInvoice</t>
  </si>
  <si>
    <t>Invoice</t>
  </si>
  <si>
    <t>int?</t>
  </si>
  <si>
    <t>long?</t>
  </si>
  <si>
    <t>DateTime?</t>
  </si>
  <si>
    <t>TimeSpan?</t>
  </si>
  <si>
    <t>decimal?</t>
  </si>
  <si>
    <t>byte?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</si>
</sst>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[Table("InvCkdInvoice")]
	public class InvCkdInvoice: FullAuditedEntity&lt;long&gt;, IEntity&lt;long&gt;	
	{
		public const int MaxInvoiceNoLength = 20;
		public const int MaxOrdertypeCodeLength = 4;
		public const int MaxGoodstypeCodeLength = 4;
		public const int MaxCeptTypeLength = 10;
		public const int MaxCurrencyLength = 20;
		public const int MaxRemarksLength = 1000;
		public const int MaxSupplierNoLength = 10;
		public const int MaxSourceTypeLength = 2;
		public const int MaxStatusErrLength = 1000;
		public const int MaxLastOrdertypeLength = 4;
		public const int MaxStatusLength = 10;
		public const int MaxSpotaxLength = 1;
		public const int MaxIsActiveLength = 1;
		[StringLength(MaxInvoiceNoLength)]
		public virtual string InvoiceNo { get; set; }
		public virtual long? BillId { get; set; }
		[StringLength(MaxOrdertypeCodeLength)]
		public virtual string OrdertypeCode { get; set; }
		[StringLength(MaxGoodstypeCodeLength)]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[StringLength(MaxCeptTypeLength)]
		public virtual string CeptType { get; set; }
		[StringLength(MaxCurrencyLength)]
		public virtual string Currency { get; set; }
		[StringLength(MaxRemarksLength)]
		public virtual string Remarks { get; set; }
		[StringLength(MaxSupplierNoLength)]
		public virtual string SupplierNo { get; set; }
		public virtual int? Quantity { get; set; }
		public virtual int? Flag { get; set; }
		public virtual int? Freezed { get; set; }
		[StringLength(MaxSourceTypeLength)]
		public virtual string SourceType { get; set; }
		[StringLength(MaxStatusErrLength)]
		public virtual string StatusErr { get; set; }
		[StringLength(MaxLastOrdertypeLength)]
		public virtual string LastOrdertype { get; set; }
		[StringLength(MaxStatusLength)]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[StringLength(MaxSpotaxLength)]
		public virtual string Spotax { get; set; }
		public virtual long? PeriodId { get; set; }
		[StringLength(MaxIsActiveLength)]
		public virtual string IsActive { get; set; }
	}
}
</v>
      </c>
      <c r="D68" s="48" t="str">
        <f>A.Backend!O7</f>
        <v xml:space="preserve">		public const string Pages_Inventory_CKD_Invoice = "Pages.Inventory.CKD.Invoice";
		public const string Pages_Inventory_CKD_Invoice_CreateEdit = "Pages.Inventory.CKD.Invoice.CreateEdit";
		public const string Pages_Inventory_CKD_Invoice_Delete = "Pages.Inventory.CKD.Invoice.Delete";
</v>
      </c>
      <c r="E68" s="48" t="str">
        <f>A.Backend!N7</f>
        <v xml:space="preserve">		var perInvCkdInvoice = PARENTS.CreateChildPermission(AppPermissions.Pages_Inventory_CKD_Invoice, L( "InventoryCKDInvoice"), multiTenancySides: MultiTenancySides.Tenant);
		perInvCkdInvoice.CreateChildPermission(AppPermissions.Pages_Inventory_CKD_Invoice_CreateEdit, L( "InventoryCKDInvoiceCreateEdit"), multiTenancySides: MultiTenancySides.Tenant);
		perInvCkdInvoice.CreateChildPermission(AppPermissions.Pages_Inventory_CKD_Invoice_Delete, L( "InventoryCKDInvoiceDelete"), multiTenancySides: MultiTenancySides.Tenant);</v>
      </c>
      <c r="F68" s="48" t="str">
        <f>A.Backend!K7</f>
        <v>public virtual DbSet&lt;InvCkdInvoice&gt; InvCkdInvoices { get; set; }</v>
      </c>
      <c r="G68" s="48" t="str">
        <f ca="1">A.Backend!L7</f>
        <v xml:space="preserve">namespace prod.Inventory.CKD
{
	public class InvCkdInvoiceConsts	
	{
		public const int MaxInvoiceNoLength = 20;
		public const int MaxOrdertypeCodeLength = 4;
		public const int MaxGoodstypeCodeLength = 4;
		public const int MaxCeptTypeLength = 10;
		public const int MaxCurrencyLength = 20;
		public const int MaxRemarksLength = 1000;
		public const int MaxSupplierNoLength = 10;
		public const int MaxSourceTypeLength = 2;
		public const int MaxStatusErrLength = 1000;
		public const int MaxLastOrdertypeLength = 4;
		public const int MaxStatusLength = 10;
		public const int MaxSpotaxLength = 1;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InvCkdInvoiceDto : EntityDto&lt;long?&gt;	
	{
		public virtual string InvoiceNo { get; set; }
		public virtual long? BillId { get; set; }
		public virtual string OrdertypeCode { get; set; }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public virtual string CeptType { get; set; }
		public virtual string Currency { get; set; }
		public virtual string Remarks { get; set; }
		public virtual string SupplierNo { get; set; }
		public virtual int? Quantity { get; set; }
		public virtual int? Flag { get; set; }
		public virtual int? Freezed { get; set; }
		public virtual string SourceType { get; set; }
		public virtual string StatusErr { get; set; }
		public virtual string LastOrdertype { get; set; }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public virtual string Spotax { get; set; }
		public virtual long? PeriodId { get; set; }
		public virtual string IsActive { get; set; }
	}
	public class CreateOrEditInvCkdInvoiceDto : EntityDto&lt;long?&gt;	
	{
		[StringLength(InvCkdInvoiceConsts.MaxInvoiceNoLength)]
		public virtual string InvoiceNo { get; set; }
		public virtual long? BillId { get; set; }
		[StringLength(InvCkdInvoiceConsts.MaxOrdertypeCodeLength)]
		public virtual string OrdertypeCode { get; set; }
		[StringLength(InvCkdInvoiceConsts.MaxGoodstypeCodeLength)]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[StringLength(InvCkdInvoiceConsts.MaxCeptTypeLength)]
		public virtual string CeptType { get; set; }
		[StringLength(InvCkdInvoiceConsts.MaxCurrencyLength)]
		public virtual string Currency { get; set; }
		[StringLength(InvCkdInvoiceConsts.MaxRemarksLength)]
		public virtual string Remarks { get; set; }
		[StringLength(InvCkdInvoiceConsts.MaxSupplierNoLength)]
		public virtual string SupplierNo { get; set; }
		public virtual int? Quantity { get; set; }
		public virtual int? Flag { get; set; }
		public virtual int? Freezed { get; set; }
		[StringLength(InvCkdInvoiceConsts.MaxSourceTypeLength)]
		public virtual string SourceType { get; set; }
		[StringLength(InvCkdInvoiceConsts.MaxStatusErrLength)]
		public virtual string StatusErr { get; set; }
		[StringLength(InvCkdInvoiceConsts.MaxLastOrdertypeLength)]
		public virtual string LastOrdertype { get; set; }
		[StringLength(InvCkdInvoiceConsts.MaxStatusLength)]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[StringLength(InvCkdInvoiceConsts.MaxSpotaxLength)]
		public virtual string Spotax { get; set; }
		public virtual long? PeriodId { get; set; }
		[StringLength(InvCkdInvoiceConsts.MaxIsActiveLength)]
		public virtual string IsActive { get; set; }
	}
	public class GetInvCkdInvoiceInput : PagedAndSortedResultRequestDto	
	{
		public virtual string InvoiceNo { get; set; }
		public virtual string OrdertypeCode { get; set; }
		public virtual string GoodstypeCode { get; set; }
		public virtual string CeptType { get; set; }
		public virtual string Currency { get; set; }
		public virtual string Remarks { get; set; }
		public virtual string SupplierNo { get; set; }
		public virtual string SourceType { get; set; }
		public virtual string StatusErr { get; set; }
		public virtual string LastOrdertype { get; set; }
		public virtual string Status { get; set; }
		public virtual string Spotax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InvCkdInvoiceExportInput{
		public virtual string InvoiceNo { get; set; }
		public virtual long? BillId { get; set; }
		public virtual string OrdertypeCode { get; set; }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public virtual string CeptType { get; set; }
		public virtual string Currency { get; set; }
		public virtual string Remarks { get; set; }
		public virtual string SupplierNo { get; set; }
		public virtual int? Quantity { get; set; }
		public virtual int? Flag { get; set; }
		public virtual int? Freezed { get; set; }
		public virtual string SourceType { get; set; }
		public virtual string StatusErr { get; set; }
		public virtual string LastOrdertype { get; set; }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public virtual string Spotax { get; set; }
		public virtual long? PeriodId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IInvCkdInvoiceAppService : IApplicationService
	{
		Task&lt;PagedResultDto&lt;InvCkdInvoiceDto&gt;&gt; GetAll(GetInvCkdInvoiceInput input);
		Task CreateOrEdit(CreateOrEditInvCkdInvoiceDto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IInvCkdInvoiceExcelExporter : IApplicationService
	{
		FileDto ExportToFile(List&lt;InvCkdInvoiceDto&gt; invckdinvoice);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InvCkdInvoiceExcelExporter : NpoiExcelExporterBase, IInvCkdInvoiceExcelExporter
    {
        public InvCkdInvoiceExcelExporter(ITempFileCacheManager tempFileCacheManager) : base(tempFileCacheManager) { }
        public FileDto ExportToFile(List&lt;InvCkdInvoiceDto&gt; invoice)
        {
            return CreateExcelPackage(
				"InventoryCKDInvoice.xlsx",
				excelPackage =&gt;
				 {
					var sheet = excelPackage.CreateSheet("Invoice");
					AddHeader(
								sheet,
								("InvoiceNo"),
								("BillId"),
								("OrdertypeCode"),
								("GoodstypeCode"),
								("InvoiceParentId"),
								("InvoiceDate"),
								("Fob"),
								("Freight"),
								("FreightTotal"),
								("Insurance"),
								("InsuranceTotal"),
								("Cif"),
								("ThcTotal"),
								("NetWeight"),
								("GrossWeight"),
								("CeptType"),
								("Currency"),
								("Remarks"),
								("SupplierNo"),
								("Quantity"),
								("Flag"),
								("Freezed"),
								("SourceType"),
								("StatusErr"),
								("LastOrdertype"),
								("Status"),
								("FobVn"),
								("FreightTotalVn"),
								("InsuranceTotalVn"),
								("CifVn"),
								("ThcTotalVn"),
								("Spotax"),
								("PeriodId"),
								("IsActive"),
							   );
					AddObjects(
						 sheet, 1, invoice,                                       
								_ =&gt; _.InvoiceNo,
								_ =&gt; _.BillId,
								_ =&gt; _.OrdertypeCode,
								_ =&gt; _.GoodstypeCode,
								_ =&gt; _.InvoiceParentId,
								_ =&gt; _.InvoiceDate,
								_ =&gt; _.Fob,
								_ =&gt; _.Freight,
								_ =&gt; _.FreightTotal,
								_ =&gt; _.Insurance,
								_ =&gt; _.InsuranceTotal,
								_ =&gt; _.Cif,
								_ =&gt; _.ThcTotal,
								_ =&gt; _.NetWeight,
								_ =&gt; _.GrossWeight,
								_ =&gt; _.CeptType,
								_ =&gt; _.Currency,
								_ =&gt; _.Remarks,
								_ =&gt; _.SupplierNo,
								_ =&gt; _.Quantity,
								_ =&gt; _.Flag,
								_ =&gt; _.Freezed,
								_ =&gt; _.SourceType,
								_ =&gt; _.StatusErr,
								_ =&gt; _.LastOrdertype,
								_ =&gt; _.Status,
								_ =&gt; _.FobVn,
								_ =&gt; _.FreightTotalVn,
								_ =&gt; _.InsuranceTotalVn,
								_ =&gt; _.CifVn,
								_ =&gt; _.ThcTotalVn,
								_ =&gt; _.Spotax,
								_ =&gt; _.PeriodId,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[AbpAuthorize(AppPermissions.Pages_Inventory_CKD_Invoice)]
    public class InvCkdInvoiceAppService : vovinaAppServiceBase, IInvCkdInvoiceAppService
    {
        private readonly IDapperRepository&lt;InvCkdInvoice, long&gt; _dapperRepo;
        private readonly IRepository&lt;InvCkdInvoice, long&gt; _repo;
        private readonly IInvCkdInvoiceExcelExporter _calendarListExcelExporter;
        public InvCkdInvoiceAppService(IRepository&lt;InvCkdInvoice,long&gt; repo, 
                                         IDapperRepository&lt;InvCkdInvoice,long&gt; dapperRepo,
                                        IInvCkdInvoiceExcelExporter calendarListExcelExporter
            )
        {
            _repo = repo;
            _dapperRepo = dapperRepo;
            _calendarListExcelExporter = calendarListExcelExporter;
        }
        [AbpAuthorize(AppPermissions.Pages_Inventory_CKD_Invoice_CreateEdit)]
        public async Task CreateOrEdit(CreateOrEditInvCkdInvoiceDto input)
        {
            if (input.Id == null) await Create(input);
            else await Update(input);
        }
        //CREATE
        private async Task Create(CreateOrEditInvCkdInvoiceDto input)
        {          
            var mainObj = ObjectMapper.Map&lt;InvCkdInvoice&gt;(input);
            await CurrentUnitOfWork.GetDbContext&lt;vovinaDbContext&gt;().AddAsync(mainObj);
        }
        // EDIT
        private async Task Update(CreateOrEditInvCkdInvoiceDto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Task&lt;PagedResultDto&lt;InvCkdInvoiceDto&gt;&gt; GetAll(GetInvCkdInvoiceInput input)
        {
            var filtered = _repo.GetAll()
				.WhereIf(!string.IsNullOrWhiteSpace(input.InvoiceNo), e =&gt; e.InvoiceNo.Contains(input.InvoiceNo))
				.WhereIf(!string.IsNullOrWhiteSpace(input.OrdertypeCode), e =&gt; e.OrdertypeCode.Contains(input.OrdertypeCode))
				.WhereIf(!string.IsNullOrWhiteSpace(input.GoodstypeCode), e =&gt; e.GoodstypeCode.Contains(input.GoodstypeCode))
				.WhereIf(!string.IsNullOrWhiteSpace(input.CeptType), e =&gt; e.CeptType.Contains(input.CeptType))
				.WhereIf(!string.IsNullOrWhiteSpace(input.Currency), e =&gt; e.Currency.Contains(input.Currency))
				.WhereIf(!string.IsNullOrWhiteSpace(input.Remarks), e =&gt; e.Remarks.Contains(input.Remarks))
				.WhereIf(!string.IsNullOrWhiteSpace(input.SupplierNo), e =&gt; e.SupplierNo.Contains(input.SupplierNo))
				.WhereIf(!string.IsNullOrWhiteSpace(input.SourceType), e =&gt; e.SourceType.Contains(input.SourceType))
				.WhereIf(!string.IsNullOrWhiteSpace(input.StatusErr), e =&gt; e.StatusErr.Contains(input.StatusErr))
				.WhereIf(!string.IsNullOrWhiteSpace(input.LastOrdertype), e =&gt; e.LastOrdertype.Contains(input.LastOrdertype))
				.WhereIf(!string.IsNullOrWhiteSpace(input.Status), e =&gt; e.Status.Contains(input.Status))
				.WhereIf(!string.IsNullOrWhiteSpace(input.Spotax), e =&gt; e.Spotax.Contains(input.Spotax))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InvCkdInvoiceDto
                        {
							Id = o.Id,
							InvoiceNo = o.InvoiceNo,
							BillId = o.BillId,
							OrdertypeCode = o.OrdertypeCode,
							GoodstypeCode = o.GoodstypeCode,
							InvoiceParentId = o.InvoiceParentId,
							InvoiceDate = o.InvoiceDate,
							Fob = o.Fob,
							Freight = o.Freight,
							FreightTotal = o.FreightTotal,
							Insurance = o.Insurance,
							InsuranceTotal = o.InsuranceTotal,
							Cif = o.Cif,
							ThcTotal = o.ThcTotal,
							NetWeight = o.NetWeight,
							GrossWeight = o.GrossWeight,
							CeptType = o.CeptType,
							Currency = o.Currency,
							Remarks = o.Remarks,
							SupplierNo = o.SupplierNo,
							Quantity = o.Quantity,
							Flag = o.Flag,
							Freezed = o.Freezed,
							SourceType = o.SourceType,
							StatusErr = o.StatusErr,
							LastOrdertype = o.LastOrdertype,
							Status = o.Status,
							FobVn = o.FobVn,
							FreightTotalVn = o.FreightTotalVn,
							InsuranceTotalVn = o.InsuranceTotalVn,
							CifVn = o.CifVn,
							ThcTotalVn = o.ThcTotalVn,
							Spotax = o.Spotax,
							PeriodId = o.PeriodId,
							IsActive = o.IsActive,
                        };
            var totalCount = await filtered.CountAsync();
			var paged = system.PageBy(input);
            return new PagedResultDto&lt;InvCkdInvoiceDto&gt;(
                totalCount,
                 await paged.ToListAsync()
            );
        }
        public async Task&lt;FileDto&gt; GetInvoiceToExcel(InvCkdInvoiceExportInput input)
        {
            var query = from o in _repo.GetAll()
                        select new InvCkdInvoiceDto
                        {
							Id = o.Id,
							InvoiceNo = o.InvoiceNo,
							BillId = o.BillId,
							OrdertypeCode = o.OrdertypeCode,
							GoodstypeCode = o.GoodstypeCode,
							InvoiceParentId = o.InvoiceParentId,
							InvoiceDate = o.InvoiceDate,
							Fob = o.Fob,
							Freight = o.Freight,
							FreightTotal = o.FreightTotal,
							Insurance = o.Insurance,
							InsuranceTotal = o.InsuranceTotal,
							Cif = o.Cif,
							ThcTotal = o.ThcTotal,
							NetWeight = o.NetWeight,
							GrossWeight = o.GrossWeight,
							CeptType = o.CeptType,
							Currency = o.Currency,
							Remarks = o.Remarks,
							SupplierNo = o.SupplierNo,
							Quantity = o.Quantity,
							Flag = o.Flag,
							Freezed = o.Freezed,
							SourceType = o.SourceType,
							StatusErr = o.StatusErr,
							LastOrdertype = o.LastOrdertype,
							Status = o.Status,
							FobVn = o.FobVn,
							FreightTotalVn = o.FreightTotalVn,
							InsuranceTotalVn = o.InsuranceTotalVn,
							CifVn = o.CifVn,
							ThcTotalVn = o.ThcTotalVn,
							Spotax = o.Spotax,
							PeriodId = o.PeriodId,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_dapperRepo.ExecuteAsync(InvCkdInvoiceConsts.SP_MST_WPT_CALENDAR_GENERATE);
       // }
    }
}</v>
      </c>
      <c r="N68" s="58" t="str">
        <f>A.Backend!U7</f>
        <v xml:space="preserve">  configuration.CreateMap&lt;InvCkdInvoiceDto, InvCkdInvoice&gt;();
  configuration.CreateMap&lt;InvCkdInvoice, InvCkdInvoiceDto&gt;();
  configuration.CreateMap&lt;CreateOrEditInvCkdInvoiceDto, InvCkdInvoice&gt;();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invoice</v>
      </c>
      <c r="C73" s="66" t="str">
        <f>"create folder " &amp;B73</f>
        <v>create folder invoice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invoice.component.ts</v>
      </c>
      <c r="D74" s="28" t="str">
        <f>B.Frontend!I14</f>
        <v>invoice.component.html</v>
      </c>
      <c r="E74" s="28" t="str">
        <f>B.Frontend!J14</f>
        <v>invoice.component.less</v>
      </c>
      <c r="F74" s="28" t="str">
        <f>B.Frontend!K14</f>
        <v>create-or-edit-invoice-modal.component.html</v>
      </c>
      <c r="G74" s="28" t="str">
        <f>B.Frontend!L14</f>
        <v>create-or-edit-invoice-modal.component.ts</v>
      </c>
      <c r="H74" s="28" t="str">
        <f>B.Frontend!M14</f>
        <v>create-or-edit-invoice-modal.component.less</v>
      </c>
      <c r="I74" s="28" t="str">
        <f>B.Frontend!N14</f>
        <v>invoice.module.ts</v>
      </c>
      <c r="J74" s="28" t="str">
        <f>B.Frontend!O14</f>
        <v>invoice-routing.module.ts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InvCkdInvoiceDto, InvCkdInvoiceServiceProxy } from '@shared/service-proxies/service-proxies';
import { finalize } from 'rxjs/internal/operators/finalize';
import { CreateOrEditInvoiceModalComponent } from './create-or-edit-invoice-modal.component';
import { DatePipe } from '@angular/common';
import { FileDownloadService } from '@shared/utils/file-download.service';
import ceil from 'lodash-es/ceil';
import { Paginator } from 'primeng/paginator';
@Component({
    templateUrl: './invoice.component.html',
    styleUrls: ['./invoice.component.less'],
})
export class InvoiceComponent extends AppComponentBase implements OnInit {
    @ViewChild('createOrEditModalInvoice', { static: true }) createOrEditModalInvoice:| CreateOrEditInvoiceModalComponent|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InvCkdInvoiceDto = new InvCkdInvoiceDto();
    saveSelectedRow: InvCkdInvoiceDto = new InvCkdInvoiceDto();
    datas: InvCkdInvoiceDto = new InvCkdInvoiceDto();
    isLoading: boolean = false;
    dataParams: GridParams | undefined;
    rowData: any[] = [];
    gridApi!: GridApi;
    rowSelection = 'multiple';
    filter: string = '';
	pipe = new DatePipe('en-US');
	frameworkComponents: FrameworkComponent;
    	invoiceNo : string = '' ; 
	billId
ordertypeCode : string = '' ; 
	goodstypeCode : string = '' ; 
	invoiceParentId
	invoiceDate
	fob
freight
	freightTotal
	insurance
	insuranceTotal
	cif
thcTotal
	netWeight
	grossWeight
	ceptType : string = '' ; 
	currency : string = '' ; 
remarks : string = '' ; 
	supplierNo : string = '' ; 
	quantity
	flag
	freezed
sourceType : string = '' ; 
	statusErr : string = '' ; 
	lastOrdertype : string = '' ; 
	status : string = '' ; 
	fobVn
freightTotalVn
	insuranceTotalVn
	cifVn
	thcTotalVn
	spotax : string = '' ; 
periodId
	isActive : string = '' ; 
	statusCode
	billofladingNo
	shipmentId
billDate
	status
	statusCode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this.l('Invoice No'),headerTooltip: this.l('Invoice No'),field: 'invoiceNo',flex: 1},
			{headerName: this.l('Bill Id'),headerTooltip: this.l('Bill Id'),field: 'billId',flex: 1},
			{headerName: this.l('Ordertype Code'),headerTooltip: this.l('Ordertype Code'),field: 'ordertypeCode',flex: 1},
			{headerName: this.l('Goodstype Code'),headerTooltip: this.l('Goodstype Code'),field: 'goodstypeCode',flex: 1},
			{headerName: this.l('Invoice Parent Id'),headerTooltip: this.l('Invoice Parent Id'),field: 'invoiceParentId',flex: 1},
			{headerName: this.l('Invoice Date'),headerTooltip: this.l('Invoice Date'),field: 'invoiceDate',flex: 1},
			{headerName: this.l('Fob'),headerTooltip: this.l('Fob'),field: 'fob',flex: 1},
			{headerName: this.l('Freight'),headerTooltip: this.l('Freight'),field: 'freight',flex: 1},
			{headerName: this.l('Freight Total'),headerTooltip: this.l('Freight Total'),field: 'freightTotal',flex: 1},
			{headerName: this.l('Insurance'),headerTooltip: this.l('Insurance'),field: 'insurance',flex: 1},
			{headerName: this.l('Insurance Total'),headerTooltip: this.l('Insurance Total'),field: 'insuranceTotal',flex: 1},
			{headerName: this.l('Cif'),headerTooltip: this.l('Cif'),field: 'cif',flex: 1},
			{headerName: this.l('Thc Total'),headerTooltip: this.l('Thc Total'),field: 'thcTotal',flex: 1},
			{headerName: this.l('Net Weight'),headerTooltip: this.l('Net Weight'),field: 'netWeight',flex: 1},
			{headerName: this.l('Gross Weight'),headerTooltip: this.l('Gross Weight'),field: 'grossWeight',flex: 1},
			{headerName: this.l('Cept Type'),headerTooltip: this.l('Cept Type'),field: 'ceptType',flex: 1},
			{headerName: this.l('Currency'),headerTooltip: this.l('Currency'),field: 'currency',flex: 1},
			{headerName: this.l('Remarks'),headerTooltip: this.l('Remarks'),field: 'remarks',flex: 1},
			{headerName: this.l('Supplier No'),headerTooltip: this.l('Supplier No'),field: 'supplierNo',flex: 1},
			{headerName: this.l('Quantity'),headerTooltip: this.l('Quantity'),field: 'quantity',flex: 1},
			{headerName: this.l('Flag'),headerTooltip: this.l('Flag'),field: 'flag',flex: 1},
			{headerName: this.l('Freezed'),headerTooltip: this.l('Freezed'),field: 'freezed',flex: 1},
			{headerName: this.l('Source Type'),headerTooltip: this.l('Source Type'),field: 'sourceType',flex: 1},
			{headerName: this.l('Status Err'),headerTooltip: this.l('Status Err'),field: 'statusErr',flex: 1},
			{headerName: this.l('Last Ordertype'),headerTooltip: this.l('Last Ordertype'),field: 'lastOrdertype',flex: 1},
			{headerName: this.l('Status'),headerTooltip: this.l('Status'),field: 'status',flex: 1},
			{headerName: this.l('Fob Vn'),headerTooltip: this.l('Fob Vn'),field: 'fobVn',flex: 1},
			{headerName: this.l('Freight Total Vn'),headerTooltip: this.l('Freight Total Vn'),field: 'freightTotalVn',flex: 1},
			{headerName: this.l('Insurance Total Vn'),headerTooltip: this.l('Insurance Total Vn'),field: 'insuranceTotalVn',flex: 1},
			{headerName: this.l('Cif Vn'),headerTooltip: this.l('Cif Vn'),field: 'cifVn',flex: 1},
			{headerName: this.l('Thc Total Vn'),headerTooltip: this.l('Thc Total Vn'),field: 'thcTotalVn',flex: 1},
			{headerName: this.l('Spotax'),headerTooltip: this.l('Spotax'),field:  'spotax', cellClass: ['text-center'], width: 120, cellRenderer: 'agCellButtonComponent',
buttonDefTwo: { text: params =&gt; (params.data?.'spotax' == 'Y') ? 'Active' : 'Inactive',iconName: 'fa fa-circle',className: params =&gt; (params.data?.'spotax' == 'Y') ? 'btnActive' : 'btnInActive',},}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
			{headerName: this.l('Status Code'),headerTooltip: this.l('Status Code'),field: 'statusCode',flex: 1},
			{headerName: this.l('Billoflading No'),headerTooltip: this.l('Billoflading No'),field: 'billofladingNo',flex: 1},
			{headerName: this.l('Shipment Id'),headerTooltip: this.l('Shipment Id'),field: 'shipmentId',flex: 1},
			{headerName: this.l('Bill Date'),headerTooltip: this.l('Bill Date'),field: 'billDate',flex: 1},
			{headerName: this.l('Status'),headerTooltip: this.l('Status'),field: 'status',flex: 1},
			{headerName: this.l('Status Code'),headerTooltip: this.l('Status Code'),field: 'statusCode',flex: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this.invoiceNo = '',
		this.billId = '',
this.ordertypeCode = '',
		this.goodstypeCode = '',
		this.invoiceParentId = '',
		this.invoiceDate = '',
		this.fob = '',
this.freight = '',
		this.freightTotal = '',
		this.insurance = '',
		this.insuranceTotal = '',
		this.cif = '',
this.thcTotal = '',
		this.netWeight = '',
		this.grossWeight = '',
		this.ceptType = '',
		this.currency = '',
this.remarks = '',
		this.supplierNo = '',
		this.quantity = '',
		this.flag = '',
		this.freezed = '',
this.sourceType = '',
		this.statusErr = '',
		this.lastOrdertype = '',
		this.status = '',
		this.fobVn = '',
this.freightTotalVn = '',
		this.insuranceTotalVn = '',
		this.cifVn = '',
		this.thcTotalVn = '',
		this.spotax = '',
this.periodId = '',
		this.isActive = '',
		this.statusCode = '',
		this.billofladingNo = '',
		this.shipmentId = '',
this.billDate = '',
		this.status = '',
		this.statusCode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
			'',
            this.paginationParams.skipCount,
            this.paginationParams.pageSize
        );
    }
    onChangeRowSelection(params: { api: { getSelectedRows: () =&gt; InvCkdInvoiceDto[] } }) {
        this.saveSelectedRow = params.api.getSelectedRows()[0] ?? new InvCkdInvoiceDto();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this._service.getInvoiceToExcel(
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[(ngModel)]='goodstypeCode' name='goodstypeCode'
									class='form-control' [placeholder]="l('Goodstype Code')"
									type='text' (keyup.enter)='searchDatas()'&gt;
								&lt;/div&gt;
								&lt;div class='input-search'&gt;
									&lt;input [(ngModel)]='ceptType' name='ceptType'
									class='form-control' [placeholder]="l('Cept Type')"
									type='text' (keyup.enter)='searchDatas()'&gt;
								&lt;/div&gt;
								&lt;div class='input-search'&gt;
									&lt;input [(ngModel)]='currency' name='currency'
									class='form-control' [placeholder]="l('Currency')"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[(ngModel)]='sourceType' name='sourceType'
									class='form-control' [placeholder]="l('Source Type')"
									type='text' (keyup.enter)='searchDatas()'&gt;
								&lt;/div&gt;
								&lt;div class='input-search'&gt;
									&lt;input [(ngModel)]='statusErr' name='statusErr'
									class='form-control' [placeholder]="l('Status Err')"
									type='text' (keyup.enter)='searchDatas()'&gt;
								&lt;/div&gt;
								&lt;div class='input-search'&gt;
									&lt;input [(ngModel)]='lastOrdertype' name='lastOrdertype'
									class='form-control' [placeholder]="l('Last Ordertype')"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[(ngModel)]='spotax' name='spotax'
									class='form-control' [placeholder]="l('Spotax')"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&lt;create-or-edit-invoice-modal
    #createOrEditModalInvoice
    (modalSave)="callBackDataGrid(dataParams)"
    (modalClose)="onChangeRowSelection(dataParams)"
&gt;
&lt;/create-or-edit-invoice-modal&gt;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#createOrEditModalInvoice="bs-modal"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Invoice')}}&lt;/h3&gt;
                    &lt;h3 *ngIf="!rowdata.id"&gt;{{('Create New Invoice')}}&lt;/h3&gt;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title'&gt;Goodstype Code&lt;/label&gt;
						&lt;input type='text' class='col-md-10 form-control input-text' name='GoodstypeCode' [(ngModel)]='rowdata.goodstypeCode'&gt;
					&lt;/div&gt;
					&lt;div class='col-md-12 form-group row'&gt;
						&lt;label class='col-md-2 form-control title'&gt;Cept Type&lt;/label&gt;
						&lt;input type='text' class='col-md-10 form-control input-text' name='CeptType' [(ngModel)]='rowdata.ceptType'&gt;
					&lt;/div&gt;
					&lt;div class='col-md-12 form-group row'&gt;
						&lt;label class='col-md-2 form-control title'&gt;Currency&lt;/label&gt;
						&lt;input type='text' class='col-md-10 form-control input-text' name='Currency' [(ngModel)]='rowdata.currency'&gt;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title'&gt;Source Type&lt;/label&gt;
						&lt;input type='text' class='col-md-10 form-control input-text' name='SourceType' [(ngModel)]='rowdata.sourceType'&gt;
					&lt;/div&gt;
					&lt;div class='col-md-12 form-group row'&gt;
						&lt;label class='col-md-2 form-control title'&gt;Status Err&lt;/label&gt;
						&lt;input type='text' class='col-md-10 form-control input-text' name='StatusErr' [(ngModel)]='rowdata.statusErr'&gt;
					&lt;/div&gt;
					&lt;div class='col-md-12 form-group row'&gt;
						&lt;label class='col-md-2 form-control title'&gt;Last Ordertype&lt;/label&gt;
						&lt;input type='text' class='col-md-10 form-control input-text' name='LastOrdertype' [(ngModel)]='rowdata.lastOrdertype'&gt;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title'&gt;Spotax&lt;/label&gt;
						&lt;new-checkbox [(ngModel)]='_spotax' name='spotax'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CreateOrEditInvCkdInvoiceDto, InvCkdInvoiceServiceProxy } from '@shared/service-proxies/service-proxies';
import { BsDatepickerDirective } from 'ngx-bootstrap/datepicker';
@Component({
    selector: 'create-or-edit-invoice-modal',
    templateUrl: './create-or-edit-invoice-modal.component.html',
    styleUrls: ['./create-or-edit-invoice-modal.component.less']
    })
export class CreateOrEditInvoiceModalComponent extends AppComponentBase {
    @ViewChild('createOrEditModalInvoice',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CreateOrEditInvCkdInvoiceDto = new CreateOrEditInvCkdInvoiceDto();
    active: boolean = false;
    saving: boolean = false;
    _spotax
isActive
isActive: boolean;
    constructor(
        injector: Injector,
        private _mstwptInvoiceService: InvCkdInvoiceServiceProxy,
    ) 
    {
        super(injector);
    }
    show(rowdata?: CreateOrEditInvCkdInvoiceDto): void {
        if (!rowdata) this.rowdata = new CreateOrEditInvCkdInvoiceDto();
        else this.rowdata = rowdata;
        this._spotax
isActive
isActive = (this.rowdata.spotax
isActive
isActive == "N")? false: true;
        this.active = true;
        this.modal.show();
    } 
    changeActive(event){
        this._spotax
isActive
isActive = event.target.checked;
    }
    save(): void {
    this.saving = true; 
    this.rowdata.spotax
isActive
isActive = (this._spotax
isActive
isActive == true) ? 'Y' : 'N'
    this._mstwptInvoiceService.createOrEdit(this.rowdata)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InvoiceRoutingModule } from './invoice-routing.module';
import { InvoiceComponent } from './invoice.component';
import { CreateOrEditInvoiceModalComponent } from './create-or-edit-invoice-modal.component';
@NgModule({
    declarations: [
       InvoiceComponent, 
        CreateOrEditInvoiceModalComponent
    ],
    imports: [
        AppSharedModule, InvoiceRoutingModule]
})
export class InvoiceModule {}</v>
      </c>
      <c r="J75" s="46" t="str">
        <f>B.Frontend!O10</f>
        <v>import {NgModule} from '@angular/core';
import {RouterModule, Routes} from '@angular/router';
import { InvoiceComponent } from './invoice.component';
const routes: Routes = [{
    path: '',
    component: InvoiceComponent,
    pathMatch: 'full'
}];
@NgModule({
    imports: [RouterModule.forChild(routes)],
    exports: [RouterModule],
})
export class InvoiceRoutingModule {}</v>
      </c>
      <c r="K75" s="46" t="str">
        <f>B.Frontend!P10</f>
        <v xml:space="preserve"> new AppMenuItem("Invoice", "Pages.Inventory.CKD.Invoice", "flaticon-book",   "/app/main/inventory/ckd/invoice"),</v>
      </c>
      <c r="L75" s="47" t="str">
        <f>B.Frontend!Q10</f>
        <v>{
    path: 'inventory/ckd/invoice',
    loadChildren: () =&gt; import('./inventory/ckd/invoice/invoice.module').then(m =&gt; m.InvoiceModule),
    data: { permission: 'Pages.Inventory.CKD.Invoice' }
},</v>
      </c>
      <c r="M75" s="45" t="str">
        <f>B.Frontend!R10</f>
        <v>ApiServiceProxies.InvCkdInvoiceServiceProxy,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4"/>
  <sheetViews>
    <sheetView tabSelected="1" topLeftCell="A4" workbookViewId="0">
      <pane xSplit="1" topLeftCell="R1" activePane="topRight" state="frozen"/>
      <selection pane="topRight" activeCell="W21" sqref="W2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397</v>
      </c>
      <c r="C3" s="9" t="s">
        <v>41</v>
      </c>
      <c r="D3" s="9" t="s">
        <v>42</v>
      </c>
      <c r="E3" s="9" t="s">
        <v>37</v>
      </c>
      <c r="F3" s="10" t="str">
        <f>"J"&amp;COUNTA($A:$A)</f>
        <v>J42</v>
      </c>
      <c r="G3" s="4" t="s">
        <v>54</v>
      </c>
      <c r="H3" s="9" t="str">
        <f>"I"&amp;COUNTA($A:$A)</f>
        <v>I42</v>
      </c>
      <c r="I3" s="9" t="str">
        <f>REPT(CHAR(9),2)&amp;"[Required]"&amp;"
"</f>
        <v xml:space="preserve">		[Required]
</v>
      </c>
      <c r="J3" s="10" t="str">
        <f>"L"&amp;COUNTA($A:$A)</f>
        <v>L42</v>
      </c>
      <c r="K3" s="5" t="s">
        <v>53</v>
      </c>
      <c r="L3" s="10" t="str">
        <f>"M"&amp;COUNTA($A:$A)</f>
        <v>M42</v>
      </c>
      <c r="M3" s="10" t="str">
        <f>"N"&amp;COUNTA($A:$A)</f>
        <v>N42</v>
      </c>
      <c r="N3" s="10" t="str">
        <f>"O"&amp;COUNTA($A:$A)</f>
        <v>O42</v>
      </c>
      <c r="O3" s="10" t="str">
        <f>"P"&amp;COUNTA($A:$A)</f>
        <v>P42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InvCkdInvoiceExportInput{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T42</v>
      </c>
      <c r="V3" s="10" t="str">
        <f>"V"&amp;COUNTA($A:$A)</f>
        <v>V42</v>
      </c>
      <c r="W3" s="9" t="str">
        <f>"W"&amp;COUNTA($A:$A)</f>
        <v>W42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398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InvCkdInvoice: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InvCkdInvoiceConsts	
	{
</v>
      </c>
      <c r="F6" s="10" t="str">
        <f>REPT(CHAR(9),1)&amp;"public class "&amp;B3&amp;"Dto"&amp;K3&amp;REPT(CHAR(9),1)&amp;"
"&amp;REPT(CHAR(9),1)&amp;C3</f>
        <v xml:space="preserve">	public class InvCkdInvoiceDto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CreateOrEditInvCkdInvoiceDto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GetInvCkdInvoiceInput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InvCkdInvoice</v>
      </c>
      <c r="C7" s="10" t="str">
        <f>REPT(CHAR(9),1)&amp;"[Table("""&amp;B7&amp;""")]"&amp;"
"</f>
        <v xml:space="preserve">	[Table("InvCkdInvoice")]
</v>
      </c>
      <c r="D7" s="10"/>
      <c r="E7" s="10"/>
      <c r="F7" s="10"/>
      <c r="G7" s="10"/>
      <c r="H7" s="10"/>
      <c r="I7" s="10"/>
      <c r="J7" t="str">
        <f ca="1">SUBSTITUTE(SUBSTITUTE((B1&amp;C6&amp;C7&amp;K44&amp;D6&amp;I44&amp;E3&amp;J44&amp;""&amp;REPT(CHAR(9),1)&amp;D3&amp;D3),"WorkingPattern",$Q$3),"Master",$B$4)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[Table("InvCkdInvoice")]
	public class InvCkdInvoice: FullAuditedEntity&lt;long&gt;, IEntity&lt;long&gt;	
	{
		public const int MaxInvoiceNoLength = 20;
		public const int MaxOrdertypeCodeLength = 4;
		public const int MaxGoodstypeCodeLength = 4;
		public const int MaxCeptTypeLength = 10;
		public const int MaxCurrencyLength = 20;
		public const int MaxRemarksLength = 1000;
		public const int MaxSupplierNoLength = 10;
		public const int MaxSourceTypeLength = 2;
		public const int MaxStatusErrLength = 1000;
		public const int MaxLastOrdertypeLength = 4;
		public const int MaxStatusLength = 10;
		public const int MaxSpotaxLength = 1;
		public const int MaxIsActiveLength = 1;
		[StringLength(MaxInvoiceNoLength)]
		public virtual string InvoiceNo { get; set; }
		public virtual long? BillId { get; set; }
		[StringLength(MaxOrdertypeCodeLength)]
		public virtual string OrdertypeCode { get; set; }
		[StringLength(MaxGoodstypeCodeLength)]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[StringLength(MaxCeptTypeLength)]
		public virtual string CeptType { get; set; }
		[StringLength(MaxCurrencyLength)]
		public virtual string Currency { get; set; }
		[StringLength(MaxRemarksLength)]
		public virtual string Remarks { get; set; }
		[StringLength(MaxSupplierNoLength)]
		public virtual string SupplierNo { get; set; }
		public virtual int? Quantity { get; set; }
		public virtual int? Flag { get; set; }
		public virtual int? Freezed { get; set; }
		[StringLength(MaxSourceTypeLength)]
		public virtual string SourceType { get; set; }
		[StringLength(MaxStatusErrLength)]
		public virtual string StatusErr { get; set; }
		[StringLength(MaxLastOrdertypeLength)]
		public virtual string LastOrdertype { get; set; }
		[StringLength(MaxStatusLength)]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[StringLength(MaxSpotaxLength)]
		public virtual string Spotax { get; set; }
		public virtual long? PeriodId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DbSet&lt;InvCkdInvoice&gt; InvCkdInvoices { get; set; }</v>
      </c>
      <c r="L7" t="str">
        <f ca="1">SUBSTITUTE(SUBSTITUTE((C6&amp;E6&amp;I44&amp;"
"&amp;REPT(CHAR(9),2)&amp;"// Define Store Name: Format SP_ + &lt;Store Name&gt; = &lt;Store Name&gt;
"&amp;E3&amp;REPT(CHAR(9),1)&amp;D3&amp;D3),"WorkingPattern",$Q$3),"Master",$B$4)</f>
        <v xml:space="preserve">namespace prod.Inventory.CKD
{
	public class InvCkdInvoiceConsts	
	{
		public const int MaxInvoiceNoLength = 20;
		public const int MaxOrdertypeCodeLength = 4;
		public const int MaxGoodstypeCodeLength = 4;
		public const int MaxCeptTypeLength = 10;
		public const int MaxCurrencyLength = 20;
		public const int MaxRemarksLength = 1000;
		public const int MaxSupplierNoLength = 10;
		public const int MaxSourceTypeLength = 2;
		public const int MaxStatusErrLength = 1000;
		public const int MaxLastOrdertypeLength = 4;
		public const int MaxStatusLength = 10;
		public const int MaxSpotaxLength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"&amp;B6&amp;".Dto"&amp;E3&amp;C3&amp;F6&amp;M44&amp;E3&amp;REPT(CHAR(9),1)&amp;D3&amp;G6&amp;N44&amp;REPT(CHAR(9),1)&amp;D3&amp;H6&amp;O44&amp;"
"&amp;REPT(CHAR(9),1)&amp;D3&amp;D3),"WorkingPattern",$Q$3),"Master",$B$4)</f>
        <v xml:space="preserve">using Abp.Application.Services.Dto;
using System;
using System.ComponentModel.DataAnnotations;
namespace prod.Inventory.CKD.Dto
{
	public class InvCkdInvoiceDto : EntityDto&lt;long?&gt;	
	{
		public virtual string InvoiceNo { get; set; }
		public virtual long? BillId { get; set; }
		public virtual string OrdertypeCode { get; set; }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public virtual string CeptType { get; set; }
		public virtual string Currency { get; set; }
		public virtual string Remarks { get; set; }
		public virtual string SupplierNo { get; set; }
		public virtual int? Quantity { get; set; }
		public virtual int? Flag { get; set; }
		public virtual int? Freezed { get; set; }
		public virtual string SourceType { get; set; }
		public virtual string StatusErr { get; set; }
		public virtual string LastOrdertype { get; set; }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public virtual string Spotax { get; set; }
		public virtual long? PeriodId { get; set; }
		public virtual string IsActive { get; set; }
	}
	public class CreateOrEditInvCkdInvoiceDto : EntityDto&lt;long?&gt;	
	{
		[StringLength(InvCkdInvoiceConsts.MaxInvoiceNoLength)]
		public virtual string InvoiceNo { get; set; }
		public virtual long? BillId { get; set; }
		[StringLength(InvCkdInvoiceConsts.MaxOrdertypeCodeLength)]
		public virtual string OrdertypeCode { get; set; }
		[StringLength(InvCkdInvoiceConsts.MaxGoodstypeCodeLength)]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[StringLength(InvCkdInvoiceConsts.MaxCeptTypeLength)]
		public virtual string CeptType { get; set; }
		[StringLength(InvCkdInvoiceConsts.MaxCurrencyLength)]
		public virtual string Currency { get; set; }
		[StringLength(InvCkdInvoiceConsts.MaxRemarksLength)]
		public virtual string Remarks { get; set; }
		[StringLength(InvCkdInvoiceConsts.MaxSupplierNoLength)]
		public virtual string SupplierNo { get; set; }
		public virtual int? Quantity { get; set; }
		public virtual int? Flag { get; set; }
		public virtual int? Freezed { get; set; }
		[StringLength(InvCkdInvoiceConsts.MaxSourceTypeLength)]
		public virtual string SourceType { get; set; }
		[StringLength(InvCkdInvoiceConsts.MaxStatusErrLength)]
		public virtual string StatusErr { get; set; }
		[StringLength(InvCkdInvoiceConsts.MaxLastOrdertypeLength)]
		public virtual string LastOrdertype { get; set; }
		[StringLength(InvCkdInvoiceConsts.MaxStatusLength)]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[StringLength(InvCkdInvoiceConsts.MaxSpotaxLength)]
		public virtual string Spotax { get; set; }
		public virtual long? PeriodId { get; set; }
		[StringLength(InvCkdInvoiceConsts.MaxIsActiveLength)]
		public virtual string IsActive { get; set; }
	}
	public class GetInvCkdInvoiceInput : PagedAndSortedResultRequestDto	
	{
		public virtual string InvoiceNo { get; set; }
		public virtual string OrdertypeCode { get; set; }
		public virtual string GoodstypeCode { get; set; }
		public virtual string CeptType { get; set; }
		public virtual string Currency { get; set; }
		public virtual string Remarks { get; set; }
		public virtual string SupplierNo { get; set; }
		public virtual string SourceType { get; set; }
		public virtual string StatusErr { get; set; }
		public virtual string LastOrdertype { get; set; }
		public virtual string Status { get; set; }
		public virtual string Spotax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perInvCkdInvoice = PARENTS.CreateChildPermission(AppPermissions.Pages_Inventory_CKD_Invoice, L( "InventoryCKDInvoice"), multiTenancySides: MultiTenancySides.Tenant);
		perInvCkdInvoice.CreateChildPermission(AppPermissions.Pages_Inventory_CKD_Invoice_CreateEdit, L( "InventoryCKDInvoiceCreateEdit"), multiTenancySides: MultiTenancySides.Tenant);
		perInvCkdInvoice.CreateChildPermission(AppPermissions.Pages_Inventory_CKD_Invoice_Delete, L( "InventoryCKDInvoiceDelete"),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Pages_Inventory_CKD_Invoice = "Pages.Inventory.CKD.Invoice";
		public const string Pages_Inventory_CKD_Invoice_CreateEdit = "Pages.Inventory.CKD.Invoice.CreateEdit";
		public const string Pages_Inventory_CKD_Invoice_Delete = "Pages.Inventory.CKD.Invoice.Delete";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IInvCkdInvoiceAppService : IApplicationService
	{
		Task&lt;PagedResultDto&lt;InvCkdInvoiceDto&gt;&gt; GetAll(GetInvCkdInvoiceInput input);
		Task CreateOrEdit(CreateOrEditInvCkdInvoiceDto input);
		Task Delete(EntityDto input);
	}
}
</v>
      </c>
      <c r="Q7" t="str">
        <f ca="1">SUBSTITUTE(SUBSTITUTE(SUBSTITUTE(SUBSTITUTE(SUBSTITUTE(SUBSTITUTE(E1,"MstWptCalendar",$B$3),"&lt;PROPERTIES&gt;",P44),"Calendar",$B$5),"WorkingPattern",$Q$3),"Master",$B$4),"&lt;PARAMS_SEARCH&gt;",$W$44)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[AbpAuthorize(AppPermissions.Pages_Inventory_CKD_Invoice)]
    public class InvCkdInvoiceAppService : vovinaAppServiceBase, IInvCkdInvoiceAppService
    {
        private readonly IDapperRepository&lt;InvCkdInvoice, long&gt; _dapperRepo;
        private readonly IRepository&lt;InvCkdInvoice, long&gt; _repo;
        private readonly IInvCkdInvoiceExcelExporter _calendarListExcelExporter;
        public InvCkdInvoiceAppService(IRepository&lt;InvCkdInvoice,long&gt; repo, 
                                         IDapperRepository&lt;InvCkdInvoice,long&gt; dapperRepo,
                                        IInvCkdInvoiceExcelExporter calendarListExcelExporter
            )
        {
            _repo = repo;
            _dapperRepo = dapperRepo;
            _calendarListExcelExporter = calendarListExcelExporter;
        }
        [AbpAuthorize(AppPermissions.Pages_Inventory_CKD_Invoice_CreateEdit)]
        public async Task CreateOrEdit(CreateOrEditInvCkdInvoiceDto input)
        {
            if (input.Id == null) await Create(input);
            else await Update(input);
        }
        //CREATE
        private async Task Create(CreateOrEditInvCkdInvoiceDto input)
        {          
            var mainObj = ObjectMapper.Map&lt;InvCkdInvoice&gt;(input);
            await CurrentUnitOfWork.GetDbContext&lt;vovinaDbContext&gt;().AddAsync(mainObj);
        }
        // EDIT
        private async Task Update(CreateOrEditInvCkdInvoiceDto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Task&lt;PagedResultDto&lt;InvCkdInvoiceDto&gt;&gt; GetAll(GetInvCkdInvoiceInput input)
        {
            var filtered = _repo.GetAll()
				.WhereIf(!string.IsNullOrWhiteSpace(input.InvoiceNo), e =&gt; e.InvoiceNo.Contains(input.InvoiceNo))
				.WhereIf(!string.IsNullOrWhiteSpace(input.OrdertypeCode), e =&gt; e.OrdertypeCode.Contains(input.OrdertypeCode))
				.WhereIf(!string.IsNullOrWhiteSpace(input.GoodstypeCode), e =&gt; e.GoodstypeCode.Contains(input.GoodstypeCode))
				.WhereIf(!string.IsNullOrWhiteSpace(input.CeptType), e =&gt; e.CeptType.Contains(input.CeptType))
				.WhereIf(!string.IsNullOrWhiteSpace(input.Currency), e =&gt; e.Currency.Contains(input.Currency))
				.WhereIf(!string.IsNullOrWhiteSpace(input.Remarks), e =&gt; e.Remarks.Contains(input.Remarks))
				.WhereIf(!string.IsNullOrWhiteSpace(input.SupplierNo), e =&gt; e.SupplierNo.Contains(input.SupplierNo))
				.WhereIf(!string.IsNullOrWhiteSpace(input.SourceType), e =&gt; e.SourceType.Contains(input.SourceType))
				.WhereIf(!string.IsNullOrWhiteSpace(input.StatusErr), e =&gt; e.StatusErr.Contains(input.StatusErr))
				.WhereIf(!string.IsNullOrWhiteSpace(input.LastOrdertype), e =&gt; e.LastOrdertype.Contains(input.LastOrdertype))
				.WhereIf(!string.IsNullOrWhiteSpace(input.Status), e =&gt; e.Status.Contains(input.Status))
				.WhereIf(!string.IsNullOrWhiteSpace(input.Spotax), e =&gt; e.Spotax.Contains(input.Spotax))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InvCkdInvoiceDto
                        {
							Id = o.Id,
							InvoiceNo = o.InvoiceNo,
							BillId = o.BillId,
							OrdertypeCode = o.OrdertypeCode,
							GoodstypeCode = o.GoodstypeCode,
							InvoiceParentId = o.InvoiceParentId,
							InvoiceDate = o.InvoiceDate,
							Fob = o.Fob,
							Freight = o.Freight,
							FreightTotal = o.FreightTotal,
							Insurance = o.Insurance,
							InsuranceTotal = o.InsuranceTotal,
							Cif = o.Cif,
							ThcTotal = o.ThcTotal,
							NetWeight = o.NetWeight,
							GrossWeight = o.GrossWeight,
							CeptType = o.CeptType,
							Currency = o.Currency,
							Remarks = o.Remarks,
							SupplierNo = o.SupplierNo,
							Quantity = o.Quantity,
							Flag = o.Flag,
							Freezed = o.Freezed,
							SourceType = o.SourceType,
							StatusErr = o.StatusErr,
							LastOrdertype = o.LastOrdertype,
							Status = o.Status,
							FobVn = o.FobVn,
							FreightTotalVn = o.FreightTotalVn,
							InsuranceTotalVn = o.InsuranceTotalVn,
							CifVn = o.CifVn,
							ThcTotalVn = o.ThcTotalVn,
							Spotax = o.Spotax,
							PeriodId = o.PeriodId,
							IsActive = o.IsActive,
                        };
            var totalCount = await filtered.CountAsync();
			var paged = system.PageBy(input);
            return new PagedResultDto&lt;InvCkdInvoiceDto&gt;(
                totalCount,
                 await paged.ToListAsync()
            );
        }
        public async Task&lt;FileDto&gt; GetInvoiceToExcel(InvCkdInvoiceExportInput input)
        {
            var query = from o in _repo.GetAll()
                        select new InvCkdInvoiceDto
                        {
							Id = o.Id,
							InvoiceNo = o.InvoiceNo,
							BillId = o.BillId,
							OrdertypeCode = o.OrdertypeCode,
							GoodstypeCode = o.GoodstypeCode,
							InvoiceParentId = o.InvoiceParentId,
							InvoiceDate = o.InvoiceDate,
							Fob = o.Fob,
							Freight = o.Freight,
							FreightTotal = o.FreightTotal,
							Insurance = o.Insurance,
							InsuranceTotal = o.InsuranceTotal,
							Cif = o.Cif,
							ThcTotal = o.ThcTotal,
							NetWeight = o.NetWeight,
							GrossWeight = o.GrossWeight,
							CeptType = o.CeptType,
							Currency = o.Currency,
							Remarks = o.Remarks,
							SupplierNo = o.SupplierNo,
							Quantity = o.Quantity,
							Flag = o.Flag,
							Freezed = o.Freezed,
							SourceType = o.SourceType,
							StatusErr = o.StatusErr,
							LastOrdertype = o.LastOrdertype,
							Status = o.Status,
							FobVn = o.FobVn,
							FreightTotalVn = o.FreightTotalVn,
							InsuranceTotalVn = o.InsuranceTotalVn,
							CifVn = o.CifVn,
							ThcTotalVn = o.ThcTotalVn,
							Spotax = o.Spotax,
							PeriodId = o.PeriodId,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_dapperRepo.ExecuteAsync(InvCkdInvoiceConsts.SP_MST_WPT_CALENDAR_GENERATE);
       // }
    }
}</v>
      </c>
      <c r="R7" t="str">
        <f ca="1">SUBSTITUTE(SUBSTITUTE((C1&amp;"namespace "&amp;B6&amp;".Dto"&amp;E3&amp;C3&amp;R3&amp;M44&amp;E3&amp;REPT(CHAR(9),1)&amp;D3&amp;D3),"WorkingPattern",$Q$3),"Master",$B$4)</f>
        <v xml:space="preserve">using Abp.Application.Services.Dto;
using System;
using System.ComponentModel.DataAnnotations;
namespace prod.Inventory.CKD.Dto
{
	public class InvCkdInvoiceExportInput{
		public virtual string InvoiceNo { get; set; }
		public virtual long? BillId { get; set; }
		public virtual string OrdertypeCode { get; set; }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public virtual string CeptType { get; set; }
		public virtual string Currency { get; set; }
		public virtual string Remarks { get; set; }
		public virtual string SupplierNo { get; set; }
		public virtual int? Quantity { get; set; }
		public virtual int? Flag { get; set; }
		public virtual int? Freezed { get; set; }
		public virtual string SourceType { get; set; }
		public virtual string StatusErr { get; set; }
		public virtual string LastOrdertype { get; set; }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public virtual string Spotax { get; set; }
		public virtual long? PeriodId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IInvCkdInvoiceExcelExporter : IApplicationService
	{
		FileDto ExportToFile(List&lt;InvCkdInvoiceDto&gt; invckdinvoice);
	}
}
</v>
      </c>
      <c r="T7" s="26" t="str">
        <f ca="1">SUBSTITUTE(SUBSTITUTE(SUBSTITUTE(SUBSTITUTE(SUBSTITUTE(SUBSTITUTE(SUBSTITUTE(T1,"MstWptCalendar",$B$3),"&lt;PROPERTIES1&gt;",V44),"&lt;PROPERTIES&gt;",T44),"Calendar",$B$5),"calendar",LOWER(B5)),"WorkingPattern",$Q$3),"Master",$B$4)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InvCkdInvoiceExcelExporter : NpoiExcelExporterBase, IInvCkdInvoiceExcelExporter
    {
        public InvCkdInvoiceExcelExporter(ITempFileCacheManager tempFileCacheManager) : base(tempFileCacheManager) { }
        public FileDto ExportToFile(List&lt;InvCkdInvoiceDto&gt; invoice)
        {
            return CreateExcelPackage(
				"InventoryCKDInvoice.xlsx",
				excelPackage =&gt;
				 {
					var sheet = excelPackage.CreateSheet("Invoice");
					AddHeader(
								sheet,
								("InvoiceNo"),
								("BillId"),
								("OrdertypeCode"),
								("GoodstypeCode"),
								("InvoiceParentId"),
								("InvoiceDate"),
								("Fob"),
								("Freight"),
								("FreightTotal"),
								("Insurance"),
								("InsuranceTotal"),
								("Cif"),
								("ThcTotal"),
								("NetWeight"),
								("GrossWeight"),
								("CeptType"),
								("Currency"),
								("Remarks"),
								("SupplierNo"),
								("Quantity"),
								("Flag"),
								("Freezed"),
								("SourceType"),
								("StatusErr"),
								("LastOrdertype"),
								("Status"),
								("FobVn"),
								("FreightTotalVn"),
								("InsuranceTotalVn"),
								("CifVn"),
								("ThcTotalVn"),
								("Spotax"),
								("PeriodId"),
								("IsActive"),
							   );
					AddObjects(
						 sheet, 1, invoice,                                       
								_ =&gt; _.InvoiceNo,
								_ =&gt; _.BillId,
								_ =&gt; _.OrdertypeCode,
								_ =&gt; _.GoodstypeCode,
								_ =&gt; _.InvoiceParentId,
								_ =&gt; _.InvoiceDate,
								_ =&gt; _.Fob,
								_ =&gt; _.Freight,
								_ =&gt; _.FreightTotal,
								_ =&gt; _.Insurance,
								_ =&gt; _.InsuranceTotal,
								_ =&gt; _.Cif,
								_ =&gt; _.ThcTotal,
								_ =&gt; _.NetWeight,
								_ =&gt; _.GrossWeight,
								_ =&gt; _.CeptType,
								_ =&gt; _.Currency,
								_ =&gt; _.Remarks,
								_ =&gt; _.SupplierNo,
								_ =&gt; _.Quantity,
								_ =&gt; _.Flag,
								_ =&gt; _.Freezed,
								_ =&gt; _.SourceType,
								_ =&gt; _.StatusErr,
								_ =&gt; _.LastOrdertype,
								_ =&gt; _.Status,
								_ =&gt; _.FobVn,
								_ =&gt; _.FreightTotalVn,
								_ =&gt; _.InsuranceTotalVn,
								_ =&gt; _.CifVn,
								_ =&gt; _.ThcTotalVn,
								_ =&gt; _.Spotax,
								_ =&gt; _.PeriodId,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configuration.CreateMap&lt;InvCkdInvoiceDto, InvCkdInvoice&gt;();
  configuration.CreateMap&lt;InvCkdInvoice, InvCkdInvoiceDto&gt;();
  configuration.CreateMap&lt;CreateOrEditInvCkdInvoiceDto, InvCkdInvoice&gt;();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356</v>
      </c>
      <c r="B9" t="s">
        <v>388</v>
      </c>
      <c r="C9" t="s">
        <v>1</v>
      </c>
      <c r="D9" t="str">
        <f t="shared" ref="D9" si="0">SUBSTITUTE(PROPER(A9),"_","")</f>
        <v>InvoiceNo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MaxInvoiceNoLength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[StringLength(MaxInvoiceNoLength)]
		public virtual string InvoiceNo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InvoiceNo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[StringLength(InvCkdInvoiceConsts.MaxInvoiceNoLength)]
		public virtual string InvoiceNo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InvoiceNo { get; set; }
</v>
      </c>
      <c r="P9" t="str">
        <f t="shared" ref="P9" si="9">REPT(CHAR(9),7)&amp;D9&amp;" = o." &amp;D9 &amp;","</f>
        <v xml:space="preserve">							InvoiceNo = o.InvoiceNo,</v>
      </c>
      <c r="T9" s="64" t="str">
        <f t="shared" ref="T9" si="10">REPT(CHAR(9),8)&amp;"("""&amp;D9&amp;"""),"</f>
        <v xml:space="preserve">								("InvoiceNo"),</v>
      </c>
      <c r="V9" s="65" t="str">
        <f t="shared" ref="V9" si="11">REPT(CHAR(9),8)&amp;"_ =&gt; _."&amp;D9&amp;","</f>
        <v xml:space="preserve">								_ =&gt; _.InvoiceNo,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.WhereIf(!string.IsNullOrWhiteSpace(input.InvoiceNo), e =&gt; e.InvoiceNo.Contains(input.InvoiceNo))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357</v>
      </c>
      <c r="B10" t="s">
        <v>0</v>
      </c>
      <c r="C10" t="s">
        <v>1</v>
      </c>
      <c r="D10" t="str">
        <f t="shared" ref="D10:D11" si="13">SUBSTITUTE(PROPER(A10),"_","")</f>
        <v>BillId</v>
      </c>
      <c r="E10" t="str">
        <f t="shared" ref="E10:E11" si="14">IFERROR(LEFT(B10, FIND("(",B10)-1),B10)</f>
        <v>bigint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long?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long? BillId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long? BillId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long? BillId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BillId = o.BillId,</v>
      </c>
      <c r="T10" s="64" t="str">
        <f t="shared" ref="T10:T11" si="23">REPT(CHAR(9),8)&amp;"("""&amp;D10&amp;"""),"</f>
        <v xml:space="preserve">								("BillId"),</v>
      </c>
      <c r="V10" s="65" t="str">
        <f t="shared" ref="V10:V11" si="24">REPT(CHAR(9),8)&amp;"_ =&gt; _."&amp;D10&amp;","</f>
        <v xml:space="preserve">								_ =&gt; _.BillId,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  <c r="X10" t="str">
        <f t="shared" ref="X10:X42" si="26">IF(E10="VARCHAR","Char",(IF(E10="DATE","Date","Number")))</f>
        <v>Number</v>
      </c>
      <c r="Y10" t="str">
        <f t="shared" ref="Y10:Z42" si="27">IF(X10="Char","Left",IF(X10="Date","Center","Right"))</f>
        <v>Right</v>
      </c>
      <c r="Z10" t="str">
        <f t="shared" ref="Z10:Z42" si="28">IF(X10="Char","",IF(X10="Date","DD/MM/YYYY",IF(H10="decimal?","#,###.####","#,###")))</f>
        <v>#,###</v>
      </c>
    </row>
    <row r="11" spans="1:26" customFormat="1" ht="18.75" customHeight="1" x14ac:dyDescent="0.25">
      <c r="A11" t="s">
        <v>358</v>
      </c>
      <c r="B11" t="s">
        <v>389</v>
      </c>
      <c r="C11" t="s">
        <v>1</v>
      </c>
      <c r="D11" t="str">
        <f t="shared" si="13"/>
        <v>OrdertypeCode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MaxOrdertypeCodeLength = 4;
</v>
      </c>
      <c r="J11" t="str">
        <f t="shared" si="17"/>
        <v xml:space="preserve">		[StringLength(MaxOrdertypeCodeLength)]
		public virtual string OrdertypeCode { get; set; }
</v>
      </c>
      <c r="K11" s="6"/>
      <c r="L11" t="str">
        <f t="shared" si="18"/>
        <v/>
      </c>
      <c r="M11" t="str">
        <f t="shared" si="19"/>
        <v xml:space="preserve">		public virtual string OrdertypeCode { get; set; }
</v>
      </c>
      <c r="N11" t="str">
        <f t="shared" si="20"/>
        <v xml:space="preserve">		[StringLength(InvCkdInvoiceConsts.MaxOrdertypeCodeLength)]
		public virtual string OrdertypeCode { get; set; }
</v>
      </c>
      <c r="O11" t="str">
        <f t="shared" si="21"/>
        <v xml:space="preserve">		public virtual string OrdertypeCode { get; set; }
</v>
      </c>
      <c r="P11" t="str">
        <f t="shared" si="22"/>
        <v xml:space="preserve">							OrdertypeCode = o.OrdertypeCode,</v>
      </c>
      <c r="T11" s="64" t="str">
        <f t="shared" si="23"/>
        <v xml:space="preserve">								("OrdertypeCode"),</v>
      </c>
      <c r="V11" s="65" t="str">
        <f t="shared" si="24"/>
        <v xml:space="preserve">								_ =&gt; _.OrdertypeCode,</v>
      </c>
      <c r="W11" s="64" t="str">
        <f t="shared" si="25"/>
        <v xml:space="preserve">				.WhereIf(!string.IsNullOrWhiteSpace(input.OrdertypeCode), e =&gt; e.OrdertypeCode.Contains(input.OrdertypeCode))</v>
      </c>
      <c r="X11" t="str">
        <f t="shared" si="26"/>
        <v>Char</v>
      </c>
      <c r="Y11" t="str">
        <f t="shared" si="27"/>
        <v>Left</v>
      </c>
      <c r="Z11" t="str">
        <f t="shared" si="28"/>
        <v/>
      </c>
    </row>
    <row r="12" spans="1:26" customFormat="1" ht="18.75" customHeight="1" x14ac:dyDescent="0.25">
      <c r="A12" t="s">
        <v>359</v>
      </c>
      <c r="B12" t="s">
        <v>389</v>
      </c>
      <c r="C12" t="s">
        <v>1</v>
      </c>
      <c r="D12" t="str">
        <f t="shared" ref="D12:D15" si="29">SUBSTITUTE(PROPER(A12),"_","")</f>
        <v>GoodstypeCode</v>
      </c>
      <c r="E12" t="str">
        <f t="shared" ref="E12:E15" si="30">IFERROR(LEFT(B12, FIND("(",B12)-1),B12)</f>
        <v>varchar</v>
      </c>
      <c r="F12" s="6"/>
      <c r="G12" t="str">
        <f t="shared" ref="G12:G15" si="31">IFERROR(MID(B12,FIND("(",B12) +1, FIND(")",B12) - FIND("(",B12) - 1),"")</f>
        <v>4</v>
      </c>
      <c r="H12" t="str">
        <f>+VLOOKUP(E12,'Data Type Mapping'!A:B,2,)</f>
        <v>string</v>
      </c>
      <c r="I12" t="str">
        <f t="shared" ref="I12:I15" si="32">IF(H12="string",REPT(CHAR(9),2)&amp;"public const int Max"&amp;D12&amp;"Length = "&amp;G12&amp;";"&amp;$E$3,"" )</f>
        <v xml:space="preserve">		public const int MaxGoodstypeCodeLength = 4;
</v>
      </c>
      <c r="J12" t="str">
        <f t="shared" ref="J12:J15" si="3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[StringLength(MaxGoodstypeCodeLength)]
		public virtual string GoodstypeCode { get; set; }
</v>
      </c>
      <c r="K12" s="6"/>
      <c r="L12" t="str">
        <f t="shared" ref="L12:L15" si="34">IF(K12="","",REPT(CHAR(9),1)&amp;"[Index(nameof("&amp;IF(D12="","",""&amp;D12)&amp;")"&amp;", Name="&amp;"""IX_"&amp;$B$7&amp;"_"&amp;D12&amp;""")]")</f>
        <v/>
      </c>
      <c r="M12" t="str">
        <f t="shared" ref="M12:M15" si="35">REPT(CHAR(9),2)&amp;"public virtual "&amp;IF(OR(H12="DateTime",H12="TimeSpan"),H12&amp;"?",H12)&amp;IF(C12="?","? "," ")&amp;D12&amp;" { get; set; }" &amp; "
"</f>
        <v xml:space="preserve">		public virtual string GoodstypeCode { get; set; }
</v>
      </c>
      <c r="N12" t="str">
        <f t="shared" ref="N12:N15" si="36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[StringLength(InvCkdInvoiceConsts.MaxGoodstypeCodeLength)]
		public virtual string GoodstypeCode { get; set; }
</v>
      </c>
      <c r="O12" t="str">
        <f t="shared" ref="O12:O15" si="37">IF(OR(H12="string",H12="DateTime",H12="int"),REPT(CHAR(9),2)&amp;"public virtual "&amp;IF(OR(H12="DateTime",H12="TimeSpan"),H12&amp;"?",H12)&amp;IF(C12="?","? "," ")&amp;D12&amp;" { get; set; }"&amp;$E$3,"")</f>
        <v xml:space="preserve">		public virtual string GoodstypeCode { get; set; }
</v>
      </c>
      <c r="P12" t="str">
        <f t="shared" ref="P12:P15" si="38">REPT(CHAR(9),7)&amp;D12&amp;" = o." &amp;D12 &amp;","</f>
        <v xml:space="preserve">							GoodstypeCode = o.GoodstypeCode,</v>
      </c>
      <c r="T12" s="64" t="str">
        <f t="shared" ref="T12:T15" si="39">REPT(CHAR(9),8)&amp;"("""&amp;D12&amp;"""),"</f>
        <v xml:space="preserve">								("GoodstypeCode"),</v>
      </c>
      <c r="V12" s="65" t="str">
        <f t="shared" ref="V12:V15" si="40">REPT(CHAR(9),8)&amp;"_ =&gt; _."&amp;D12&amp;","</f>
        <v xml:space="preserve">								_ =&gt; _.GoodstypeCode,</v>
      </c>
      <c r="W12" s="64" t="str">
        <f t="shared" ref="W12:W15" si="41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.WhereIf(!string.IsNullOrWhiteSpace(input.GoodstypeCode), e =&gt; e.GoodstypeCode.Contains(input.GoodstypeCode))</v>
      </c>
      <c r="X12" t="str">
        <f t="shared" si="26"/>
        <v>Char</v>
      </c>
      <c r="Y12" t="str">
        <f t="shared" si="27"/>
        <v>Left</v>
      </c>
      <c r="Z12" t="str">
        <f t="shared" si="28"/>
        <v/>
      </c>
    </row>
    <row r="13" spans="1:26" customFormat="1" ht="18.75" customHeight="1" x14ac:dyDescent="0.25">
      <c r="A13" t="s">
        <v>360</v>
      </c>
      <c r="B13" t="s">
        <v>0</v>
      </c>
      <c r="C13" t="s">
        <v>1</v>
      </c>
      <c r="D13" t="str">
        <f t="shared" si="29"/>
        <v>InvoiceParentId</v>
      </c>
      <c r="E13" t="str">
        <f t="shared" si="30"/>
        <v>bigint</v>
      </c>
      <c r="F13" s="6"/>
      <c r="G13" t="str">
        <f t="shared" si="31"/>
        <v/>
      </c>
      <c r="H13" t="str">
        <f>+VLOOKUP(E13,'Data Type Mapping'!A:B,2,)</f>
        <v>long?</v>
      </c>
      <c r="I13" t="str">
        <f t="shared" si="32"/>
        <v/>
      </c>
      <c r="J13" t="str">
        <f t="shared" si="33"/>
        <v xml:space="preserve">		public virtual long? InvoiceParentId { get; set; }
</v>
      </c>
      <c r="K13" s="6"/>
      <c r="L13" t="str">
        <f t="shared" si="34"/>
        <v/>
      </c>
      <c r="M13" t="str">
        <f t="shared" si="35"/>
        <v xml:space="preserve">		public virtual long? InvoiceParentId { get; set; }
</v>
      </c>
      <c r="N13" t="str">
        <f t="shared" si="36"/>
        <v xml:space="preserve">		public virtual long? InvoiceParentId { get; set; }
</v>
      </c>
      <c r="O13" t="str">
        <f t="shared" si="37"/>
        <v/>
      </c>
      <c r="P13" t="str">
        <f t="shared" si="38"/>
        <v xml:space="preserve">							InvoiceParentId = o.InvoiceParentId,</v>
      </c>
      <c r="T13" s="64" t="str">
        <f t="shared" si="39"/>
        <v xml:space="preserve">								("InvoiceParentId"),</v>
      </c>
      <c r="V13" s="65" t="str">
        <f t="shared" si="40"/>
        <v xml:space="preserve">								_ =&gt; _.InvoiceParentId,</v>
      </c>
      <c r="W13" s="64" t="str">
        <f t="shared" si="41"/>
        <v/>
      </c>
      <c r="X13" t="str">
        <f t="shared" si="26"/>
        <v>Number</v>
      </c>
      <c r="Y13" t="str">
        <f t="shared" si="27"/>
        <v>Right</v>
      </c>
      <c r="Z13" t="str">
        <f t="shared" si="28"/>
        <v>#,###</v>
      </c>
    </row>
    <row r="14" spans="1:26" customFormat="1" ht="18.75" customHeight="1" x14ac:dyDescent="0.25">
      <c r="A14" t="s">
        <v>361</v>
      </c>
      <c r="B14" t="s">
        <v>2</v>
      </c>
      <c r="C14" t="s">
        <v>1</v>
      </c>
      <c r="D14" t="str">
        <f t="shared" si="29"/>
        <v>InvoiceDate</v>
      </c>
      <c r="E14" t="str">
        <f t="shared" si="30"/>
        <v>date</v>
      </c>
      <c r="F14" s="6"/>
      <c r="G14" t="str">
        <f t="shared" si="31"/>
        <v/>
      </c>
      <c r="H14" t="str">
        <f>+VLOOKUP(E14,'Data Type Mapping'!A:B,2,)</f>
        <v>DateTime?</v>
      </c>
      <c r="I14" t="str">
        <f t="shared" si="32"/>
        <v/>
      </c>
      <c r="J14" t="str">
        <f t="shared" si="33"/>
        <v xml:space="preserve">		public virtual DateTime? InvoiceDate { get; set; }
</v>
      </c>
      <c r="K14" s="6"/>
      <c r="L14" t="str">
        <f t="shared" si="34"/>
        <v/>
      </c>
      <c r="M14" t="str">
        <f t="shared" si="35"/>
        <v xml:space="preserve">		public virtual DateTime? InvoiceDate { get; set; }
</v>
      </c>
      <c r="N14" t="str">
        <f t="shared" si="36"/>
        <v xml:space="preserve">		public virtual DateTime? InvoiceDate { get; set; }
</v>
      </c>
      <c r="O14" t="str">
        <f t="shared" si="37"/>
        <v/>
      </c>
      <c r="P14" t="str">
        <f t="shared" si="38"/>
        <v xml:space="preserve">							InvoiceDate = o.InvoiceDate,</v>
      </c>
      <c r="T14" s="64" t="str">
        <f t="shared" si="39"/>
        <v xml:space="preserve">								("InvoiceDate"),</v>
      </c>
      <c r="V14" s="65" t="str">
        <f t="shared" si="40"/>
        <v xml:space="preserve">								_ =&gt; _.InvoiceDate,</v>
      </c>
      <c r="W14" s="64" t="str">
        <f t="shared" si="41"/>
        <v/>
      </c>
      <c r="X14" t="str">
        <f t="shared" si="26"/>
        <v>Date</v>
      </c>
      <c r="Y14" t="str">
        <f t="shared" si="27"/>
        <v>Center</v>
      </c>
      <c r="Z14" t="str">
        <f t="shared" si="28"/>
        <v>DD/MM/YYYY</v>
      </c>
    </row>
    <row r="15" spans="1:26" customFormat="1" ht="18.75" customHeight="1" x14ac:dyDescent="0.25">
      <c r="A15" t="s">
        <v>362</v>
      </c>
      <c r="B15" t="s">
        <v>390</v>
      </c>
      <c r="C15" t="s">
        <v>1</v>
      </c>
      <c r="D15" t="str">
        <f t="shared" si="29"/>
        <v>Fob</v>
      </c>
      <c r="E15" t="str">
        <f t="shared" si="30"/>
        <v>decimal</v>
      </c>
      <c r="F15" s="6"/>
      <c r="G15" t="str">
        <f t="shared" si="31"/>
        <v>14,5</v>
      </c>
      <c r="H15" t="str">
        <f>+VLOOKUP(E15,'Data Type Mapping'!A:B,2,)</f>
        <v>decimal?</v>
      </c>
      <c r="I15" t="str">
        <f t="shared" si="32"/>
        <v/>
      </c>
      <c r="J15" t="str">
        <f t="shared" si="33"/>
        <v xml:space="preserve">		public virtual decimal? Fob { get; set; }
</v>
      </c>
      <c r="K15" s="6"/>
      <c r="L15" t="str">
        <f t="shared" si="34"/>
        <v/>
      </c>
      <c r="M15" t="str">
        <f t="shared" si="35"/>
        <v xml:space="preserve">		public virtual decimal? Fob { get; set; }
</v>
      </c>
      <c r="N15" t="str">
        <f t="shared" si="36"/>
        <v xml:space="preserve">		public virtual decimal? Fob { get; set; }
</v>
      </c>
      <c r="O15" t="str">
        <f t="shared" si="37"/>
        <v/>
      </c>
      <c r="P15" t="str">
        <f t="shared" si="38"/>
        <v xml:space="preserve">							Fob = o.Fob,</v>
      </c>
      <c r="T15" s="64" t="str">
        <f t="shared" si="39"/>
        <v xml:space="preserve">								("Fob"),</v>
      </c>
      <c r="V15" s="65" t="str">
        <f t="shared" si="40"/>
        <v xml:space="preserve">								_ =&gt; _.Fob,</v>
      </c>
      <c r="W15" s="64" t="str">
        <f t="shared" si="41"/>
        <v/>
      </c>
      <c r="X15" t="str">
        <f t="shared" si="26"/>
        <v>Number</v>
      </c>
      <c r="Y15" t="str">
        <f t="shared" si="27"/>
        <v>Right</v>
      </c>
      <c r="Z15" t="str">
        <f t="shared" si="28"/>
        <v>#,###.####</v>
      </c>
    </row>
    <row r="16" spans="1:26" customFormat="1" ht="18.75" customHeight="1" x14ac:dyDescent="0.25">
      <c r="A16" t="s">
        <v>363</v>
      </c>
      <c r="B16" t="s">
        <v>390</v>
      </c>
      <c r="C16" t="s">
        <v>1</v>
      </c>
      <c r="D16" t="str">
        <f t="shared" ref="D16:D23" si="42">SUBSTITUTE(PROPER(A16),"_","")</f>
        <v>Freight</v>
      </c>
      <c r="E16" t="str">
        <f t="shared" ref="E16:E23" si="43">IFERROR(LEFT(B16, FIND("(",B16)-1),B16)</f>
        <v>decimal</v>
      </c>
      <c r="F16" s="6"/>
      <c r="G16" t="str">
        <f t="shared" ref="G16:G23" si="44">IFERROR(MID(B16,FIND("(",B16) +1, FIND(")",B16) - FIND("(",B16) - 1),"")</f>
        <v>14,5</v>
      </c>
      <c r="H16" t="str">
        <f>+VLOOKUP(E16,'Data Type Mapping'!A:B,2,)</f>
        <v>decimal?</v>
      </c>
      <c r="I16" t="str">
        <f t="shared" ref="I16:I23" si="45">IF(H16="string",REPT(CHAR(9),2)&amp;"public const int Max"&amp;D16&amp;"Length = "&amp;G16&amp;";"&amp;$E$3,"" )</f>
        <v/>
      </c>
      <c r="J16" t="str">
        <f t="shared" ref="J16:J23" si="46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decimal? Freight { get; set; }
</v>
      </c>
      <c r="K16" s="6"/>
      <c r="L16" t="str">
        <f t="shared" ref="L16:L23" si="47">IF(K16="","",REPT(CHAR(9),1)&amp;"[Index(nameof("&amp;IF(D16="","",""&amp;D16)&amp;")"&amp;", Name="&amp;"""IX_"&amp;$B$7&amp;"_"&amp;D16&amp;""")]")</f>
        <v/>
      </c>
      <c r="M16" t="str">
        <f t="shared" ref="M16:M23" si="48">REPT(CHAR(9),2)&amp;"public virtual "&amp;IF(OR(H16="DateTime",H16="TimeSpan"),H16&amp;"?",H16)&amp;IF(C16="?","? "," ")&amp;D16&amp;" { get; set; }" &amp; "
"</f>
        <v xml:space="preserve">		public virtual decimal? Freight { get; set; }
</v>
      </c>
      <c r="N16" t="str">
        <f t="shared" ref="N16:N23" si="4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decimal? Freight { get; set; }
</v>
      </c>
      <c r="O16" t="str">
        <f t="shared" ref="O16:O23" si="50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51">REPT(CHAR(9),7)&amp;D16&amp;" = o." &amp;D16 &amp;","</f>
        <v xml:space="preserve">							Freight = o.Freight,</v>
      </c>
      <c r="T16" s="64" t="str">
        <f t="shared" ref="T16:T23" si="52">REPT(CHAR(9),8)&amp;"("""&amp;D16&amp;"""),"</f>
        <v xml:space="preserve">								("Freight"),</v>
      </c>
      <c r="V16" s="65" t="str">
        <f t="shared" ref="V16:V23" si="53">REPT(CHAR(9),8)&amp;"_ =&gt; _."&amp;D16&amp;","</f>
        <v xml:space="preserve">								_ =&gt; _.Freight,</v>
      </c>
      <c r="W16" s="64" t="str">
        <f t="shared" ref="W16:W23" si="5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 t="shared" si="26"/>
        <v>Number</v>
      </c>
      <c r="Y16" t="str">
        <f t="shared" si="27"/>
        <v>Right</v>
      </c>
      <c r="Z16" t="str">
        <f t="shared" si="28"/>
        <v>#,###.####</v>
      </c>
    </row>
    <row r="17" spans="1:26" customFormat="1" ht="18.75" customHeight="1" x14ac:dyDescent="0.25">
      <c r="A17" t="s">
        <v>364</v>
      </c>
      <c r="B17" t="s">
        <v>391</v>
      </c>
      <c r="C17" t="s">
        <v>1</v>
      </c>
      <c r="D17" t="str">
        <f t="shared" si="42"/>
        <v>FreightTotal</v>
      </c>
      <c r="E17" t="str">
        <f t="shared" si="43"/>
        <v>decimal</v>
      </c>
      <c r="F17" s="6"/>
      <c r="G17" t="str">
        <f t="shared" si="44"/>
        <v>18,5</v>
      </c>
      <c r="H17" t="str">
        <f>+VLOOKUP(E17,'Data Type Mapping'!A:B,2,)</f>
        <v>decimal?</v>
      </c>
      <c r="I17" t="str">
        <f t="shared" si="45"/>
        <v/>
      </c>
      <c r="J17" t="str">
        <f t="shared" si="46"/>
        <v xml:space="preserve">		public virtual decimal? FreightTotal { get; set; }
</v>
      </c>
      <c r="K17" s="6"/>
      <c r="L17" t="str">
        <f t="shared" si="47"/>
        <v/>
      </c>
      <c r="M17" t="str">
        <f t="shared" si="48"/>
        <v xml:space="preserve">		public virtual decimal? FreightTotal { get; set; }
</v>
      </c>
      <c r="N17" t="str">
        <f t="shared" si="49"/>
        <v xml:space="preserve">		public virtual decimal? FreightTotal { get; set; }
</v>
      </c>
      <c r="O17" t="str">
        <f t="shared" si="50"/>
        <v/>
      </c>
      <c r="P17" t="str">
        <f t="shared" si="51"/>
        <v xml:space="preserve">							FreightTotal = o.FreightTotal,</v>
      </c>
      <c r="T17" s="64" t="str">
        <f t="shared" si="52"/>
        <v xml:space="preserve">								("FreightTotal"),</v>
      </c>
      <c r="V17" s="65" t="str">
        <f t="shared" si="53"/>
        <v xml:space="preserve">								_ =&gt; _.FreightTotal,</v>
      </c>
      <c r="W17" s="64" t="str">
        <f t="shared" si="54"/>
        <v/>
      </c>
      <c r="X17" t="str">
        <f t="shared" si="26"/>
        <v>Number</v>
      </c>
      <c r="Y17" t="str">
        <f t="shared" si="27"/>
        <v>Right</v>
      </c>
      <c r="Z17" t="str">
        <f t="shared" si="28"/>
        <v>#,###.####</v>
      </c>
    </row>
    <row r="18" spans="1:26" customFormat="1" ht="18.75" customHeight="1" x14ac:dyDescent="0.25">
      <c r="A18" t="s">
        <v>365</v>
      </c>
      <c r="B18" t="s">
        <v>390</v>
      </c>
      <c r="C18" t="s">
        <v>1</v>
      </c>
      <c r="D18" t="str">
        <f t="shared" si="42"/>
        <v>Insurance</v>
      </c>
      <c r="E18" t="str">
        <f t="shared" si="43"/>
        <v>decimal</v>
      </c>
      <c r="F18" s="6"/>
      <c r="G18" t="str">
        <f t="shared" si="44"/>
        <v>14,5</v>
      </c>
      <c r="H18" t="str">
        <f>+VLOOKUP(E18,'Data Type Mapping'!A:B,2,)</f>
        <v>decimal?</v>
      </c>
      <c r="I18" t="str">
        <f t="shared" si="45"/>
        <v/>
      </c>
      <c r="J18" t="str">
        <f t="shared" si="46"/>
        <v xml:space="preserve">		public virtual decimal? Insurance { get; set; }
</v>
      </c>
      <c r="K18" s="6"/>
      <c r="L18" t="str">
        <f t="shared" si="47"/>
        <v/>
      </c>
      <c r="M18" t="str">
        <f t="shared" si="48"/>
        <v xml:space="preserve">		public virtual decimal? Insurance { get; set; }
</v>
      </c>
      <c r="N18" t="str">
        <f t="shared" si="49"/>
        <v xml:space="preserve">		public virtual decimal? Insurance { get; set; }
</v>
      </c>
      <c r="O18" t="str">
        <f t="shared" si="50"/>
        <v/>
      </c>
      <c r="P18" t="str">
        <f t="shared" si="51"/>
        <v xml:space="preserve">							Insurance = o.Insurance,</v>
      </c>
      <c r="T18" s="64" t="str">
        <f t="shared" si="52"/>
        <v xml:space="preserve">								("Insurance"),</v>
      </c>
      <c r="V18" s="65" t="str">
        <f t="shared" si="53"/>
        <v xml:space="preserve">								_ =&gt; _.Insurance,</v>
      </c>
      <c r="W18" s="64" t="str">
        <f t="shared" si="54"/>
        <v/>
      </c>
      <c r="X18" t="str">
        <f t="shared" si="26"/>
        <v>Number</v>
      </c>
      <c r="Y18" t="str">
        <f t="shared" si="27"/>
        <v>Right</v>
      </c>
      <c r="Z18" t="str">
        <f t="shared" si="28"/>
        <v>#,###.####</v>
      </c>
    </row>
    <row r="19" spans="1:26" customFormat="1" ht="18.75" customHeight="1" x14ac:dyDescent="0.25">
      <c r="A19" t="s">
        <v>366</v>
      </c>
      <c r="B19" t="s">
        <v>391</v>
      </c>
      <c r="C19" t="s">
        <v>1</v>
      </c>
      <c r="D19" t="str">
        <f t="shared" si="42"/>
        <v>InsuranceTotal</v>
      </c>
      <c r="E19" t="str">
        <f t="shared" si="43"/>
        <v>decimal</v>
      </c>
      <c r="F19" s="6"/>
      <c r="G19" t="str">
        <f t="shared" si="44"/>
        <v>18,5</v>
      </c>
      <c r="H19" t="str">
        <f>+VLOOKUP(E19,'Data Type Mapping'!A:B,2,)</f>
        <v>decimal?</v>
      </c>
      <c r="I19" t="str">
        <f t="shared" si="45"/>
        <v/>
      </c>
      <c r="J19" t="str">
        <f t="shared" si="46"/>
        <v xml:space="preserve">		public virtual decimal? InsuranceTotal { get; set; }
</v>
      </c>
      <c r="K19" s="6"/>
      <c r="L19" t="str">
        <f t="shared" si="47"/>
        <v/>
      </c>
      <c r="M19" t="str">
        <f t="shared" si="48"/>
        <v xml:space="preserve">		public virtual decimal? InsuranceTotal { get; set; }
</v>
      </c>
      <c r="N19" t="str">
        <f t="shared" si="49"/>
        <v xml:space="preserve">		public virtual decimal? InsuranceTotal { get; set; }
</v>
      </c>
      <c r="O19" t="str">
        <f t="shared" si="50"/>
        <v/>
      </c>
      <c r="P19" t="str">
        <f t="shared" si="51"/>
        <v xml:space="preserve">							InsuranceTotal = o.InsuranceTotal,</v>
      </c>
      <c r="T19" s="64" t="str">
        <f t="shared" si="52"/>
        <v xml:space="preserve">								("InsuranceTotal"),</v>
      </c>
      <c r="V19" s="65" t="str">
        <f t="shared" si="53"/>
        <v xml:space="preserve">								_ =&gt; _.InsuranceTotal,</v>
      </c>
      <c r="W19" s="64" t="str">
        <f t="shared" si="54"/>
        <v/>
      </c>
      <c r="X19" t="str">
        <f t="shared" si="26"/>
        <v>Number</v>
      </c>
      <c r="Y19" t="str">
        <f t="shared" si="27"/>
        <v>Right</v>
      </c>
      <c r="Z19" t="str">
        <f t="shared" si="28"/>
        <v>#,###.####</v>
      </c>
    </row>
    <row r="20" spans="1:26" customFormat="1" ht="18.75" customHeight="1" x14ac:dyDescent="0.25">
      <c r="A20" t="s">
        <v>367</v>
      </c>
      <c r="B20" t="s">
        <v>391</v>
      </c>
      <c r="C20" t="s">
        <v>1</v>
      </c>
      <c r="D20" t="str">
        <f t="shared" si="42"/>
        <v>Cif</v>
      </c>
      <c r="E20" t="str">
        <f t="shared" si="43"/>
        <v>decimal</v>
      </c>
      <c r="F20" s="6"/>
      <c r="G20" t="str">
        <f t="shared" si="44"/>
        <v>18,5</v>
      </c>
      <c r="H20" t="str">
        <f>+VLOOKUP(E20,'Data Type Mapping'!A:B,2,)</f>
        <v>decimal?</v>
      </c>
      <c r="I20" t="str">
        <f t="shared" si="45"/>
        <v/>
      </c>
      <c r="J20" t="str">
        <f t="shared" si="46"/>
        <v xml:space="preserve">		public virtual decimal? Cif { get; set; }
</v>
      </c>
      <c r="K20" s="6"/>
      <c r="L20" t="str">
        <f t="shared" si="47"/>
        <v/>
      </c>
      <c r="M20" t="str">
        <f t="shared" si="48"/>
        <v xml:space="preserve">		public virtual decimal? Cif { get; set; }
</v>
      </c>
      <c r="N20" t="str">
        <f t="shared" si="49"/>
        <v xml:space="preserve">		public virtual decimal? Cif { get; set; }
</v>
      </c>
      <c r="O20" t="str">
        <f t="shared" si="50"/>
        <v/>
      </c>
      <c r="P20" t="str">
        <f t="shared" si="51"/>
        <v xml:space="preserve">							Cif = o.Cif,</v>
      </c>
      <c r="T20" s="64" t="str">
        <f t="shared" si="52"/>
        <v xml:space="preserve">								("Cif"),</v>
      </c>
      <c r="V20" s="65" t="str">
        <f t="shared" si="53"/>
        <v xml:space="preserve">								_ =&gt; _.Cif,</v>
      </c>
      <c r="W20" s="64" t="str">
        <f t="shared" si="54"/>
        <v/>
      </c>
      <c r="X20" t="str">
        <f t="shared" si="26"/>
        <v>Number</v>
      </c>
      <c r="Y20" t="str">
        <f t="shared" si="27"/>
        <v>Right</v>
      </c>
      <c r="Z20" t="str">
        <f t="shared" si="28"/>
        <v>#,###.####</v>
      </c>
    </row>
    <row r="21" spans="1:26" customFormat="1" ht="18.75" customHeight="1" x14ac:dyDescent="0.25">
      <c r="A21" t="s">
        <v>368</v>
      </c>
      <c r="B21" t="s">
        <v>390</v>
      </c>
      <c r="C21" t="s">
        <v>1</v>
      </c>
      <c r="D21" t="str">
        <f t="shared" si="42"/>
        <v>ThcTotal</v>
      </c>
      <c r="E21" t="str">
        <f t="shared" si="43"/>
        <v>decimal</v>
      </c>
      <c r="F21" s="6"/>
      <c r="G21" t="str">
        <f t="shared" si="44"/>
        <v>14,5</v>
      </c>
      <c r="H21" t="str">
        <f>+VLOOKUP(E21,'Data Type Mapping'!A:B,2,)</f>
        <v>decimal?</v>
      </c>
      <c r="I21" t="str">
        <f t="shared" si="45"/>
        <v/>
      </c>
      <c r="J21" t="str">
        <f t="shared" si="46"/>
        <v xml:space="preserve">		public virtual decimal? ThcTotal { get; set; }
</v>
      </c>
      <c r="K21" s="6"/>
      <c r="L21" t="str">
        <f t="shared" si="47"/>
        <v/>
      </c>
      <c r="M21" t="str">
        <f t="shared" si="48"/>
        <v xml:space="preserve">		public virtual decimal? ThcTotal { get; set; }
</v>
      </c>
      <c r="N21" t="str">
        <f t="shared" si="49"/>
        <v xml:space="preserve">		public virtual decimal? ThcTotal { get; set; }
</v>
      </c>
      <c r="O21" t="str">
        <f t="shared" si="50"/>
        <v/>
      </c>
      <c r="P21" t="str">
        <f t="shared" si="51"/>
        <v xml:space="preserve">							ThcTotal = o.ThcTotal,</v>
      </c>
      <c r="T21" s="64" t="str">
        <f t="shared" si="52"/>
        <v xml:space="preserve">								("ThcTotal"),</v>
      </c>
      <c r="V21" s="65" t="str">
        <f t="shared" si="53"/>
        <v xml:space="preserve">								_ =&gt; _.ThcTotal,</v>
      </c>
      <c r="W21" s="64" t="str">
        <f t="shared" si="54"/>
        <v/>
      </c>
      <c r="X21" t="str">
        <f t="shared" si="26"/>
        <v>Number</v>
      </c>
      <c r="Y21" t="str">
        <f t="shared" si="27"/>
        <v>Right</v>
      </c>
      <c r="Z21" t="str">
        <f t="shared" si="28"/>
        <v>#,###.####</v>
      </c>
    </row>
    <row r="22" spans="1:26" customFormat="1" ht="18.75" customHeight="1" x14ac:dyDescent="0.25">
      <c r="A22" t="s">
        <v>369</v>
      </c>
      <c r="B22" t="s">
        <v>392</v>
      </c>
      <c r="C22" t="s">
        <v>1</v>
      </c>
      <c r="D22" t="str">
        <f t="shared" si="42"/>
        <v>NetWeight</v>
      </c>
      <c r="E22" t="str">
        <f t="shared" si="43"/>
        <v>decimal</v>
      </c>
      <c r="F22" s="6"/>
      <c r="G22" t="str">
        <f t="shared" si="44"/>
        <v>18,4</v>
      </c>
      <c r="H22" t="str">
        <f>+VLOOKUP(E22,'Data Type Mapping'!A:B,2,)</f>
        <v>decimal?</v>
      </c>
      <c r="I22" t="str">
        <f t="shared" si="45"/>
        <v/>
      </c>
      <c r="J22" t="str">
        <f t="shared" si="46"/>
        <v xml:space="preserve">		public virtual decimal? NetWeight { get; set; }
</v>
      </c>
      <c r="K22" s="6"/>
      <c r="L22" t="str">
        <f t="shared" si="47"/>
        <v/>
      </c>
      <c r="M22" t="str">
        <f t="shared" si="48"/>
        <v xml:space="preserve">		public virtual decimal? NetWeight { get; set; }
</v>
      </c>
      <c r="N22" t="str">
        <f t="shared" si="49"/>
        <v xml:space="preserve">		public virtual decimal? NetWeight { get; set; }
</v>
      </c>
      <c r="O22" t="str">
        <f t="shared" si="50"/>
        <v/>
      </c>
      <c r="P22" t="str">
        <f t="shared" si="51"/>
        <v xml:space="preserve">							NetWeight = o.NetWeight,</v>
      </c>
      <c r="T22" s="64" t="str">
        <f t="shared" si="52"/>
        <v xml:space="preserve">								("NetWeight"),</v>
      </c>
      <c r="V22" s="65" t="str">
        <f t="shared" si="53"/>
        <v xml:space="preserve">								_ =&gt; _.NetWeight,</v>
      </c>
      <c r="W22" s="64" t="str">
        <f t="shared" si="54"/>
        <v/>
      </c>
      <c r="X22" t="str">
        <f t="shared" si="26"/>
        <v>Number</v>
      </c>
      <c r="Y22" t="str">
        <f t="shared" si="27"/>
        <v>Right</v>
      </c>
      <c r="Z22" t="str">
        <f t="shared" si="28"/>
        <v>#,###.####</v>
      </c>
    </row>
    <row r="23" spans="1:26" customFormat="1" ht="18.75" customHeight="1" x14ac:dyDescent="0.25">
      <c r="A23" t="s">
        <v>370</v>
      </c>
      <c r="B23" t="s">
        <v>392</v>
      </c>
      <c r="C23" t="s">
        <v>1</v>
      </c>
      <c r="D23" t="str">
        <f t="shared" si="42"/>
        <v>GrossWeight</v>
      </c>
      <c r="E23" t="str">
        <f t="shared" si="43"/>
        <v>decimal</v>
      </c>
      <c r="F23" s="6"/>
      <c r="G23" t="str">
        <f t="shared" si="44"/>
        <v>18,4</v>
      </c>
      <c r="H23" t="str">
        <f>+VLOOKUP(E23,'Data Type Mapping'!A:B,2,)</f>
        <v>decimal?</v>
      </c>
      <c r="I23" t="str">
        <f t="shared" si="45"/>
        <v/>
      </c>
      <c r="J23" t="str">
        <f t="shared" si="46"/>
        <v xml:space="preserve">		public virtual decimal? GrossWeight { get; set; }
</v>
      </c>
      <c r="K23" s="6"/>
      <c r="L23" t="str">
        <f t="shared" si="47"/>
        <v/>
      </c>
      <c r="M23" t="str">
        <f t="shared" si="48"/>
        <v xml:space="preserve">		public virtual decimal? GrossWeight { get; set; }
</v>
      </c>
      <c r="N23" t="str">
        <f t="shared" si="49"/>
        <v xml:space="preserve">		public virtual decimal? GrossWeight { get; set; }
</v>
      </c>
      <c r="O23" t="str">
        <f t="shared" si="50"/>
        <v/>
      </c>
      <c r="P23" t="str">
        <f t="shared" si="51"/>
        <v xml:space="preserve">							GrossWeight = o.GrossWeight,</v>
      </c>
      <c r="T23" s="64" t="str">
        <f t="shared" si="52"/>
        <v xml:space="preserve">								("GrossWeight"),</v>
      </c>
      <c r="V23" s="65" t="str">
        <f t="shared" si="53"/>
        <v xml:space="preserve">								_ =&gt; _.GrossWeight,</v>
      </c>
      <c r="W23" s="64" t="str">
        <f t="shared" si="54"/>
        <v/>
      </c>
      <c r="X23" t="str">
        <f t="shared" si="26"/>
        <v>Number</v>
      </c>
      <c r="Y23" t="str">
        <f t="shared" si="27"/>
        <v>Right</v>
      </c>
      <c r="Z23" t="str">
        <f t="shared" si="28"/>
        <v>#,###.####</v>
      </c>
    </row>
    <row r="24" spans="1:26" customFormat="1" ht="18.75" customHeight="1" x14ac:dyDescent="0.25">
      <c r="A24" t="s">
        <v>371</v>
      </c>
      <c r="B24" t="s">
        <v>393</v>
      </c>
      <c r="C24" t="s">
        <v>1</v>
      </c>
      <c r="D24" t="str">
        <f t="shared" ref="D24:D39" si="55">SUBSTITUTE(PROPER(A24),"_","")</f>
        <v>CeptType</v>
      </c>
      <c r="E24" t="str">
        <f t="shared" ref="E24:E39" si="56">IFERROR(LEFT(B24, FIND("(",B24)-1),B24)</f>
        <v>varchar</v>
      </c>
      <c r="F24" s="6"/>
      <c r="G24" t="str">
        <f t="shared" ref="G24:G39" si="57">IFERROR(MID(B24,FIND("(",B24) +1, FIND(")",B24) - FIND("(",B24) - 1),"")</f>
        <v>10</v>
      </c>
      <c r="H24" t="str">
        <f>+VLOOKUP(E24,'Data Type Mapping'!A:B,2,)</f>
        <v>string</v>
      </c>
      <c r="I24" t="str">
        <f t="shared" ref="I24:I39" si="58">IF(H24="string",REPT(CHAR(9),2)&amp;"public const int Max"&amp;D24&amp;"Length = "&amp;G24&amp;";"&amp;$E$3,"" )</f>
        <v xml:space="preserve">		public const int MaxCeptTypeLength = 10;
</v>
      </c>
      <c r="J24" t="str">
        <f t="shared" ref="J24:J39" si="59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[StringLength(MaxCeptTypeLength)]
		public virtual string CeptType { get; set; }
</v>
      </c>
      <c r="K24" s="6"/>
      <c r="L24" t="str">
        <f t="shared" ref="L24:L39" si="60">IF(K24="","",REPT(CHAR(9),1)&amp;"[Index(nameof("&amp;IF(D24="","",""&amp;D24)&amp;")"&amp;", Name="&amp;"""IX_"&amp;$B$7&amp;"_"&amp;D24&amp;""")]")</f>
        <v/>
      </c>
      <c r="M24" t="str">
        <f t="shared" ref="M24:M39" si="61">REPT(CHAR(9),2)&amp;"public virtual "&amp;IF(OR(H24="DateTime",H24="TimeSpan"),H24&amp;"?",H24)&amp;IF(C24="?","? "," ")&amp;D24&amp;" { get; set; }" &amp; "
"</f>
        <v xml:space="preserve">		public virtual string CeptType { get; set; }
</v>
      </c>
      <c r="N24" t="str">
        <f t="shared" ref="N24:N39" si="62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[StringLength(InvCkdInvoiceConsts.MaxCeptTypeLength)]
		public virtual string CeptType { get; set; }
</v>
      </c>
      <c r="O24" t="str">
        <f t="shared" ref="O24:O39" si="63">IF(OR(H24="string",H24="DateTime",H24="int"),REPT(CHAR(9),2)&amp;"public virtual "&amp;IF(OR(H24="DateTime",H24="TimeSpan"),H24&amp;"?",H24)&amp;IF(C24="?","? "," ")&amp;D24&amp;" { get; set; }"&amp;$E$3,"")</f>
        <v xml:space="preserve">		public virtual string CeptType { get; set; }
</v>
      </c>
      <c r="P24" t="str">
        <f t="shared" ref="P24:P39" si="64">REPT(CHAR(9),7)&amp;D24&amp;" = o." &amp;D24 &amp;","</f>
        <v xml:space="preserve">							CeptType = o.CeptType,</v>
      </c>
      <c r="T24" s="64" t="str">
        <f t="shared" ref="T24:T39" si="65">REPT(CHAR(9),8)&amp;"("""&amp;D24&amp;"""),"</f>
        <v xml:space="preserve">								("CeptType"),</v>
      </c>
      <c r="V24" s="65" t="str">
        <f t="shared" ref="V24:V39" si="66">REPT(CHAR(9),8)&amp;"_ =&gt; _."&amp;D24&amp;","</f>
        <v xml:space="preserve">								_ =&gt; _.CeptType,</v>
      </c>
      <c r="W24" s="64" t="str">
        <f t="shared" ref="W24:W39" si="67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.WhereIf(!string.IsNullOrWhiteSpace(input.CeptType), e =&gt; e.CeptType.Contains(input.CeptType))</v>
      </c>
      <c r="X24" t="str">
        <f t="shared" si="26"/>
        <v>Char</v>
      </c>
      <c r="Y24" t="str">
        <f t="shared" si="27"/>
        <v>Left</v>
      </c>
      <c r="Z24" t="str">
        <f t="shared" si="28"/>
        <v/>
      </c>
    </row>
    <row r="25" spans="1:26" customFormat="1" ht="18.75" customHeight="1" x14ac:dyDescent="0.25">
      <c r="A25" t="s">
        <v>372</v>
      </c>
      <c r="B25" t="s">
        <v>388</v>
      </c>
      <c r="C25" t="s">
        <v>1</v>
      </c>
      <c r="D25" t="str">
        <f t="shared" si="55"/>
        <v>Currency</v>
      </c>
      <c r="E25" t="str">
        <f t="shared" si="56"/>
        <v>varchar</v>
      </c>
      <c r="F25" s="6"/>
      <c r="G25" t="str">
        <f t="shared" si="57"/>
        <v>20</v>
      </c>
      <c r="H25" t="str">
        <f>+VLOOKUP(E25,'Data Type Mapping'!A:B,2,)</f>
        <v>string</v>
      </c>
      <c r="I25" t="str">
        <f t="shared" si="58"/>
        <v xml:space="preserve">		public const int MaxCurrencyLength = 20;
</v>
      </c>
      <c r="J25" t="str">
        <f t="shared" si="59"/>
        <v xml:space="preserve">		[StringLength(MaxCurrencyLength)]
		public virtual string Currency { get; set; }
</v>
      </c>
      <c r="K25" s="6"/>
      <c r="L25" t="str">
        <f t="shared" si="60"/>
        <v/>
      </c>
      <c r="M25" t="str">
        <f t="shared" si="61"/>
        <v xml:space="preserve">		public virtual string Currency { get; set; }
</v>
      </c>
      <c r="N25" t="str">
        <f t="shared" si="62"/>
        <v xml:space="preserve">		[StringLength(InvCkdInvoiceConsts.MaxCurrencyLength)]
		public virtual string Currency { get; set; }
</v>
      </c>
      <c r="O25" t="str">
        <f t="shared" si="63"/>
        <v xml:space="preserve">		public virtual string Currency { get; set; }
</v>
      </c>
      <c r="P25" t="str">
        <f t="shared" si="64"/>
        <v xml:space="preserve">							Currency = o.Currency,</v>
      </c>
      <c r="T25" s="64" t="str">
        <f t="shared" si="65"/>
        <v xml:space="preserve">								("Currency"),</v>
      </c>
      <c r="V25" s="65" t="str">
        <f t="shared" si="66"/>
        <v xml:space="preserve">								_ =&gt; _.Currency,</v>
      </c>
      <c r="W25" s="64" t="str">
        <f t="shared" si="67"/>
        <v xml:space="preserve">				.WhereIf(!string.IsNullOrWhiteSpace(input.Currency), e =&gt; e.Currency.Contains(input.Currency))</v>
      </c>
      <c r="X25" t="str">
        <f t="shared" si="26"/>
        <v>Char</v>
      </c>
      <c r="Y25" t="str">
        <f t="shared" si="27"/>
        <v>Left</v>
      </c>
      <c r="Z25" t="str">
        <f t="shared" si="28"/>
        <v/>
      </c>
    </row>
    <row r="26" spans="1:26" customFormat="1" ht="18.75" customHeight="1" x14ac:dyDescent="0.25">
      <c r="A26" t="s">
        <v>373</v>
      </c>
      <c r="B26" t="s">
        <v>394</v>
      </c>
      <c r="C26" t="s">
        <v>1</v>
      </c>
      <c r="D26" t="str">
        <f t="shared" si="55"/>
        <v>Remarks</v>
      </c>
      <c r="E26" t="str">
        <f t="shared" si="56"/>
        <v>nvarchar</v>
      </c>
      <c r="F26" s="6"/>
      <c r="G26" t="str">
        <f t="shared" si="57"/>
        <v>1000</v>
      </c>
      <c r="H26" t="str">
        <f>+VLOOKUP(E26,'Data Type Mapping'!A:B,2,)</f>
        <v>string</v>
      </c>
      <c r="I26" t="str">
        <f t="shared" si="58"/>
        <v xml:space="preserve">		public const int MaxRemarksLength = 1000;
</v>
      </c>
      <c r="J26" t="str">
        <f t="shared" si="59"/>
        <v xml:space="preserve">		[StringLength(MaxRemarksLength)]
		public virtual string Remarks { get; set; }
</v>
      </c>
      <c r="K26" s="6"/>
      <c r="L26" t="str">
        <f t="shared" si="60"/>
        <v/>
      </c>
      <c r="M26" t="str">
        <f t="shared" si="61"/>
        <v xml:space="preserve">		public virtual string Remarks { get; set; }
</v>
      </c>
      <c r="N26" t="str">
        <f t="shared" si="62"/>
        <v xml:space="preserve">		[StringLength(InvCkdInvoiceConsts.MaxRemarksLength)]
		public virtual string Remarks { get; set; }
</v>
      </c>
      <c r="O26" t="str">
        <f t="shared" si="63"/>
        <v xml:space="preserve">		public virtual string Remarks { get; set; }
</v>
      </c>
      <c r="P26" t="str">
        <f t="shared" si="64"/>
        <v xml:space="preserve">							Remarks = o.Remarks,</v>
      </c>
      <c r="T26" s="64" t="str">
        <f t="shared" si="65"/>
        <v xml:space="preserve">								("Remarks"),</v>
      </c>
      <c r="V26" s="65" t="str">
        <f t="shared" si="66"/>
        <v xml:space="preserve">								_ =&gt; _.Remarks,</v>
      </c>
      <c r="W26" s="64" t="str">
        <f t="shared" si="67"/>
        <v xml:space="preserve">				.WhereIf(!string.IsNullOrWhiteSpace(input.Remarks), e =&gt; e.Remarks.Contains(input.Remarks))</v>
      </c>
      <c r="X26" t="str">
        <f t="shared" si="26"/>
        <v>Number</v>
      </c>
      <c r="Y26" t="str">
        <f t="shared" si="27"/>
        <v>Right</v>
      </c>
      <c r="Z26" t="str">
        <f t="shared" si="28"/>
        <v>#,###</v>
      </c>
    </row>
    <row r="27" spans="1:26" customFormat="1" ht="18.75" customHeight="1" x14ac:dyDescent="0.25">
      <c r="A27" t="s">
        <v>374</v>
      </c>
      <c r="B27" t="s">
        <v>393</v>
      </c>
      <c r="C27" t="s">
        <v>1</v>
      </c>
      <c r="D27" t="str">
        <f t="shared" si="55"/>
        <v>SupplierNo</v>
      </c>
      <c r="E27" t="str">
        <f t="shared" si="56"/>
        <v>varchar</v>
      </c>
      <c r="F27" s="6"/>
      <c r="G27" t="str">
        <f t="shared" si="57"/>
        <v>10</v>
      </c>
      <c r="H27" t="str">
        <f>+VLOOKUP(E27,'Data Type Mapping'!A:B,2,)</f>
        <v>string</v>
      </c>
      <c r="I27" t="str">
        <f t="shared" si="58"/>
        <v xml:space="preserve">		public const int MaxSupplierNoLength = 10;
</v>
      </c>
      <c r="J27" t="str">
        <f t="shared" si="59"/>
        <v xml:space="preserve">		[StringLength(MaxSupplierNoLength)]
		public virtual string SupplierNo { get; set; }
</v>
      </c>
      <c r="K27" s="6"/>
      <c r="L27" t="str">
        <f t="shared" si="60"/>
        <v/>
      </c>
      <c r="M27" t="str">
        <f t="shared" si="61"/>
        <v xml:space="preserve">		public virtual string SupplierNo { get; set; }
</v>
      </c>
      <c r="N27" t="str">
        <f t="shared" si="62"/>
        <v xml:space="preserve">		[StringLength(InvCkdInvoiceConsts.MaxSupplierNoLength)]
		public virtual string SupplierNo { get; set; }
</v>
      </c>
      <c r="O27" t="str">
        <f t="shared" si="63"/>
        <v xml:space="preserve">		public virtual string SupplierNo { get; set; }
</v>
      </c>
      <c r="P27" t="str">
        <f t="shared" si="64"/>
        <v xml:space="preserve">							SupplierNo = o.SupplierNo,</v>
      </c>
      <c r="T27" s="64" t="str">
        <f t="shared" si="65"/>
        <v xml:space="preserve">								("SupplierNo"),</v>
      </c>
      <c r="V27" s="65" t="str">
        <f t="shared" si="66"/>
        <v xml:space="preserve">								_ =&gt; _.SupplierNo,</v>
      </c>
      <c r="W27" s="64" t="str">
        <f t="shared" si="67"/>
        <v xml:space="preserve">				.WhereIf(!string.IsNullOrWhiteSpace(input.SupplierNo), e =&gt; e.SupplierNo.Contains(input.SupplierNo))</v>
      </c>
      <c r="X27" t="str">
        <f t="shared" si="26"/>
        <v>Char</v>
      </c>
      <c r="Y27" t="str">
        <f t="shared" si="27"/>
        <v>Left</v>
      </c>
      <c r="Z27" t="str">
        <f t="shared" si="28"/>
        <v/>
      </c>
    </row>
    <row r="28" spans="1:26" customFormat="1" ht="18.75" customHeight="1" x14ac:dyDescent="0.25">
      <c r="A28" t="s">
        <v>375</v>
      </c>
      <c r="B28" t="s">
        <v>4</v>
      </c>
      <c r="C28" t="s">
        <v>1</v>
      </c>
      <c r="D28" t="str">
        <f t="shared" si="55"/>
        <v>Quantity</v>
      </c>
      <c r="E28" t="str">
        <f t="shared" si="56"/>
        <v>int</v>
      </c>
      <c r="F28" s="6"/>
      <c r="G28" t="str">
        <f t="shared" si="57"/>
        <v/>
      </c>
      <c r="H28" t="str">
        <f>+VLOOKUP(E28,'Data Type Mapping'!A:B,2,)</f>
        <v>int?</v>
      </c>
      <c r="I28" t="str">
        <f t="shared" si="58"/>
        <v/>
      </c>
      <c r="J28" t="str">
        <f t="shared" si="59"/>
        <v xml:space="preserve">		public virtual int? Quantity { get; set; }
</v>
      </c>
      <c r="K28" s="6"/>
      <c r="L28" t="str">
        <f t="shared" si="60"/>
        <v/>
      </c>
      <c r="M28" t="str">
        <f t="shared" si="61"/>
        <v xml:space="preserve">		public virtual int? Quantity { get; set; }
</v>
      </c>
      <c r="N28" t="str">
        <f t="shared" si="62"/>
        <v xml:space="preserve">		public virtual int? Quantity { get; set; }
</v>
      </c>
      <c r="O28" t="str">
        <f t="shared" si="63"/>
        <v/>
      </c>
      <c r="P28" t="str">
        <f t="shared" si="64"/>
        <v xml:space="preserve">							Quantity = o.Quantity,</v>
      </c>
      <c r="T28" s="64" t="str">
        <f t="shared" si="65"/>
        <v xml:space="preserve">								("Quantity"),</v>
      </c>
      <c r="V28" s="65" t="str">
        <f t="shared" si="66"/>
        <v xml:space="preserve">								_ =&gt; _.Quantity,</v>
      </c>
      <c r="W28" s="64" t="str">
        <f t="shared" si="67"/>
        <v/>
      </c>
      <c r="X28" t="str">
        <f t="shared" si="26"/>
        <v>Number</v>
      </c>
      <c r="Y28" t="str">
        <f t="shared" si="27"/>
        <v>Right</v>
      </c>
      <c r="Z28" t="str">
        <f t="shared" si="28"/>
        <v>#,###</v>
      </c>
    </row>
    <row r="29" spans="1:26" customFormat="1" ht="18.75" customHeight="1" x14ac:dyDescent="0.25">
      <c r="A29" t="s">
        <v>376</v>
      </c>
      <c r="B29" t="s">
        <v>4</v>
      </c>
      <c r="C29" t="s">
        <v>1</v>
      </c>
      <c r="D29" t="str">
        <f t="shared" si="55"/>
        <v>Flag</v>
      </c>
      <c r="E29" t="str">
        <f t="shared" si="56"/>
        <v>int</v>
      </c>
      <c r="F29" s="6"/>
      <c r="G29" t="str">
        <f t="shared" si="57"/>
        <v/>
      </c>
      <c r="H29" t="str">
        <f>+VLOOKUP(E29,'Data Type Mapping'!A:B,2,)</f>
        <v>int?</v>
      </c>
      <c r="I29" t="str">
        <f t="shared" si="58"/>
        <v/>
      </c>
      <c r="J29" t="str">
        <f t="shared" si="59"/>
        <v xml:space="preserve">		public virtual int? Flag { get; set; }
</v>
      </c>
      <c r="K29" s="6"/>
      <c r="L29" t="str">
        <f t="shared" si="60"/>
        <v/>
      </c>
      <c r="M29" t="str">
        <f t="shared" si="61"/>
        <v xml:space="preserve">		public virtual int? Flag { get; set; }
</v>
      </c>
      <c r="N29" t="str">
        <f t="shared" si="62"/>
        <v xml:space="preserve">		public virtual int? Flag { get; set; }
</v>
      </c>
      <c r="O29" t="str">
        <f t="shared" si="63"/>
        <v/>
      </c>
      <c r="P29" t="str">
        <f t="shared" si="64"/>
        <v xml:space="preserve">							Flag = o.Flag,</v>
      </c>
      <c r="T29" s="64" t="str">
        <f t="shared" si="65"/>
        <v xml:space="preserve">								("Flag"),</v>
      </c>
      <c r="V29" s="65" t="str">
        <f t="shared" si="66"/>
        <v xml:space="preserve">								_ =&gt; _.Flag,</v>
      </c>
      <c r="W29" s="64" t="str">
        <f t="shared" si="67"/>
        <v/>
      </c>
      <c r="X29" t="str">
        <f t="shared" si="26"/>
        <v>Number</v>
      </c>
      <c r="Y29" t="str">
        <f t="shared" si="27"/>
        <v>Right</v>
      </c>
      <c r="Z29" t="str">
        <f t="shared" si="28"/>
        <v>#,###</v>
      </c>
    </row>
    <row r="30" spans="1:26" customFormat="1" ht="18.75" customHeight="1" x14ac:dyDescent="0.25">
      <c r="A30" t="s">
        <v>377</v>
      </c>
      <c r="B30" t="s">
        <v>4</v>
      </c>
      <c r="C30" t="s">
        <v>1</v>
      </c>
      <c r="D30" t="str">
        <f t="shared" si="55"/>
        <v>Freezed</v>
      </c>
      <c r="E30" t="str">
        <f t="shared" si="56"/>
        <v>int</v>
      </c>
      <c r="F30" s="6"/>
      <c r="G30" t="str">
        <f t="shared" si="57"/>
        <v/>
      </c>
      <c r="H30" t="str">
        <f>+VLOOKUP(E30,'Data Type Mapping'!A:B,2,)</f>
        <v>int?</v>
      </c>
      <c r="I30" t="str">
        <f t="shared" si="58"/>
        <v/>
      </c>
      <c r="J30" t="str">
        <f t="shared" si="59"/>
        <v xml:space="preserve">		public virtual int? Freezed { get; set; }
</v>
      </c>
      <c r="K30" s="6"/>
      <c r="L30" t="str">
        <f t="shared" si="60"/>
        <v/>
      </c>
      <c r="M30" t="str">
        <f t="shared" si="61"/>
        <v xml:space="preserve">		public virtual int? Freezed { get; set; }
</v>
      </c>
      <c r="N30" t="str">
        <f t="shared" si="62"/>
        <v xml:space="preserve">		public virtual int? Freezed { get; set; }
</v>
      </c>
      <c r="O30" t="str">
        <f t="shared" si="63"/>
        <v/>
      </c>
      <c r="P30" t="str">
        <f t="shared" si="64"/>
        <v xml:space="preserve">							Freezed = o.Freezed,</v>
      </c>
      <c r="T30" s="64" t="str">
        <f t="shared" si="65"/>
        <v xml:space="preserve">								("Freezed"),</v>
      </c>
      <c r="V30" s="65" t="str">
        <f t="shared" si="66"/>
        <v xml:space="preserve">								_ =&gt; _.Freezed,</v>
      </c>
      <c r="W30" s="64" t="str">
        <f t="shared" si="67"/>
        <v/>
      </c>
      <c r="X30" t="str">
        <f t="shared" si="26"/>
        <v>Number</v>
      </c>
      <c r="Y30" t="str">
        <f t="shared" si="27"/>
        <v>Right</v>
      </c>
      <c r="Z30" t="str">
        <f t="shared" si="28"/>
        <v>#,###</v>
      </c>
    </row>
    <row r="31" spans="1:26" customFormat="1" ht="18.75" customHeight="1" x14ac:dyDescent="0.25">
      <c r="A31" t="s">
        <v>378</v>
      </c>
      <c r="B31" t="s">
        <v>395</v>
      </c>
      <c r="C31" t="s">
        <v>1</v>
      </c>
      <c r="D31" t="str">
        <f t="shared" si="55"/>
        <v>SourceType</v>
      </c>
      <c r="E31" t="str">
        <f t="shared" si="56"/>
        <v>varchar</v>
      </c>
      <c r="F31" s="6"/>
      <c r="G31" t="str">
        <f t="shared" si="57"/>
        <v>2</v>
      </c>
      <c r="H31" t="str">
        <f>+VLOOKUP(E31,'Data Type Mapping'!A:B,2,)</f>
        <v>string</v>
      </c>
      <c r="I31" t="str">
        <f t="shared" si="58"/>
        <v xml:space="preserve">		public const int MaxSourceTypeLength = 2;
</v>
      </c>
      <c r="J31" t="str">
        <f t="shared" si="59"/>
        <v xml:space="preserve">		[StringLength(MaxSourceTypeLength)]
		public virtual string SourceType { get; set; }
</v>
      </c>
      <c r="K31" s="6"/>
      <c r="L31" t="str">
        <f t="shared" si="60"/>
        <v/>
      </c>
      <c r="M31" t="str">
        <f t="shared" si="61"/>
        <v xml:space="preserve">		public virtual string SourceType { get; set; }
</v>
      </c>
      <c r="N31" t="str">
        <f t="shared" si="62"/>
        <v xml:space="preserve">		[StringLength(InvCkdInvoiceConsts.MaxSourceTypeLength)]
		public virtual string SourceType { get; set; }
</v>
      </c>
      <c r="O31" t="str">
        <f t="shared" si="63"/>
        <v xml:space="preserve">		public virtual string SourceType { get; set; }
</v>
      </c>
      <c r="P31" t="str">
        <f t="shared" si="64"/>
        <v xml:space="preserve">							SourceType = o.SourceType,</v>
      </c>
      <c r="T31" s="64" t="str">
        <f t="shared" si="65"/>
        <v xml:space="preserve">								("SourceType"),</v>
      </c>
      <c r="V31" s="65" t="str">
        <f t="shared" si="66"/>
        <v xml:space="preserve">								_ =&gt; _.SourceType,</v>
      </c>
      <c r="W31" s="64" t="str">
        <f t="shared" si="67"/>
        <v xml:space="preserve">				.WhereIf(!string.IsNullOrWhiteSpace(input.SourceType), e =&gt; e.SourceType.Contains(input.SourceType))</v>
      </c>
      <c r="X31" t="str">
        <f t="shared" si="26"/>
        <v>Char</v>
      </c>
      <c r="Y31" t="str">
        <f t="shared" si="27"/>
        <v>Left</v>
      </c>
      <c r="Z31" t="str">
        <f t="shared" si="28"/>
        <v/>
      </c>
    </row>
    <row r="32" spans="1:26" customFormat="1" ht="18.75" customHeight="1" x14ac:dyDescent="0.25">
      <c r="A32" t="s">
        <v>379</v>
      </c>
      <c r="B32" t="s">
        <v>396</v>
      </c>
      <c r="C32" t="s">
        <v>1</v>
      </c>
      <c r="D32" t="str">
        <f t="shared" si="55"/>
        <v>StatusErr</v>
      </c>
      <c r="E32" t="str">
        <f t="shared" si="56"/>
        <v>varchar</v>
      </c>
      <c r="F32" s="6"/>
      <c r="G32" t="str">
        <f t="shared" si="57"/>
        <v>1000</v>
      </c>
      <c r="H32" t="str">
        <f>+VLOOKUP(E32,'Data Type Mapping'!A:B,2,)</f>
        <v>string</v>
      </c>
      <c r="I32" t="str">
        <f t="shared" si="58"/>
        <v xml:space="preserve">		public const int MaxStatusErrLength = 1000;
</v>
      </c>
      <c r="J32" t="str">
        <f t="shared" si="59"/>
        <v xml:space="preserve">		[StringLength(MaxStatusErrLength)]
		public virtual string StatusErr { get; set; }
</v>
      </c>
      <c r="K32" s="6"/>
      <c r="L32" t="str">
        <f t="shared" si="60"/>
        <v/>
      </c>
      <c r="M32" t="str">
        <f t="shared" si="61"/>
        <v xml:space="preserve">		public virtual string StatusErr { get; set; }
</v>
      </c>
      <c r="N32" t="str">
        <f t="shared" si="62"/>
        <v xml:space="preserve">		[StringLength(InvCkdInvoiceConsts.MaxStatusErrLength)]
		public virtual string StatusErr { get; set; }
</v>
      </c>
      <c r="O32" t="str">
        <f t="shared" si="63"/>
        <v xml:space="preserve">		public virtual string StatusErr { get; set; }
</v>
      </c>
      <c r="P32" t="str">
        <f t="shared" si="64"/>
        <v xml:space="preserve">							StatusErr = o.StatusErr,</v>
      </c>
      <c r="T32" s="64" t="str">
        <f t="shared" si="65"/>
        <v xml:space="preserve">								("StatusErr"),</v>
      </c>
      <c r="V32" s="65" t="str">
        <f t="shared" si="66"/>
        <v xml:space="preserve">								_ =&gt; _.StatusErr,</v>
      </c>
      <c r="W32" s="64" t="str">
        <f t="shared" si="67"/>
        <v xml:space="preserve">				.WhereIf(!string.IsNullOrWhiteSpace(input.StatusErr), e =&gt; e.StatusErr.Contains(input.StatusErr))</v>
      </c>
      <c r="X32" t="str">
        <f t="shared" si="26"/>
        <v>Char</v>
      </c>
      <c r="Y32" t="str">
        <f t="shared" si="27"/>
        <v>Left</v>
      </c>
      <c r="Z32" t="str">
        <f t="shared" si="28"/>
        <v/>
      </c>
    </row>
    <row r="33" spans="1:26" customFormat="1" ht="18.75" customHeight="1" x14ac:dyDescent="0.25">
      <c r="A33" t="s">
        <v>380</v>
      </c>
      <c r="B33" t="s">
        <v>389</v>
      </c>
      <c r="C33" t="s">
        <v>1</v>
      </c>
      <c r="D33" t="str">
        <f t="shared" si="55"/>
        <v>LastOrdertype</v>
      </c>
      <c r="E33" t="str">
        <f t="shared" si="56"/>
        <v>varchar</v>
      </c>
      <c r="F33" s="6"/>
      <c r="G33" t="str">
        <f t="shared" si="57"/>
        <v>4</v>
      </c>
      <c r="H33" t="str">
        <f>+VLOOKUP(E33,'Data Type Mapping'!A:B,2,)</f>
        <v>string</v>
      </c>
      <c r="I33" t="str">
        <f t="shared" si="58"/>
        <v xml:space="preserve">		public const int MaxLastOrdertypeLength = 4;
</v>
      </c>
      <c r="J33" t="str">
        <f t="shared" si="59"/>
        <v xml:space="preserve">		[StringLength(MaxLastOrdertypeLength)]
		public virtual string LastOrdertype { get; set; }
</v>
      </c>
      <c r="K33" s="6"/>
      <c r="L33" t="str">
        <f t="shared" si="60"/>
        <v/>
      </c>
      <c r="M33" t="str">
        <f t="shared" si="61"/>
        <v xml:space="preserve">		public virtual string LastOrdertype { get; set; }
</v>
      </c>
      <c r="N33" t="str">
        <f t="shared" si="62"/>
        <v xml:space="preserve">		[StringLength(InvCkdInvoiceConsts.MaxLastOrdertypeLength)]
		public virtual string LastOrdertype { get; set; }
</v>
      </c>
      <c r="O33" t="str">
        <f t="shared" si="63"/>
        <v xml:space="preserve">		public virtual string LastOrdertype { get; set; }
</v>
      </c>
      <c r="P33" t="str">
        <f t="shared" si="64"/>
        <v xml:space="preserve">							LastOrdertype = o.LastOrdertype,</v>
      </c>
      <c r="T33" s="64" t="str">
        <f t="shared" si="65"/>
        <v xml:space="preserve">								("LastOrdertype"),</v>
      </c>
      <c r="V33" s="65" t="str">
        <f t="shared" si="66"/>
        <v xml:space="preserve">								_ =&gt; _.LastOrdertype,</v>
      </c>
      <c r="W33" s="64" t="str">
        <f t="shared" si="67"/>
        <v xml:space="preserve">				.WhereIf(!string.IsNullOrWhiteSpace(input.LastOrdertype), e =&gt; e.LastOrdertype.Contains(input.LastOrdertype))</v>
      </c>
      <c r="X33" t="str">
        <f t="shared" si="26"/>
        <v>Char</v>
      </c>
      <c r="Y33" t="str">
        <f t="shared" si="27"/>
        <v>Left</v>
      </c>
      <c r="Z33" t="str">
        <f t="shared" si="28"/>
        <v/>
      </c>
    </row>
    <row r="34" spans="1:26" customFormat="1" ht="18.75" customHeight="1" x14ac:dyDescent="0.25">
      <c r="A34" t="s">
        <v>354</v>
      </c>
      <c r="B34" t="s">
        <v>393</v>
      </c>
      <c r="C34" t="s">
        <v>1</v>
      </c>
      <c r="D34" t="str">
        <f t="shared" si="55"/>
        <v>Status</v>
      </c>
      <c r="E34" t="str">
        <f t="shared" si="56"/>
        <v>varchar</v>
      </c>
      <c r="F34" s="6"/>
      <c r="G34" t="str">
        <f t="shared" si="57"/>
        <v>10</v>
      </c>
      <c r="H34" t="str">
        <f>+VLOOKUP(E34,'Data Type Mapping'!A:B,2,)</f>
        <v>string</v>
      </c>
      <c r="I34" t="str">
        <f t="shared" si="58"/>
        <v xml:space="preserve">		public const int MaxStatusLength = 10;
</v>
      </c>
      <c r="J34" t="str">
        <f t="shared" si="59"/>
        <v xml:space="preserve">		[StringLength(MaxStatusLength)]
		public virtual string Status { get; set; }
</v>
      </c>
      <c r="K34" s="6"/>
      <c r="L34" t="str">
        <f t="shared" si="60"/>
        <v/>
      </c>
      <c r="M34" t="str">
        <f t="shared" si="61"/>
        <v xml:space="preserve">		public virtual string Status { get; set; }
</v>
      </c>
      <c r="N34" t="str">
        <f t="shared" si="62"/>
        <v xml:space="preserve">		[StringLength(InvCkdInvoiceConsts.MaxStatusLength)]
		public virtual string Status { get; set; }
</v>
      </c>
      <c r="O34" t="str">
        <f t="shared" si="63"/>
        <v xml:space="preserve">		public virtual string Status { get; set; }
</v>
      </c>
      <c r="P34" t="str">
        <f t="shared" si="64"/>
        <v xml:space="preserve">							Status = o.Status,</v>
      </c>
      <c r="T34" s="64" t="str">
        <f t="shared" si="65"/>
        <v xml:space="preserve">								("Status"),</v>
      </c>
      <c r="V34" s="65" t="str">
        <f t="shared" si="66"/>
        <v xml:space="preserve">								_ =&gt; _.Status,</v>
      </c>
      <c r="W34" s="64" t="str">
        <f t="shared" si="67"/>
        <v xml:space="preserve">				.WhereIf(!string.IsNullOrWhiteSpace(input.Status), e =&gt; e.Status.Contains(input.Status))</v>
      </c>
      <c r="X34" t="str">
        <f t="shared" si="26"/>
        <v>Char</v>
      </c>
      <c r="Y34" t="str">
        <f t="shared" si="27"/>
        <v>Left</v>
      </c>
      <c r="Z34" t="str">
        <f t="shared" si="28"/>
        <v/>
      </c>
    </row>
    <row r="35" spans="1:26" customFormat="1" ht="18.75" customHeight="1" x14ac:dyDescent="0.25">
      <c r="A35" t="s">
        <v>381</v>
      </c>
      <c r="B35" t="s">
        <v>391</v>
      </c>
      <c r="C35" t="s">
        <v>1</v>
      </c>
      <c r="D35" t="str">
        <f t="shared" si="55"/>
        <v>FobVn</v>
      </c>
      <c r="E35" t="str">
        <f t="shared" si="56"/>
        <v>decimal</v>
      </c>
      <c r="F35" s="6"/>
      <c r="G35" t="str">
        <f t="shared" si="57"/>
        <v>18,5</v>
      </c>
      <c r="H35" t="str">
        <f>+VLOOKUP(E35,'Data Type Mapping'!A:B,2,)</f>
        <v>decimal?</v>
      </c>
      <c r="I35" t="str">
        <f t="shared" si="58"/>
        <v/>
      </c>
      <c r="J35" t="str">
        <f t="shared" si="59"/>
        <v xml:space="preserve">		public virtual decimal? FobVn { get; set; }
</v>
      </c>
      <c r="K35" s="6"/>
      <c r="L35" t="str">
        <f t="shared" si="60"/>
        <v/>
      </c>
      <c r="M35" t="str">
        <f t="shared" si="61"/>
        <v xml:space="preserve">		public virtual decimal? FobVn { get; set; }
</v>
      </c>
      <c r="N35" t="str">
        <f t="shared" si="62"/>
        <v xml:space="preserve">		public virtual decimal? FobVn { get; set; }
</v>
      </c>
      <c r="O35" t="str">
        <f t="shared" si="63"/>
        <v/>
      </c>
      <c r="P35" t="str">
        <f t="shared" si="64"/>
        <v xml:space="preserve">							FobVn = o.FobVn,</v>
      </c>
      <c r="T35" s="64" t="str">
        <f t="shared" si="65"/>
        <v xml:space="preserve">								("FobVn"),</v>
      </c>
      <c r="V35" s="65" t="str">
        <f t="shared" si="66"/>
        <v xml:space="preserve">								_ =&gt; _.FobVn,</v>
      </c>
      <c r="W35" s="64" t="str">
        <f t="shared" si="67"/>
        <v/>
      </c>
      <c r="X35" t="str">
        <f t="shared" si="26"/>
        <v>Number</v>
      </c>
      <c r="Y35" t="str">
        <f t="shared" si="27"/>
        <v>Right</v>
      </c>
      <c r="Z35" t="str">
        <f t="shared" si="28"/>
        <v>#,###.####</v>
      </c>
    </row>
    <row r="36" spans="1:26" customFormat="1" ht="18.75" customHeight="1" x14ac:dyDescent="0.25">
      <c r="A36" t="s">
        <v>382</v>
      </c>
      <c r="B36" t="s">
        <v>391</v>
      </c>
      <c r="C36" t="s">
        <v>1</v>
      </c>
      <c r="D36" t="str">
        <f t="shared" si="55"/>
        <v>FreightTotalVn</v>
      </c>
      <c r="E36" t="str">
        <f t="shared" si="56"/>
        <v>decimal</v>
      </c>
      <c r="F36" s="6"/>
      <c r="G36" t="str">
        <f t="shared" si="57"/>
        <v>18,5</v>
      </c>
      <c r="H36" t="str">
        <f>+VLOOKUP(E36,'Data Type Mapping'!A:B,2,)</f>
        <v>decimal?</v>
      </c>
      <c r="I36" t="str">
        <f t="shared" si="58"/>
        <v/>
      </c>
      <c r="J36" t="str">
        <f t="shared" si="59"/>
        <v xml:space="preserve">		public virtual decimal? FreightTotalVn { get; set; }
</v>
      </c>
      <c r="K36" s="6"/>
      <c r="L36" t="str">
        <f t="shared" si="60"/>
        <v/>
      </c>
      <c r="M36" t="str">
        <f t="shared" si="61"/>
        <v xml:space="preserve">		public virtual decimal? FreightTotalVn { get; set; }
</v>
      </c>
      <c r="N36" t="str">
        <f t="shared" si="62"/>
        <v xml:space="preserve">		public virtual decimal? FreightTotalVn { get; set; }
</v>
      </c>
      <c r="O36" t="str">
        <f t="shared" si="63"/>
        <v/>
      </c>
      <c r="P36" t="str">
        <f t="shared" si="64"/>
        <v xml:space="preserve">							FreightTotalVn = o.FreightTotalVn,</v>
      </c>
      <c r="T36" s="64" t="str">
        <f t="shared" si="65"/>
        <v xml:space="preserve">								("FreightTotalVn"),</v>
      </c>
      <c r="V36" s="65" t="str">
        <f t="shared" si="66"/>
        <v xml:space="preserve">								_ =&gt; _.FreightTotalVn,</v>
      </c>
      <c r="W36" s="64" t="str">
        <f t="shared" si="67"/>
        <v/>
      </c>
      <c r="X36" t="str">
        <f t="shared" si="26"/>
        <v>Number</v>
      </c>
      <c r="Y36" t="str">
        <f t="shared" si="27"/>
        <v>Right</v>
      </c>
      <c r="Z36" t="str">
        <f t="shared" si="28"/>
        <v>#,###.####</v>
      </c>
    </row>
    <row r="37" spans="1:26" customFormat="1" ht="18.75" customHeight="1" x14ac:dyDescent="0.25">
      <c r="A37" t="s">
        <v>383</v>
      </c>
      <c r="B37" t="s">
        <v>391</v>
      </c>
      <c r="C37" t="s">
        <v>1</v>
      </c>
      <c r="D37" t="str">
        <f t="shared" si="55"/>
        <v>InsuranceTotalVn</v>
      </c>
      <c r="E37" t="str">
        <f t="shared" si="56"/>
        <v>decimal</v>
      </c>
      <c r="F37" s="6"/>
      <c r="G37" t="str">
        <f t="shared" si="57"/>
        <v>18,5</v>
      </c>
      <c r="H37" t="str">
        <f>+VLOOKUP(E37,'Data Type Mapping'!A:B,2,)</f>
        <v>decimal?</v>
      </c>
      <c r="I37" t="str">
        <f t="shared" si="58"/>
        <v/>
      </c>
      <c r="J37" t="str">
        <f t="shared" si="59"/>
        <v xml:space="preserve">		public virtual decimal? InsuranceTotalVn { get; set; }
</v>
      </c>
      <c r="K37" s="6"/>
      <c r="L37" t="str">
        <f t="shared" si="60"/>
        <v/>
      </c>
      <c r="M37" t="str">
        <f t="shared" si="61"/>
        <v xml:space="preserve">		public virtual decimal? InsuranceTotalVn { get; set; }
</v>
      </c>
      <c r="N37" t="str">
        <f t="shared" si="62"/>
        <v xml:space="preserve">		public virtual decimal? InsuranceTotalVn { get; set; }
</v>
      </c>
      <c r="O37" t="str">
        <f t="shared" si="63"/>
        <v/>
      </c>
      <c r="P37" t="str">
        <f t="shared" si="64"/>
        <v xml:space="preserve">							InsuranceTotalVn = o.InsuranceTotalVn,</v>
      </c>
      <c r="T37" s="64" t="str">
        <f t="shared" si="65"/>
        <v xml:space="preserve">								("InsuranceTotalVn"),</v>
      </c>
      <c r="V37" s="65" t="str">
        <f t="shared" si="66"/>
        <v xml:space="preserve">								_ =&gt; _.InsuranceTotalVn,</v>
      </c>
      <c r="W37" s="64" t="str">
        <f t="shared" si="67"/>
        <v/>
      </c>
      <c r="X37" t="str">
        <f t="shared" si="26"/>
        <v>Number</v>
      </c>
      <c r="Y37" t="str">
        <f t="shared" si="27"/>
        <v>Right</v>
      </c>
      <c r="Z37" t="str">
        <f t="shared" si="28"/>
        <v>#,###.####</v>
      </c>
    </row>
    <row r="38" spans="1:26" customFormat="1" ht="18.75" customHeight="1" x14ac:dyDescent="0.25">
      <c r="A38" t="s">
        <v>384</v>
      </c>
      <c r="B38" t="s">
        <v>391</v>
      </c>
      <c r="C38" t="s">
        <v>1</v>
      </c>
      <c r="D38" t="str">
        <f t="shared" si="55"/>
        <v>CifVn</v>
      </c>
      <c r="E38" t="str">
        <f t="shared" si="56"/>
        <v>decimal</v>
      </c>
      <c r="F38" s="6"/>
      <c r="G38" t="str">
        <f t="shared" si="57"/>
        <v>18,5</v>
      </c>
      <c r="H38" t="str">
        <f>+VLOOKUP(E38,'Data Type Mapping'!A:B,2,)</f>
        <v>decimal?</v>
      </c>
      <c r="I38" t="str">
        <f t="shared" si="58"/>
        <v/>
      </c>
      <c r="J38" t="str">
        <f t="shared" si="59"/>
        <v xml:space="preserve">		public virtual decimal? CifVn { get; set; }
</v>
      </c>
      <c r="K38" s="6"/>
      <c r="L38" t="str">
        <f t="shared" si="60"/>
        <v/>
      </c>
      <c r="M38" t="str">
        <f t="shared" si="61"/>
        <v xml:space="preserve">		public virtual decimal? CifVn { get; set; }
</v>
      </c>
      <c r="N38" t="str">
        <f t="shared" si="62"/>
        <v xml:space="preserve">		public virtual decimal? CifVn { get; set; }
</v>
      </c>
      <c r="O38" t="str">
        <f t="shared" si="63"/>
        <v/>
      </c>
      <c r="P38" t="str">
        <f t="shared" si="64"/>
        <v xml:space="preserve">							CifVn = o.CifVn,</v>
      </c>
      <c r="T38" s="64" t="str">
        <f t="shared" si="65"/>
        <v xml:space="preserve">								("CifVn"),</v>
      </c>
      <c r="V38" s="65" t="str">
        <f t="shared" si="66"/>
        <v xml:space="preserve">								_ =&gt; _.CifVn,</v>
      </c>
      <c r="W38" s="64" t="str">
        <f t="shared" si="67"/>
        <v/>
      </c>
      <c r="X38" t="str">
        <f t="shared" si="26"/>
        <v>Number</v>
      </c>
      <c r="Y38" t="str">
        <f t="shared" si="27"/>
        <v>Right</v>
      </c>
      <c r="Z38" t="str">
        <f t="shared" si="28"/>
        <v>#,###.####</v>
      </c>
    </row>
    <row r="39" spans="1:26" customFormat="1" ht="18.75" customHeight="1" x14ac:dyDescent="0.25">
      <c r="A39" t="s">
        <v>385</v>
      </c>
      <c r="B39" t="s">
        <v>391</v>
      </c>
      <c r="C39" t="s">
        <v>1</v>
      </c>
      <c r="D39" t="str">
        <f t="shared" si="55"/>
        <v>ThcTotalVn</v>
      </c>
      <c r="E39" t="str">
        <f t="shared" si="56"/>
        <v>decimal</v>
      </c>
      <c r="F39" s="6"/>
      <c r="G39" t="str">
        <f t="shared" si="57"/>
        <v>18,5</v>
      </c>
      <c r="H39" t="str">
        <f>+VLOOKUP(E39,'Data Type Mapping'!A:B,2,)</f>
        <v>decimal?</v>
      </c>
      <c r="I39" t="str">
        <f t="shared" si="58"/>
        <v/>
      </c>
      <c r="J39" t="str">
        <f t="shared" si="59"/>
        <v xml:space="preserve">		public virtual decimal? ThcTotalVn { get; set; }
</v>
      </c>
      <c r="K39" s="6"/>
      <c r="L39" t="str">
        <f t="shared" si="60"/>
        <v/>
      </c>
      <c r="M39" t="str">
        <f t="shared" si="61"/>
        <v xml:space="preserve">		public virtual decimal? ThcTotalVn { get; set; }
</v>
      </c>
      <c r="N39" t="str">
        <f t="shared" si="62"/>
        <v xml:space="preserve">		public virtual decimal? ThcTotalVn { get; set; }
</v>
      </c>
      <c r="O39" t="str">
        <f t="shared" si="63"/>
        <v/>
      </c>
      <c r="P39" t="str">
        <f t="shared" si="64"/>
        <v xml:space="preserve">							ThcTotalVn = o.ThcTotalVn,</v>
      </c>
      <c r="T39" s="64" t="str">
        <f t="shared" si="65"/>
        <v xml:space="preserve">								("ThcTotalVn"),</v>
      </c>
      <c r="V39" s="65" t="str">
        <f t="shared" si="66"/>
        <v xml:space="preserve">								_ =&gt; _.ThcTotalVn,</v>
      </c>
      <c r="W39" s="64" t="str">
        <f t="shared" si="67"/>
        <v/>
      </c>
      <c r="X39" t="str">
        <f t="shared" si="26"/>
        <v>Number</v>
      </c>
      <c r="Y39" t="str">
        <f t="shared" si="27"/>
        <v>Right</v>
      </c>
      <c r="Z39" t="str">
        <f t="shared" si="28"/>
        <v>#,###.####</v>
      </c>
    </row>
    <row r="40" spans="1:26" customFormat="1" ht="18.75" customHeight="1" x14ac:dyDescent="0.25">
      <c r="A40" t="s">
        <v>386</v>
      </c>
      <c r="B40" t="s">
        <v>320</v>
      </c>
      <c r="C40" t="s">
        <v>1</v>
      </c>
      <c r="D40" t="str">
        <f t="shared" ref="D40:D41" si="68">SUBSTITUTE(PROPER(A40),"_","")</f>
        <v>Spotax</v>
      </c>
      <c r="E40" t="str">
        <f t="shared" ref="E40:E41" si="69">IFERROR(LEFT(B40, FIND("(",B40)-1),B40)</f>
        <v>varchar</v>
      </c>
      <c r="F40" s="6"/>
      <c r="G40" t="str">
        <f t="shared" ref="G40:G41" si="70">IFERROR(MID(B40,FIND("(",B40) +1, FIND(")",B40) - FIND("(",B40) - 1),"")</f>
        <v>1</v>
      </c>
      <c r="H40" t="str">
        <f>+VLOOKUP(E40,'Data Type Mapping'!A:B,2,)</f>
        <v>string</v>
      </c>
      <c r="I40" t="str">
        <f t="shared" ref="I40:I41" si="71">IF(H40="string",REPT(CHAR(9),2)&amp;"public const int Max"&amp;D40&amp;"Length = "&amp;G40&amp;";"&amp;$E$3,"" )</f>
        <v xml:space="preserve">		public const int MaxSpotaxLength = 1;
</v>
      </c>
      <c r="J40" t="str">
        <f t="shared" ref="J40:J41" si="72">IF(F40="","",REPT(CHAR(9),2)&amp;"[Column(TypeName="""&amp;F40&amp;""")]"&amp;$E$3)&amp;IF(C40="Checked","",$I$3)&amp;IF(H40="string",REPT(CHAR(9),2)&amp;"[StringLength(Max"&amp;D40&amp;"Length"&amp;")]"&amp;$E$3,"")&amp;REPT(CHAR(9),2)&amp;"public virtual "&amp;H40&amp;IF(C40="?","? "," ")&amp;D40&amp;" { get; set; }" &amp; "
"</f>
        <v xml:space="preserve">		[StringLength(MaxSpotaxLength)]
		public virtual string Spotax { get; set; }
</v>
      </c>
      <c r="K40" s="6"/>
      <c r="L40" t="str">
        <f t="shared" ref="L40:L41" si="73">IF(K40="","",REPT(CHAR(9),1)&amp;"[Index(nameof("&amp;IF(D40="","",""&amp;D40)&amp;")"&amp;", Name="&amp;"""IX_"&amp;$B$7&amp;"_"&amp;D40&amp;""")]")</f>
        <v/>
      </c>
      <c r="M40" t="str">
        <f t="shared" ref="M40:M41" si="74">REPT(CHAR(9),2)&amp;"public virtual "&amp;IF(OR(H40="DateTime",H40="TimeSpan"),H40&amp;"?",H40)&amp;IF(C40="?","? "," ")&amp;D40&amp;" { get; set; }" &amp; "
"</f>
        <v xml:space="preserve">		public virtual string Spotax { get; set; }
</v>
      </c>
      <c r="N40" t="str">
        <f t="shared" ref="N40:N41" si="75">IF(C40="Checked","",$I$3)&amp;IF(H40="string",REPT(CHAR(9),2)&amp;"[StringLength("&amp;$B$3&amp;"Consts.Max"&amp;D40&amp;"Length"&amp;")]"&amp;$E$3,"")&amp;REPT(CHAR(9),2)&amp;"public virtual "&amp;IF(OR(H40="DateTime",H40="TimeSpan"),H40&amp;"?",H40)&amp;IF(C40="?","? "," ")&amp;D40&amp;" { get; set; }" &amp; "
"</f>
        <v xml:space="preserve">		[StringLength(InvCkdInvoiceConsts.MaxSpotaxLength)]
		public virtual string Spotax { get; set; }
</v>
      </c>
      <c r="O40" t="str">
        <f t="shared" ref="O40:O41" si="76">IF(OR(H40="string",H40="DateTime",H40="int"),REPT(CHAR(9),2)&amp;"public virtual "&amp;IF(OR(H40="DateTime",H40="TimeSpan"),H40&amp;"?",H40)&amp;IF(C40="?","? "," ")&amp;D40&amp;" { get; set; }"&amp;$E$3,"")</f>
        <v xml:space="preserve">		public virtual string Spotax { get; set; }
</v>
      </c>
      <c r="P40" t="str">
        <f t="shared" ref="P40:P41" si="77">REPT(CHAR(9),7)&amp;D40&amp;" = o." &amp;D40 &amp;","</f>
        <v xml:space="preserve">							Spotax = o.Spotax,</v>
      </c>
      <c r="T40" s="64" t="str">
        <f t="shared" ref="T40:T41" si="78">REPT(CHAR(9),8)&amp;"("""&amp;D40&amp;"""),"</f>
        <v xml:space="preserve">								("Spotax"),</v>
      </c>
      <c r="V40" s="65" t="str">
        <f t="shared" ref="V40:V41" si="79">REPT(CHAR(9),8)&amp;"_ =&gt; _."&amp;D40&amp;","</f>
        <v xml:space="preserve">								_ =&gt; _.Spotax,</v>
      </c>
      <c r="W40" s="64" t="str">
        <f t="shared" ref="W40:W41" si="80">IF(H40="string",REPT(CHAR(9),4)&amp;".WhereIf(!string.IsNullOrWhiteSpace(input."&amp;D40&amp;"), e =&gt; e."&amp;D40&amp;".Contains(input."&amp;D40&amp;"))",IF(H40="DateTime",REPT(CHAR(9),4)&amp;".WhereIf(input."&amp;D40&amp;".HasValue, t =&gt; t."&amp;D40&amp;" == input."&amp;D40&amp;".Value)",""))</f>
        <v xml:space="preserve">				.WhereIf(!string.IsNullOrWhiteSpace(input.Spotax), e =&gt; e.Spotax.Contains(input.Spotax))</v>
      </c>
      <c r="X40" t="str">
        <f t="shared" si="26"/>
        <v>Char</v>
      </c>
      <c r="Y40" t="str">
        <f t="shared" si="27"/>
        <v>Left</v>
      </c>
      <c r="Z40" t="str">
        <f t="shared" si="28"/>
        <v/>
      </c>
    </row>
    <row r="41" spans="1:26" customFormat="1" ht="18.75" customHeight="1" x14ac:dyDescent="0.25">
      <c r="A41" t="s">
        <v>387</v>
      </c>
      <c r="B41" t="s">
        <v>0</v>
      </c>
      <c r="C41" t="s">
        <v>1</v>
      </c>
      <c r="D41" t="str">
        <f t="shared" si="68"/>
        <v>PeriodId</v>
      </c>
      <c r="E41" t="str">
        <f t="shared" si="69"/>
        <v>bigint</v>
      </c>
      <c r="F41" s="6"/>
      <c r="G41" t="str">
        <f t="shared" si="70"/>
        <v/>
      </c>
      <c r="H41" t="str">
        <f>+VLOOKUP(E41,'Data Type Mapping'!A:B,2,)</f>
        <v>long?</v>
      </c>
      <c r="I41" t="str">
        <f t="shared" si="71"/>
        <v/>
      </c>
      <c r="J41" t="str">
        <f t="shared" si="72"/>
        <v xml:space="preserve">		public virtual long? PeriodId { get; set; }
</v>
      </c>
      <c r="K41" s="6"/>
      <c r="L41" t="str">
        <f t="shared" si="73"/>
        <v/>
      </c>
      <c r="M41" t="str">
        <f t="shared" si="74"/>
        <v xml:space="preserve">		public virtual long? PeriodId { get; set; }
</v>
      </c>
      <c r="N41" t="str">
        <f t="shared" si="75"/>
        <v xml:space="preserve">		public virtual long? PeriodId { get; set; }
</v>
      </c>
      <c r="O41" t="str">
        <f t="shared" si="76"/>
        <v/>
      </c>
      <c r="P41" t="str">
        <f t="shared" si="77"/>
        <v xml:space="preserve">							PeriodId = o.PeriodId,</v>
      </c>
      <c r="T41" s="64" t="str">
        <f t="shared" si="78"/>
        <v xml:space="preserve">								("PeriodId"),</v>
      </c>
      <c r="V41" s="65" t="str">
        <f t="shared" si="79"/>
        <v xml:space="preserve">								_ =&gt; _.PeriodId,</v>
      </c>
      <c r="W41" s="64" t="str">
        <f t="shared" si="80"/>
        <v/>
      </c>
      <c r="X41" t="str">
        <f t="shared" si="26"/>
        <v>Number</v>
      </c>
      <c r="Y41" t="str">
        <f t="shared" si="27"/>
        <v>Right</v>
      </c>
      <c r="Z41" t="str">
        <f t="shared" si="28"/>
        <v>#,###</v>
      </c>
    </row>
    <row r="42" spans="1:26" customFormat="1" ht="22.5" customHeight="1" x14ac:dyDescent="0.25">
      <c r="A42" t="s">
        <v>319</v>
      </c>
      <c r="B42" t="s">
        <v>320</v>
      </c>
      <c r="C42" t="s">
        <v>1</v>
      </c>
      <c r="D42" t="str">
        <f>SUBSTITUTE(PROPER(A42),"_","")</f>
        <v>IsActive</v>
      </c>
      <c r="E42" t="str">
        <f t="shared" ref="E42" si="81">IFERROR(LEFT(B42, FIND("(",B42)-1),B42)</f>
        <v>varchar</v>
      </c>
      <c r="F42" s="6"/>
      <c r="G42" t="str">
        <f t="shared" ref="G42" si="82">IFERROR(MID(B42,FIND("(",B42) +1, FIND(")",B42) - FIND("(",B42) - 1),"")</f>
        <v>1</v>
      </c>
      <c r="H42" t="str">
        <f>+VLOOKUP(E42,'Data Type Mapping'!A:B,2,)</f>
        <v>string</v>
      </c>
      <c r="I42" t="str">
        <f t="shared" ref="I42" si="83">IF(H42="string",REPT(CHAR(9),2)&amp;"public const int Max"&amp;D42&amp;"Length = "&amp;G42&amp;";"&amp;$E$3,"" )</f>
        <v xml:space="preserve">		public const int MaxIsActiveLength = 1;
</v>
      </c>
      <c r="J42" t="str">
        <f t="shared" ref="J42" si="84">IF(F42="","",REPT(CHAR(9),2)&amp;"[Column(TypeName="""&amp;F42&amp;""")]"&amp;$E$3)&amp;IF(C42="Checked","",$I$3)&amp;IF(H42="string",REPT(CHAR(9),2)&amp;"[StringLength(Max"&amp;D42&amp;"Length"&amp;")]"&amp;$E$3,"")&amp;REPT(CHAR(9),2)&amp;"public virtual "&amp;H42&amp;IF(C42="?","? "," ")&amp;D42&amp;" { get; set; }" &amp; "
"</f>
        <v xml:space="preserve">		[StringLength(MaxIsActiveLength)]
		public virtual string IsActive { get; set; }
</v>
      </c>
      <c r="K42" s="6"/>
      <c r="L42" t="str">
        <f>IF(K42="","",REPT(CHAR(9),1)&amp;"[Index(nameof("&amp;IF(D42="","",""&amp;D42)&amp;")"&amp;", Name="&amp;"""IX_"&amp;$B$7&amp;"_"&amp;D42&amp;""")]")</f>
        <v/>
      </c>
      <c r="M42" t="str">
        <f t="shared" ref="M42" si="85">REPT(CHAR(9),2)&amp;"public virtual "&amp;IF(OR(H42="DateTime",H42="TimeSpan"),H42&amp;"?",H42)&amp;IF(C42="?","? "," ")&amp;D42&amp;" { get; set; }" &amp; "
"</f>
        <v xml:space="preserve">		public virtual string IsActive { get; set; }
</v>
      </c>
      <c r="N42" t="str">
        <f t="shared" ref="N42" si="86">IF(C42="Checked","",$I$3)&amp;IF(H42="string",REPT(CHAR(9),2)&amp;"[StringLength("&amp;$B$3&amp;"Consts.Max"&amp;D42&amp;"Length"&amp;")]"&amp;$E$3,"")&amp;REPT(CHAR(9),2)&amp;"public virtual "&amp;IF(OR(H42="DateTime",H42="TimeSpan"),H42&amp;"?",H42)&amp;IF(C42="?","? "," ")&amp;D42&amp;" { get; set; }" &amp; "
"</f>
        <v xml:space="preserve">		[StringLength(InvCkdInvoiceConsts.MaxIsActiveLength)]
		public virtual string IsActive { get; set; }
</v>
      </c>
      <c r="O42" t="str">
        <f t="shared" ref="O42" si="87">IF(OR(H42="string",H42="DateTime",H42="int"),REPT(CHAR(9),2)&amp;"public virtual "&amp;IF(OR(H42="DateTime",H42="TimeSpan"),H42&amp;"?",H42)&amp;IF(C42="?","? "," ")&amp;D42&amp;" { get; set; }"&amp;$E$3,"")</f>
        <v xml:space="preserve">		public virtual string IsActive { get; set; }
</v>
      </c>
      <c r="P42" t="str">
        <f t="shared" ref="P42" si="88">REPT(CHAR(9),7)&amp;D42&amp;" = o." &amp;D42 &amp;","</f>
        <v xml:space="preserve">							IsActive = o.IsActive,</v>
      </c>
      <c r="T42" s="64" t="str">
        <f t="shared" ref="T42" si="89">REPT(CHAR(9),8)&amp;"("""&amp;D42&amp;"""),"</f>
        <v xml:space="preserve">								("IsActive"),</v>
      </c>
      <c r="V42" s="65" t="str">
        <f t="shared" ref="V42" si="90">REPT(CHAR(9),8)&amp;"_ =&gt; _."&amp;D42&amp;","</f>
        <v xml:space="preserve">								_ =&gt; _.IsActive,</v>
      </c>
      <c r="W42" s="64" t="str">
        <f t="shared" ref="W42" si="91">IF(H42="string",REPT(CHAR(9),4)&amp;".WhereIf(!string.IsNullOrWhiteSpace(input."&amp;D42&amp;"), e =&gt; e."&amp;D42&amp;".Contains(input."&amp;D42&amp;"))",IF(H42="DateTime",REPT(CHAR(9),4)&amp;".WhereIf(input."&amp;D42&amp;".HasValue, t =&gt; t."&amp;D42&amp;" == input."&amp;D42&amp;".Value)",""))</f>
        <v xml:space="preserve">				.WhereIf(!string.IsNullOrWhiteSpace(input.IsActive), e =&gt; e.IsActive.Contains(input.IsActive))</v>
      </c>
      <c r="X42" t="str">
        <f t="shared" si="26"/>
        <v>Char</v>
      </c>
      <c r="Y42" t="str">
        <f t="shared" si="27"/>
        <v>Left</v>
      </c>
      <c r="Z42" t="str">
        <f t="shared" si="28"/>
        <v/>
      </c>
    </row>
    <row r="44" spans="1:26" ht="45.75" customHeight="1" x14ac:dyDescent="0.25">
      <c r="H44" s="11"/>
      <c r="I44" s="31" t="str">
        <f ca="1">TEXTJOIN2("
", TRUE,INDIRECT( $H$1):INDIRECT( $H$3))</f>
        <v xml:space="preserve">		public const int MaxInvoiceNoLength = 20;
		public const int MaxOrdertypeCodeLength = 4;
		public const int MaxGoodstypeCodeLength = 4;
		public const int MaxCeptTypeLength = 10;
		public const int MaxCurrencyLength = 20;
		public const int MaxRemarksLength = 1000;
		public const int MaxSupplierNoLength = 10;
		public const int MaxSourceTypeLength = 2;
		public const int MaxStatusErrLength = 1000;
		public const int MaxLastOrdertypeLength = 4;
		public const int MaxStatusLength = 10;
		public const int MaxSpotaxLength = 1;
		public const int MaxIsActiveLength = 1;
</v>
      </c>
      <c r="J44" s="30" t="str">
        <f ca="1">TEXTJOIN2("
", TRUE,INDIRECT( $F$1):INDIRECT( $F$3))</f>
        <v xml:space="preserve">		[StringLength(MaxInvoiceNoLength)]
		public virtual string InvoiceNo { get; set; }
		public virtual long? BillId { get; set; }
		[StringLength(MaxOrdertypeCodeLength)]
		public virtual string OrdertypeCode { get; set; }
		[StringLength(MaxGoodstypeCodeLength)]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[StringLength(MaxCeptTypeLength)]
		public virtual string CeptType { get; set; }
		[StringLength(MaxCurrencyLength)]
		public virtual string Currency { get; set; }
		[StringLength(MaxRemarksLength)]
		public virtual string Remarks { get; set; }
		[StringLength(MaxSupplierNoLength)]
		public virtual string SupplierNo { get; set; }
		public virtual int? Quantity { get; set; }
		public virtual int? Flag { get; set; }
		public virtual int? Freezed { get; set; }
		[StringLength(MaxSourceTypeLength)]
		public virtual string SourceType { get; set; }
		[StringLength(MaxStatusErrLength)]
		public virtual string StatusErr { get; set; }
		[StringLength(MaxLastOrdertypeLength)]
		public virtual string LastOrdertype { get; set; }
		[StringLength(MaxStatusLength)]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[StringLength(MaxSpotaxLength)]
		public virtual string Spotax { get; set; }
		public virtual long? PeriodId { get; set; }
		[StringLength(MaxIsActiveLength)]
		public virtual string IsActive { get; set; }
</v>
      </c>
      <c r="K44" s="32" t="str">
        <f ca="1">TEXTJOIN2("
", TRUE,INDIRECT( $J$1):INDIRECT( $J$3))</f>
        <v/>
      </c>
      <c r="L44" s="12" t="s">
        <v>57</v>
      </c>
      <c r="M44" s="33" t="str">
        <f ca="1">TEXTJOIN2("
",TRUE,INDIRECT( $L$1):INDIRECT($L$3))</f>
        <v xml:space="preserve">		public virtual string InvoiceNo { get; set; }
		public virtual long? BillId { get; set; }
		public virtual string OrdertypeCode { get; set; }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public virtual string CeptType { get; set; }
		public virtual string Currency { get; set; }
		public virtual string Remarks { get; set; }
		public virtual string SupplierNo { get; set; }
		public virtual int? Quantity { get; set; }
		public virtual int? Flag { get; set; }
		public virtual int? Freezed { get; set; }
		public virtual string SourceType { get; set; }
		public virtual string StatusErr { get; set; }
		public virtual string LastOrdertype { get; set; }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public virtual string Spotax { get; set; }
		public virtual long? PeriodId { get; set; }
		public virtual string IsActive { get; set; }
</v>
      </c>
      <c r="N44" s="30" t="str">
        <f ca="1">TEXTJOIN2("
",TRUE,INDIRECT( $M$1):INDIRECT($M$3))</f>
        <v xml:space="preserve">		[StringLength(InvCkdInvoiceConsts.MaxInvoiceNoLength)]
		public virtual string InvoiceNo { get; set; }
		public virtual long? BillId { get; set; }
		[StringLength(InvCkdInvoiceConsts.MaxOrdertypeCodeLength)]
		public virtual string OrdertypeCode { get; set; }
		[StringLength(InvCkdInvoiceConsts.MaxGoodstypeCodeLength)]
		public virtual string GoodstypeCode { get; set; }
		public virtual long? InvoiceParentId { get; set; }
		public virtual DateTime? InvoiceDate { get; set; }
		public virtual decimal? Fob { get; set; }
		public virtual decimal? Freight { get; set; }
		public virtual decimal? FreightTotal { get; set; }
		public virtual decimal? Insurance { get; set; }
		public virtual decimal? InsuranceTotal { get; set; }
		public virtual decimal? Cif { get; set; }
		public virtual decimal? ThcTotal { get; set; }
		public virtual decimal? NetWeight { get; set; }
		public virtual decimal? GrossWeight { get; set; }
		[StringLength(InvCkdInvoiceConsts.MaxCeptTypeLength)]
		public virtual string CeptType { get; set; }
		[StringLength(InvCkdInvoiceConsts.MaxCurrencyLength)]
		public virtual string Currency { get; set; }
		[StringLength(InvCkdInvoiceConsts.MaxRemarksLength)]
		public virtual string Remarks { get; set; }
		[StringLength(InvCkdInvoiceConsts.MaxSupplierNoLength)]
		public virtual string SupplierNo { get; set; }
		public virtual int? Quantity { get; set; }
		public virtual int? Flag { get; set; }
		public virtual int? Freezed { get; set; }
		[StringLength(InvCkdInvoiceConsts.MaxSourceTypeLength)]
		public virtual string SourceType { get; set; }
		[StringLength(InvCkdInvoiceConsts.MaxStatusErrLength)]
		public virtual string StatusErr { get; set; }
		[StringLength(InvCkdInvoiceConsts.MaxLastOrdertypeLength)]
		public virtual string LastOrdertype { get; set; }
		[StringLength(InvCkdInvoiceConsts.MaxStatusLength)]
		public virtual string Status { get; set; }
		public virtual decimal? FobVn { get; set; }
		public virtual decimal? FreightTotalVn { get; set; }
		public virtual decimal? InsuranceTotalVn { get; set; }
		public virtual decimal? CifVn { get; set; }
		public virtual decimal? ThcTotalVn { get; set; }
		[StringLength(InvCkdInvoiceConsts.MaxSpotaxLength)]
		public virtual string Spotax { get; set; }
		public virtual long? PeriodId { get; set; }
		[StringLength(InvCkdInvoiceConsts.MaxIsActiveLength)]
		public virtual string IsActive { get; set; }
</v>
      </c>
      <c r="O44" s="30" t="str">
        <f ca="1">TEXTJOIN2("
",TRUE,INDIRECT( $N$1):INDIRECT($N$3))</f>
        <v xml:space="preserve">		public virtual string InvoiceNo { get; set; }
		public virtual string OrdertypeCode { get; set; }
		public virtual string GoodstypeCode { get; set; }
		public virtual string CeptType { get; set; }
		public virtual string Currency { get; set; }
		public virtual string Remarks { get; set; }
		public virtual string SupplierNo { get; set; }
		public virtual string SourceType { get; set; }
		public virtual string StatusErr { get; set; }
		public virtual string LastOrdertype { get; set; }
		public virtual string Status { get; set; }
		public virtual string Spotax { get; set; }
		public virtual string IsActive { get; set; }
</v>
      </c>
      <c r="P44" s="8" t="str">
        <f ca="1">TEXTJOIN2("
",TRUE,INDIRECT( $O$1):INDIRECT($O$3))</f>
        <v xml:space="preserve">							InvoiceNo = o.InvoiceNo,
							BillId = o.BillId,
							OrdertypeCode = o.OrdertypeCode,
							GoodstypeCode = o.GoodstypeCode,
							InvoiceParentId = o.InvoiceParentId,
							InvoiceDate = o.InvoiceDate,
							Fob = o.Fob,
							Freight = o.Freight,
							FreightTotal = o.FreightTotal,
							Insurance = o.Insurance,
							InsuranceTotal = o.InsuranceTotal,
							Cif = o.Cif,
							ThcTotal = o.ThcTotal,
							NetWeight = o.NetWeight,
							GrossWeight = o.GrossWeight,
							CeptType = o.CeptType,
							Currency = o.Currency,
							Remarks = o.Remarks,
							SupplierNo = o.SupplierNo,
							Quantity = o.Quantity,
							Flag = o.Flag,
							Freezed = o.Freezed,
							SourceType = o.SourceType,
							StatusErr = o.StatusErr,
							LastOrdertype = o.LastOrdertype,
							Status = o.Status,
							FobVn = o.FobVn,
							FreightTotalVn = o.FreightTotalVn,
							InsuranceTotalVn = o.InsuranceTotalVn,
							CifVn = o.CifVn,
							ThcTotalVn = o.ThcTotalVn,
							Spotax = o.Spotax,
							PeriodId = o.PeriodId,
							IsActive = o.IsActive,</v>
      </c>
      <c r="T44" s="8" t="str">
        <f ca="1">TEXTJOIN2("
",TRUE,INDIRECT( $T$2):INDIRECT($T$3))</f>
        <v xml:space="preserve">								("InvoiceNo"),
								("BillId"),
								("OrdertypeCode"),
								("GoodstypeCode"),
								("InvoiceParentId"),
								("InvoiceDate"),
								("Fob"),
								("Freight"),
								("FreightTotal"),
								("Insurance"),
								("InsuranceTotal"),
								("Cif"),
								("ThcTotal"),
								("NetWeight"),
								("GrossWeight"),
								("CeptType"),
								("Currency"),
								("Remarks"),
								("SupplierNo"),
								("Quantity"),
								("Flag"),
								("Freezed"),
								("SourceType"),
								("StatusErr"),
								("LastOrdertype"),
								("Status"),
								("FobVn"),
								("FreightTotalVn"),
								("InsuranceTotalVn"),
								("CifVn"),
								("ThcTotalVn"),
								("Spotax"),
								("PeriodId"),
								("IsActive"),</v>
      </c>
      <c r="V44" s="8" t="str">
        <f ca="1">TEXTJOIN2("
",TRUE,INDIRECT( $V$2):INDIRECT($V$3))</f>
        <v xml:space="preserve">								_ =&gt; _.InvoiceNo,
								_ =&gt; _.BillId,
								_ =&gt; _.OrdertypeCode,
								_ =&gt; _.GoodstypeCode,
								_ =&gt; _.InvoiceParentId,
								_ =&gt; _.InvoiceDate,
								_ =&gt; _.Fob,
								_ =&gt; _.Freight,
								_ =&gt; _.FreightTotal,
								_ =&gt; _.Insurance,
								_ =&gt; _.InsuranceTotal,
								_ =&gt; _.Cif,
								_ =&gt; _.ThcTotal,
								_ =&gt; _.NetWeight,
								_ =&gt; _.GrossWeight,
								_ =&gt; _.CeptType,
								_ =&gt; _.Currency,
								_ =&gt; _.Remarks,
								_ =&gt; _.SupplierNo,
								_ =&gt; _.Quantity,
								_ =&gt; _.Flag,
								_ =&gt; _.Freezed,
								_ =&gt; _.SourceType,
								_ =&gt; _.StatusErr,
								_ =&gt; _.LastOrdertype,
								_ =&gt; _.Status,
								_ =&gt; _.FobVn,
								_ =&gt; _.FreightTotalVn,
								_ =&gt; _.InsuranceTotalVn,
								_ =&gt; _.CifVn,
								_ =&gt; _.ThcTotalVn,
								_ =&gt; _.Spotax,
								_ =&gt; _.PeriodId,
								_ =&gt; _.IsActive,</v>
      </c>
      <c r="W44" s="8" t="str">
        <f ca="1">TEXTJOIN2("
",TRUE,INDIRECT( $W$2):INDIRECT($W$3))</f>
        <v xml:space="preserve">				.WhereIf(!string.IsNullOrWhiteSpace(input.InvoiceNo), e =&gt; e.InvoiceNo.Contains(input.InvoiceNo))
				.WhereIf(!string.IsNullOrWhiteSpace(input.OrdertypeCode), e =&gt; e.OrdertypeCode.Contains(input.OrdertypeCode))
				.WhereIf(!string.IsNullOrWhiteSpace(input.GoodstypeCode), e =&gt; e.GoodstypeCode.Contains(input.GoodstypeCode))
				.WhereIf(!string.IsNullOrWhiteSpace(input.CeptType), e =&gt; e.CeptType.Contains(input.CeptType))
				.WhereIf(!string.IsNullOrWhiteSpace(input.Currency), e =&gt; e.Currency.Contains(input.Currency))
				.WhereIf(!string.IsNullOrWhiteSpace(input.Remarks), e =&gt; e.Remarks.Contains(input.Remarks))
				.WhereIf(!string.IsNullOrWhiteSpace(input.SupplierNo), e =&gt; e.SupplierNo.Contains(input.SupplierNo))
				.WhereIf(!string.IsNullOrWhiteSpace(input.SourceType), e =&gt; e.SourceType.Contains(input.SourceType))
				.WhereIf(!string.IsNullOrWhiteSpace(input.StatusErr), e =&gt; e.StatusErr.Contains(input.StatusErr))
				.WhereIf(!string.IsNullOrWhiteSpace(input.LastOrdertype), e =&gt; e.LastOrdertype.Contains(input.LastOrdertype))
				.WhereIf(!string.IsNullOrWhiteSpace(input.Status), e =&gt; e.Status.Contains(input.Status))
				.WhereIf(!string.IsNullOrWhiteSpace(input.Spotax), e =&gt; e.Spotax.Contains(input.Spotax))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7"/>
  <sheetViews>
    <sheetView workbookViewId="0">
      <selection activeCell="B6" sqref="B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398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InvCkdInvoice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Invoice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invoice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InvCkdInvoiceDto, InvCkdInvoiceServiceProxy } from '@shared/service-proxies/service-proxies';
import { finalize } from 'rxjs/internal/operators/finalize';
import { CreateOrEditInvoiceModalComponent } from './create-or-edit-invoice-modal.component';
import { DatePipe } from '@angular/common';
import { FileDownloadService } from '@shared/utils/file-download.service';
import ceil from 'lodash-es/ceil';
import { Paginator } from 'primeng/paginator';
@Component({
    templateUrl: './invoice.component.html',
    styleUrls: ['./invoice.component.less'],
})
export class InvoiceComponent extends AppComponentBase implements OnInit {
    @ViewChild('createOrEditModalInvoice', { static: true }) createOrEditModalInvoice:| CreateOrEditInvoiceModalComponent|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InvCkdInvoiceDto = new InvCkdInvoiceDto();
    saveSelectedRow: InvCkdInvoiceDto = new InvCkdInvoiceDto();
    datas: InvCkdInvoiceDto = new InvCkdInvoiceDto();
    isLoading: boolean = false;
    dataParams: GridParams | undefined;
    rowData: any[] = [];
    gridApi!: GridApi;
    rowSelection = 'multiple';
    filter: string = '';
	pipe = new DatePipe('en-US');
	frameworkComponents: FrameworkComponent;
    	invoiceNo : string = '' ; 
	billId
ordertypeCode : string = '' ; 
	goodstypeCode : string = '' ; 
	invoiceParentId
	invoiceDate
	fob
freight
	freightTotal
	insurance
	insuranceTotal
	cif
thcTotal
	netWeight
	grossWeight
	ceptType : string = '' ; 
	currency : string = '' ; 
remarks : string = '' ; 
	supplierNo : string = '' ; 
	quantity
	flag
	freezed
sourceType : string = '' ; 
	statusErr : string = '' ; 
	lastOrdertype : string = '' ; 
	status : string = '' ; 
	fobVn
freightTotalVn
	insuranceTotalVn
	cifVn
	thcTotalVn
	spotax : string = '' ; 
periodId
	isActive : string = '' ; 
	statusCode
	billofladingNo
	shipmentId
billDate
	status
	statusCode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this.l('Invoice No'),headerTooltip: this.l('Invoice No'),field: 'invoiceNo',flex: 1},
			{headerName: this.l('Bill Id'),headerTooltip: this.l('Bill Id'),field: 'billId',flex: 1},
			{headerName: this.l('Ordertype Code'),headerTooltip: this.l('Ordertype Code'),field: 'ordertypeCode',flex: 1},
			{headerName: this.l('Goodstype Code'),headerTooltip: this.l('Goodstype Code'),field: 'goodstypeCode',flex: 1},
			{headerName: this.l('Invoice Parent Id'),headerTooltip: this.l('Invoice Parent Id'),field: 'invoiceParentId',flex: 1},
			{headerName: this.l('Invoice Date'),headerTooltip: this.l('Invoice Date'),field: 'invoiceDate',flex: 1},
			{headerName: this.l('Fob'),headerTooltip: this.l('Fob'),field: 'fob',flex: 1},
			{headerName: this.l('Freight'),headerTooltip: this.l('Freight'),field: 'freight',flex: 1},
			{headerName: this.l('Freight Total'),headerTooltip: this.l('Freight Total'),field: 'freightTotal',flex: 1},
			{headerName: this.l('Insurance'),headerTooltip: this.l('Insurance'),field: 'insurance',flex: 1},
			{headerName: this.l('Insurance Total'),headerTooltip: this.l('Insurance Total'),field: 'insuranceTotal',flex: 1},
			{headerName: this.l('Cif'),headerTooltip: this.l('Cif'),field: 'cif',flex: 1},
			{headerName: this.l('Thc Total'),headerTooltip: this.l('Thc Total'),field: 'thcTotal',flex: 1},
			{headerName: this.l('Net Weight'),headerTooltip: this.l('Net Weight'),field: 'netWeight',flex: 1},
			{headerName: this.l('Gross Weight'),headerTooltip: this.l('Gross Weight'),field: 'grossWeight',flex: 1},
			{headerName: this.l('Cept Type'),headerTooltip: this.l('Cept Type'),field: 'ceptType',flex: 1},
			{headerName: this.l('Currency'),headerTooltip: this.l('Currency'),field: 'currency',flex: 1},
			{headerName: this.l('Remarks'),headerTooltip: this.l('Remarks'),field: 'remarks',flex: 1},
			{headerName: this.l('Supplier No'),headerTooltip: this.l('Supplier No'),field: 'supplierNo',flex: 1},
			{headerName: this.l('Quantity'),headerTooltip: this.l('Quantity'),field: 'quantity',flex: 1},
			{headerName: this.l('Flag'),headerTooltip: this.l('Flag'),field: 'flag',flex: 1},
			{headerName: this.l('Freezed'),headerTooltip: this.l('Freezed'),field: 'freezed',flex: 1},
			{headerName: this.l('Source Type'),headerTooltip: this.l('Source Type'),field: 'sourceType',flex: 1},
			{headerName: this.l('Status Err'),headerTooltip: this.l('Status Err'),field: 'statusErr',flex: 1},
			{headerName: this.l('Last Ordertype'),headerTooltip: this.l('Last Ordertype'),field: 'lastOrdertype',flex: 1},
			{headerName: this.l('Status'),headerTooltip: this.l('Status'),field: 'status',flex: 1},
			{headerName: this.l('Fob Vn'),headerTooltip: this.l('Fob Vn'),field: 'fobVn',flex: 1},
			{headerName: this.l('Freight Total Vn'),headerTooltip: this.l('Freight Total Vn'),field: 'freightTotalVn',flex: 1},
			{headerName: this.l('Insurance Total Vn'),headerTooltip: this.l('Insurance Total Vn'),field: 'insuranceTotalVn',flex: 1},
			{headerName: this.l('Cif Vn'),headerTooltip: this.l('Cif Vn'),field: 'cifVn',flex: 1},
			{headerName: this.l('Thc Total Vn'),headerTooltip: this.l('Thc Total Vn'),field: 'thcTotalVn',flex: 1},
			{headerName: this.l('Spotax'),headerTooltip: this.l('Spotax'),field:  'spotax', cellClass: ['text-center'], width: 120, cellRenderer: 'agCellButtonComponent',
buttonDefTwo: { text: params =&gt; (params.data?.'spotax' == 'Y') ? 'Active' : 'Inactive',iconName: 'fa fa-circle',className: params =&gt; (params.data?.'spotax' == 'Y') ? 'btnActive' : 'btnInActive',},}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
			{headerName: this.l('Status Code'),headerTooltip: this.l('Status Code'),field: 'statusCode',flex: 1},
			{headerName: this.l('Billoflading No'),headerTooltip: this.l('Billoflading No'),field: 'billofladingNo',flex: 1},
			{headerName: this.l('Shipment Id'),headerTooltip: this.l('Shipment Id'),field: 'shipmentId',flex: 1},
			{headerName: this.l('Bill Date'),headerTooltip: this.l('Bill Date'),field: 'billDate',flex: 1},
			{headerName: this.l('Status'),headerTooltip: this.l('Status'),field: 'status',flex: 1},
			{headerName: this.l('Status Code'),headerTooltip: this.l('Status Code'),field: 'statusCode',flex: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this.invoiceNo = '',
		this.billId = '',
this.ordertypeCode = '',
		this.goodstypeCode = '',
		this.invoiceParentId = '',
		this.invoiceDate = '',
		this.fob = '',
this.freight = '',
		this.freightTotal = '',
		this.insurance = '',
		this.insuranceTotal = '',
		this.cif = '',
this.thcTotal = '',
		this.netWeight = '',
		this.grossWeight = '',
		this.ceptType = '',
		this.currency = '',
this.remarks = '',
		this.supplierNo = '',
		this.quantity = '',
		this.flag = '',
		this.freezed = '',
this.sourceType = '',
		this.statusErr = '',
		this.lastOrdertype = '',
		this.status = '',
		this.fobVn = '',
this.freightTotalVn = '',
		this.insuranceTotalVn = '',
		this.cifVn = '',
		this.thcTotalVn = '',
		this.spotax = '',
this.periodId = '',
		this.isActive = '',
		this.statusCode = '',
		this.billofladingNo = '',
		this.shipmentId = '',
this.billDate = '',
		this.status = '',
		this.statusCode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
			'',
            this.paginationParams.skipCount,
            this.paginationParams.pageSize
        );
    }
    onChangeRowSelection(params: { api: { getSelectedRows: () =&gt; InvCkdInvoiceDto[] } }) {
        this.saveSelectedRow = params.api.getSelectedRows()[0] ?? new InvCkdInvoiceDto();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this._service.getInvoiceToExcel(
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[(ngModel)]='goodstypeCode' name='goodstypeCode'
									class='form-control' [placeholder]="l('Goodstype Code')"
									type='text' (keyup.enter)='searchDatas()'&gt;
								&lt;/div&gt;
								&lt;div class='input-search'&gt;
									&lt;input [(ngModel)]='ceptType' name='ceptType'
									class='form-control' [placeholder]="l('Cept Type')"
									type='text' (keyup.enter)='searchDatas()'&gt;
								&lt;/div&gt;
								&lt;div class='input-search'&gt;
									&lt;input [(ngModel)]='currency' name='currency'
									class='form-control' [placeholder]="l('Currency')"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[(ngModel)]='sourceType' name='sourceType'
									class='form-control' [placeholder]="l('Source Type')"
									type='text' (keyup.enter)='searchDatas()'&gt;
								&lt;/div&gt;
								&lt;div class='input-search'&gt;
									&lt;input [(ngModel)]='statusErr' name='statusErr'
									class='form-control' [placeholder]="l('Status Err')"
									type='text' (keyup.enter)='searchDatas()'&gt;
								&lt;/div&gt;
								&lt;div class='input-search'&gt;
									&lt;input [(ngModel)]='lastOrdertype' name='lastOrdertype'
									class='form-control' [placeholder]="l('Last Ordertype')"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[(ngModel)]='spotax' name='spotax'
									class='form-control' [placeholder]="l('Spotax')"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&lt;create-or-edit-invoice-modal
    #createOrEditModalInvoice
    (modalSave)="callBackDataGrid(dataParams)"
    (modalClose)="onChangeRowSelection(dataParams)"
&gt;
&lt;/create-or-edit-invoice-modal&gt;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Invoice')}}&lt;/h3&gt;
                    &lt;h3 *ngIf="!rowdata.id"&gt;{{('Create New Invoice')}}&lt;/h3&gt;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title'&gt;Goodstype Code&lt;/label&gt;
						&lt;input type='text' class='col-md-10 form-control input-text' name='GoodstypeCode' [(ngModel)]='rowdata.goodstypeCode'&gt;
					&lt;/div&gt;
					&lt;div class='col-md-12 form-group row'&gt;
						&lt;label class='col-md-2 form-control title'&gt;Cept Type&lt;/label&gt;
						&lt;input type='text' class='col-md-10 form-control input-text' name='CeptType' [(ngModel)]='rowdata.ceptType'&gt;
					&lt;/div&gt;
					&lt;div class='col-md-12 form-group row'&gt;
						&lt;label class='col-md-2 form-control title'&gt;Currency&lt;/label&gt;
						&lt;input type='text' class='col-md-10 form-control input-text' name='Currency' [(ngModel)]='rowdata.currency'&gt;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title'&gt;Source Type&lt;/label&gt;
						&lt;input type='text' class='col-md-10 form-control input-text' name='SourceType' [(ngModel)]='rowdata.sourceType'&gt;
					&lt;/div&gt;
					&lt;div class='col-md-12 form-group row'&gt;
						&lt;label class='col-md-2 form-control title'&gt;Status Err&lt;/label&gt;
						&lt;input type='text' class='col-md-10 form-control input-text' name='StatusErr' [(ngModel)]='rowdata.statusErr'&gt;
					&lt;/div&gt;
					&lt;div class='col-md-12 form-group row'&gt;
						&lt;label class='col-md-2 form-control title'&gt;Last Ordertype&lt;/label&gt;
						&lt;input type='text' class='col-md-10 form-control input-text' name='LastOrdertype' [(ngModel)]='rowdata.lastOrdertype'&gt;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title'&gt;Spotax&lt;/label&gt;
						&lt;new-checkbox [(ngModel)]='_spotax' name='spotax'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CreateOrEditInvCkdInvoiceDto, InvCkdInvoiceServiceProxy } from '@shared/service-proxies/service-proxies';
import { BsDatepickerDirective } from 'ngx-bootstrap/datepicker';
@Component({
    selector: 'create-or-edit-invoice-modal',
    templateUrl: './create-or-edit-invoice-modal.component.html',
    styleUrls: ['./create-or-edit-invoice-modal.component.less']
    })
export class CreateOrEditInvoiceModalComponent extends AppComponentBase {
    @ViewChild('createOrEditModalInvoice',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CreateOrEditInvCkdInvoiceDto = new CreateOrEditInvCkdInvoiceDto();
    active: boolean = false;
    saving: boolean = false;
    _spotax
isActive
isActive: boolean;
    constructor(
        injector: Injector,
        private _mstwptInvoiceService: InvCkdInvoiceServiceProxy,
    ) 
    {
        super(injector);
    }
    show(rowdata?: CreateOrEditInvCkdInvoiceDto): void {
        if (!rowdata) this.rowdata = new CreateOrEditInvCkdInvoiceDto();
        else this.rowdata = rowdata;
        this._spotax
isActive
isActive = (this.rowdata.spotax
isActive
isActive == "N")? false: true;
        this.active = true;
        this.modal.show();
    } 
    changeActive(event){
        this._spotax
isActive
isActive = event.target.checked;
    }
    save(): void {
    this.saving = true; 
    this.rowdata.spotax
isActive
isActive = (this._spotax
isActive
isActive == true) ? 'Y' : 'N'
    this._mstwptInvoiceService.createOrEdit(this.rowdata)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InvoiceRoutingModule } from './invoice-routing.module';
import { InvoiceComponent } from './invoice.component';
import { CreateOrEditInvoiceModalComponent } from './create-or-edit-invoice-modal.component';
@NgModule({
    declarations: [
       InvoiceComponent, 
        CreateOrEditInvoiceModalComponent
    ],
    imports: [
        AppSharedModule, InvoiceRoutingModule]
})
export class InvoiceModule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InvoiceComponent } from './invoice.component';
const routes: Routes = [{
    path: '',
    component: InvoiceComponent,
    pathMatch: 'full'
}];
@NgModule({
    imports: [RouterModule.forChild(routes)],
    exports: [RouterModule],
})
export class InvoiceRoutingModule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AppMenuItem("Invoice", "Pages.Inventory.CKD.Invoice", "flaticon-book",   "/app/main/inventory/ckd/invoice"),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'inventory/ckd/invoice',
    loadChildren: () =&gt; import('./inventory/ckd/invoice/invoice.module').then(m =&gt; m.InvoiceModule),
    data: { permission: 'Pages.Inventory.CKD.Invoice' }
},</v>
      </c>
      <c r="R10" s="47" t="str">
        <f>SUBSTITUTE(R9,"MstWptCalendar",$B$6)</f>
        <v>ApiServiceProxies.InvCkdInvoiceServiceProxy,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H55</v>
      </c>
      <c r="I12" s="28" t="str">
        <f>"I"&amp;COUNTA($A:$A)</f>
        <v>I55</v>
      </c>
      <c r="J12" s="28"/>
      <c r="K12" s="28" t="str">
        <f>"K"&amp;COUNTA($A:$A)</f>
        <v>K55</v>
      </c>
      <c r="L12" s="28" t="str">
        <f>"L"&amp;COUNTA($A:$A)</f>
        <v>L55</v>
      </c>
      <c r="M12" s="28"/>
      <c r="N12" s="28"/>
      <c r="O12" s="28"/>
      <c r="P12" s="28"/>
      <c r="Q12" s="28"/>
      <c r="R12" s="28"/>
      <c r="S12" s="28" t="str">
        <f>"S"&amp;COUNTA($A:$A)</f>
        <v>S55</v>
      </c>
      <c r="T12" s="28" t="str">
        <f>"T"&amp;COUNTA($A:$A)</f>
        <v>T55</v>
      </c>
      <c r="U12" s="28" t="str">
        <f>"U"&amp;COUNTA($A:$A)</f>
        <v>U55</v>
      </c>
      <c r="V12" s="28" t="str">
        <f>"V"&amp;COUNTA($A:$A)</f>
        <v>V55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this.l('Invoice No'),headerTooltip: this.l('Invoice No'),field: 'invoiceNo',flex: 1},
			{headerName: this.l('Bill Id'),headerTooltip: this.l('Bill Id'),field: 'billId',flex: 1},
			{headerName: this.l('Ordertype Code'),headerTooltip: this.l('Ordertype Code'),field: 'ordertypeCode',flex: 1},
			{headerName: this.l('Goodstype Code'),headerTooltip: this.l('Goodstype Code'),field: 'goodstypeCode',flex: 1},
			{headerName: this.l('Invoice Parent Id'),headerTooltip: this.l('Invoice Parent Id'),field: 'invoiceParentId',flex: 1},
			{headerName: this.l('Invoice Date'),headerTooltip: this.l('Invoice Date'),field: 'invoiceDate',flex: 1},
			{headerName: this.l('Fob'),headerTooltip: this.l('Fob'),field: 'fob',flex: 1},
			{headerName: this.l('Freight'),headerTooltip: this.l('Freight'),field: 'freight',flex: 1},
			{headerName: this.l('Freight Total'),headerTooltip: this.l('Freight Total'),field: 'freightTotal',flex: 1},
			{headerName: this.l('Insurance'),headerTooltip: this.l('Insurance'),field: 'insurance',flex: 1},
			{headerName: this.l('Insurance Total'),headerTooltip: this.l('Insurance Total'),field: 'insuranceTotal',flex: 1},
			{headerName: this.l('Cif'),headerTooltip: this.l('Cif'),field: 'cif',flex: 1},
			{headerName: this.l('Thc Total'),headerTooltip: this.l('Thc Total'),field: 'thcTotal',flex: 1},
			{headerName: this.l('Net Weight'),headerTooltip: this.l('Net Weight'),field: 'netWeight',flex: 1},
			{headerName: this.l('Gross Weight'),headerTooltip: this.l('Gross Weight'),field: 'grossWeight',flex: 1},
			{headerName: this.l('Cept Type'),headerTooltip: this.l('Cept Type'),field: 'ceptType',flex: 1},
			{headerName: this.l('Currency'),headerTooltip: this.l('Currency'),field: 'currency',flex: 1},
			{headerName: this.l('Remarks'),headerTooltip: this.l('Remarks'),field: 'remarks',flex: 1},
			{headerName: this.l('Supplier No'),headerTooltip: this.l('Supplier No'),field: 'supplierNo',flex: 1},
			{headerName: this.l('Quantity'),headerTooltip: this.l('Quantity'),field: 'quantity',flex: 1},
			{headerName: this.l('Flag'),headerTooltip: this.l('Flag'),field: 'flag',flex: 1},
			{headerName: this.l('Freezed'),headerTooltip: this.l('Freezed'),field: 'freezed',flex: 1},
			{headerName: this.l('Source Type'),headerTooltip: this.l('Source Type'),field: 'sourceType',flex: 1},
			{headerName: this.l('Status Err'),headerTooltip: this.l('Status Err'),field: 'statusErr',flex: 1},
			{headerName: this.l('Last Ordertype'),headerTooltip: this.l('Last Ordertype'),field: 'lastOrdertype',flex: 1},
			{headerName: this.l('Status'),headerTooltip: this.l('Status'),field: 'status',flex: 1},
			{headerName: this.l('Fob Vn'),headerTooltip: this.l('Fob Vn'),field: 'fobVn',flex: 1},
			{headerName: this.l('Freight Total Vn'),headerTooltip: this.l('Freight Total Vn'),field: 'freightTotalVn',flex: 1},
			{headerName: this.l('Insurance Total Vn'),headerTooltip: this.l('Insurance Total Vn'),field: 'insuranceTotalVn',flex: 1},
			{headerName: this.l('Cif Vn'),headerTooltip: this.l('Cif Vn'),field: 'cifVn',flex: 1},
			{headerName: this.l('Thc Total Vn'),headerTooltip: this.l('Thc Total Vn'),field: 'thcTotalVn',flex: 1},
			{headerName: this.l('Spotax'),headerTooltip: this.l('Spotax'),field:  'spotax', cellClass: ['text-center'], width: 120, cellRenderer: 'agCellButtonComponent',
buttonDefTwo: { text: params =&gt; (params.data?.'spotax' == 'Y') ? 'Active' : 'Inactive',iconName: 'fa fa-circle',className: params =&gt; (params.data?.'spotax' == 'Y') ? 'btnActive' : 'btnInActive',},}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
			{headerName: this.l('Status Code'),headerTooltip: this.l('Status Code'),field: 'statusCode',flex: 1},
			{headerName: this.l('Billoflading No'),headerTooltip: this.l('Billoflading No'),field: 'billofladingNo',flex: 1},
			{headerName: this.l('Shipment Id'),headerTooltip: this.l('Shipment Id'),field: 'shipmentId',flex: 1},
			{headerName: this.l('Bill Date'),headerTooltip: this.l('Bill Date'),field: 'billDate',flex: 1},
			{headerName: this.l('Status'),headerTooltip: this.l('Status'),field: 'status',flex: 1},
			{headerName: this.l('Status Code'),headerTooltip: this.l('Status Code'),field: 'statusCode',flex: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[(ngModel)]='goodstypeCode' name='goodstypeCode'
									class='form-control' [placeholder]="l('Goodstype Code')"
									type='text' (keyup.enter)='searchDatas()'&gt;
								&lt;/div&gt;
								&lt;div class='input-search'&gt;
									&lt;input [(ngModel)]='ceptType' name='ceptType'
									class='form-control' [placeholder]="l('Cept Type')"
									type='text' (keyup.enter)='searchDatas()'&gt;
								&lt;/div&gt;
								&lt;div class='input-search'&gt;
									&lt;input [(ngModel)]='currency' name='currency'
									class='form-control' [placeholder]="l('Currency')"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[(ngModel)]='sourceType' name='sourceType'
									class='form-control' [placeholder]="l('Source Type')"
									type='text' (keyup.enter)='searchDatas()'&gt;
								&lt;/div&gt;
								&lt;div class='input-search'&gt;
									&lt;input [(ngModel)]='statusErr' name='statusErr'
									class='form-control' [placeholder]="l('Status Err')"
									type='text' (keyup.enter)='searchDatas()'&gt;
								&lt;/div&gt;
								&lt;div class='input-search'&gt;
									&lt;input [(ngModel)]='lastOrdertype' name='lastOrdertype'
									class='form-control' [placeholder]="l('Last Ordertype')"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[(ngModel)]='spotax' name='spotax'
									class='form-control' [placeholder]="l('Spotax')"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title'&gt;Goodstype Code&lt;/label&gt;
						&lt;input type='text' class='col-md-10 form-control input-text' name='GoodstypeCode' [(ngModel)]='rowdata.goodstypeCode'&gt;
					&lt;/div&gt;
					&lt;div class='col-md-12 form-group row'&gt;
						&lt;label class='col-md-2 form-control title'&gt;Cept Type&lt;/label&gt;
						&lt;input type='text' class='col-md-10 form-control input-text' name='CeptType' [(ngModel)]='rowdata.ceptType'&gt;
					&lt;/div&gt;
					&lt;div class='col-md-12 form-group row'&gt;
						&lt;label class='col-md-2 form-control title'&gt;Currency&lt;/label&gt;
						&lt;input type='text' class='col-md-10 form-control input-text' name='Currency' [(ngModel)]='rowdata.currency'&gt;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title'&gt;Source Type&lt;/label&gt;
						&lt;input type='text' class='col-md-10 form-control input-text' name='SourceType' [(ngModel)]='rowdata.sourceType'&gt;
					&lt;/div&gt;
					&lt;div class='col-md-12 form-group row'&gt;
						&lt;label class='col-md-2 form-control title'&gt;Status Err&lt;/label&gt;
						&lt;input type='text' class='col-md-10 form-control input-text' name='StatusErr' [(ngModel)]='rowdata.statusErr'&gt;
					&lt;/div&gt;
					&lt;div class='col-md-12 form-group row'&gt;
						&lt;label class='col-md-2 form-control title'&gt;Last Ordertype&lt;/label&gt;
						&lt;input type='text' class='col-md-10 form-control input-text' name='LastOrdertype' [(ngModel)]='rowdata.lastOrdertype'&gt;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title'&gt;Spotax&lt;/label&gt;
						&lt;new-checkbox [(ngModel)]='_spotax' name='spotax'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invoiceNo : string = '' ; 
	billId
ordertypeCode : string = '' ; 
	goodstypeCode : string = '' ; 
	invoiceParentId
	invoiceDate
	fob
freight
	freightTotal
	insurance
	insuranceTotal
	cif
thcTotal
	netWeight
	grossWeight
	ceptType : string = '' ; 
	currency : string = '' ; 
remarks : string = '' ; 
	supplierNo : string = '' ; 
	quantity
	flag
	freezed
sourceType : string = '' ; 
	statusErr : string = '' ; 
	lastOrdertype : string = '' ; 
	status : string = '' ; 
	fobVn
freightTotalVn
	insuranceTotalVn
	cifVn
	thcTotalVn
	spotax : string = '' ; 
periodId
	isActive : string = '' ; 
	statusCode
	billofladingNo
	shipmentId
billDate
	status
	statusCode
	isActive : string = '' ; </v>
      </c>
      <c r="T13" s="63" t="str">
        <f ca="1">TEXTJOIN2("
",TRUE,INDIRECT(T11):INDIRECT(T12))</f>
        <v xml:space="preserve">			this.invoiceNo,
			this.billId,
			this.ordertypeCode,
			this.goodstypeCode,
			this.invoiceParentId,
			this.invoiceDate,
			this.fob,
			this.freight,
			this.freightTotal,
			this.insurance,
			this.insuranceTotal,
			this.cif,
			this.thcTotal,
			this.netWeight,
			this.grossWeight,
			this.ceptType,
			this.currency,
			this.remarks,
			this.supplierNo,
			this.quantity,
			this.flag,
			this.freezed,
			this.sourceType,
			this.statusErr,
			this.lastOrdertype,
			this.status,
			this.fobVn,
			this.freightTotalVn,
			this.insuranceTotalVn,
			this.cifVn,
			this.thcTotalVn,
			this.spotax,
			this.periodId,
			this.isActive,
			this.statusCode,
			this.billofladingNo,
			this.shipmentId,
			this.billDate,
			this.status,
			this.statusCode,
			this.isActive,</v>
      </c>
      <c r="U13" s="63" t="str">
        <f ca="1">TEXTJOIN2("
",TRUE,INDIRECT(U11):INDIRECT(U12))</f>
        <v xml:space="preserve">		this.invoiceNo = '',
		this.billId = '',
this.ordertypeCode = '',
		this.goodstypeCode = '',
		this.invoiceParentId = '',
		this.invoiceDate = '',
		this.fob = '',
this.freight = '',
		this.freightTotal = '',
		this.insurance = '',
		this.insuranceTotal = '',
		this.cif = '',
this.thcTotal = '',
		this.netWeight = '',
		this.grossWeight = '',
		this.ceptType = '',
		this.currency = '',
this.remarks = '',
		this.supplierNo = '',
		this.quantity = '',
		this.flag = '',
		this.freezed = '',
this.sourceType = '',
		this.statusErr = '',
		this.lastOrdertype = '',
		this.status = '',
		this.fobVn = '',
this.freightTotalVn = '',
		this.insuranceTotalVn = '',
		this.cifVn = '',
		this.thcTotalVn = '',
		this.spotax = '',
this.periodId = '',
		this.isActive = '',
		this.statusCode = '',
		this.billofladingNo = '',
		this.shipmentId = '',
this.billDate = '',
		this.status = '',
		this.statusCode = '',
		this.isActive = '',</v>
      </c>
      <c r="V13" s="28" t="str">
        <f ca="1">TEXTJOIN2("
",TRUE,INDIRECT(V11):INDIRECT(V12))</f>
        <v>spotax
isActive
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invoice.component.ts</v>
      </c>
      <c r="I14" s="37" t="str">
        <f>B8&amp;".component.html"</f>
        <v>invoice.component.html</v>
      </c>
      <c r="J14" s="36" t="str">
        <f>B8&amp;".component.less"</f>
        <v>invoice.component.less</v>
      </c>
      <c r="K14" s="37" t="str">
        <f>"create-or-edit-"&amp;B8&amp;"-modal.component.html"</f>
        <v>create-or-edit-invoice-modal.component.html</v>
      </c>
      <c r="L14" s="37" t="str">
        <f>"create-or-edit-"&amp;B8&amp;"-modal.component.ts"</f>
        <v>create-or-edit-invoice-modal.component.ts</v>
      </c>
      <c r="M14" s="37" t="str">
        <f>"create-or-edit-"&amp;B8&amp;"-modal.component.less"</f>
        <v>create-or-edit-invoice-modal.component.less</v>
      </c>
      <c r="N14" s="37" t="str">
        <f>B8&amp;".module.ts"</f>
        <v>invoice.module.ts</v>
      </c>
      <c r="O14" s="37" t="str">
        <f>B8&amp;"-routing.module.ts"</f>
        <v>invoice-routing.module.ts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28" t="s">
        <v>356</v>
      </c>
      <c r="B15" s="28" t="str">
        <f t="shared" ref="B15:B19" si="0">SUBSTITUTE(PROPER(A15),"_","")</f>
        <v>InvoiceNo</v>
      </c>
      <c r="C15" s="28" t="str">
        <f t="shared" ref="C15:C19" si="1">SUBSTITUTE(PROPER(A15),"_"," ")</f>
        <v>Invoice No</v>
      </c>
      <c r="D15" s="28" t="str">
        <f t="shared" ref="D15:D19" si="2">LOWER(LEFT(B15,1))&amp;RIGHT(B15,LEN(B15) - 1)</f>
        <v>invoiceNo</v>
      </c>
      <c r="E15" s="28" t="str">
        <f>A.Backend!H9</f>
        <v>string</v>
      </c>
      <c r="F15" s="28" t="str">
        <f>A.Backend!G9</f>
        <v>20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this.l('Invoice No'),headerTooltip: this.l('Invoice No'),field: 'invoiceNo',flex: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invoiceNo : string = '' ; </v>
      </c>
      <c r="T15" s="28" t="str">
        <f>REPT(CHAR(9),3)&amp;"this."&amp;D15&amp;","</f>
        <v xml:space="preserve">			this.invoiceNo,</v>
      </c>
      <c r="U15" s="28" t="str">
        <f>IF(E15="int",REPT(CHAR(9),2)&amp;"this."&amp;D15&amp;" = 0,",REPT(CHAR(9),2)&amp;"this."&amp;D15&amp;" = '',")</f>
        <v xml:space="preserve">		this.invoiceNo = '',</v>
      </c>
      <c r="V15" s="28" t="str">
        <f t="shared" ref="V15:V19" si="8">IF(AND(E15="string",F15="1"),D15,"")</f>
        <v/>
      </c>
    </row>
    <row r="16" spans="1:22" ht="18" customHeight="1" x14ac:dyDescent="0.25">
      <c r="A16" s="28" t="s">
        <v>357</v>
      </c>
      <c r="B16" s="28" t="str">
        <f t="shared" ref="B16" si="9">SUBSTITUTE(PROPER(A16),"_","")</f>
        <v>BillId</v>
      </c>
      <c r="C16" s="28" t="str">
        <f t="shared" ref="C16" si="10">SUBSTITUTE(PROPER(A16),"_"," ")</f>
        <v>Bill Id</v>
      </c>
      <c r="D16" s="28" t="str">
        <f t="shared" ref="D16" si="11">LOWER(LEFT(B16,1))&amp;RIGHT(B16,LEN(B16) - 1)</f>
        <v>billId</v>
      </c>
      <c r="E16" s="28" t="str">
        <f>A.Backend!H10</f>
        <v>long?</v>
      </c>
      <c r="F16" s="28" t="str">
        <f>A.Backend!G10</f>
        <v/>
      </c>
      <c r="G16" s="28" t="str">
        <f t="shared" ref="G16" si="12">IF(E16="string"," : string = '' ; ",IF(OR(E16="DateTime",E16="TimeSpan")," : any ;",IF(E16="int"," : number = 0 ;","")))</f>
        <v/>
      </c>
      <c r="H16" s="35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this.l('Bill Id'),headerTooltip: this.l('Bill Id'),field: 'billId',flex: 1},</v>
      </c>
      <c r="I16" s="35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/>
      </c>
      <c r="L16" s="56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7">REPT(CHAR(9),1)&amp;D16&amp;G16</f>
        <v xml:space="preserve">	billId</v>
      </c>
      <c r="T16" s="28" t="str">
        <f t="shared" ref="T16" si="18">REPT(CHAR(9),3)&amp;"this."&amp;D16&amp;","</f>
        <v xml:space="preserve">			this.billId,</v>
      </c>
      <c r="U16" s="28" t="str">
        <f t="shared" ref="U16" si="19">IF(E16="int",REPT(CHAR(9),2)&amp;"this."&amp;D16&amp;" = 0,",REPT(CHAR(9),2)&amp;"this."&amp;D16&amp;" = '',")</f>
        <v xml:space="preserve">		this.billId = '',</v>
      </c>
      <c r="V16" s="28" t="str">
        <f t="shared" ref="V16" si="20">IF(AND(E16="string",F16="1"),D16,"")</f>
        <v/>
      </c>
    </row>
    <row r="17" spans="1:22" ht="18" customHeight="1" x14ac:dyDescent="0.25">
      <c r="A17" s="28" t="s">
        <v>358</v>
      </c>
      <c r="B17" s="28" t="str">
        <f>SUBSTITUTE(PROPER(A17),"_","")</f>
        <v>OrdertypeCode</v>
      </c>
      <c r="C17" s="28" t="str">
        <f>SUBSTITUTE(PROPER(A17),"_"," ")</f>
        <v>Ordertype Code</v>
      </c>
      <c r="D17" s="28" t="str">
        <f>LOWER(LEFT(B17,1))&amp;RIGHT(B17,LEN(B17) - 1)</f>
        <v>ordertypeCode</v>
      </c>
      <c r="E17" s="28" t="str">
        <f>A.Backend!H11</f>
        <v>string</v>
      </c>
      <c r="F17" s="28" t="str">
        <f>A.Backend!G11</f>
        <v>4</v>
      </c>
      <c r="G17" s="28" t="str">
        <f>IF(E17="string"," : string = '' ; ",IF(OR(E17="DateTime",E17="TimeSpan")," : any ;",IF(E17="int"," : number = 0 ;","")))</f>
        <v xml:space="preserve"> : string = '' ; </v>
      </c>
      <c r="H17" s="35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this.l('Ordertype Code'),headerTooltip: this.l('Ordertype Code'),field: 'ordertypeCode',flex: 1},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[(ngModel)]='ordertypeCode' name='ordertypeCode'
									class='form-control' [placeholder]="l('Ordertype Code')"
									type='text' (keyup.enter)='searchDatas()'&gt;
								&lt;/div&gt;</v>
      </c>
      <c r="J17" s="28"/>
      <c r="K17" s="35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>D17&amp;G17</f>
        <v xml:space="preserve">ordertypeCode : string = '' ; </v>
      </c>
      <c r="T17" s="28" t="str">
        <f>REPT(CHAR(9),3)&amp;"this."&amp;D17&amp;","</f>
        <v xml:space="preserve">			this.ordertypeCode,</v>
      </c>
      <c r="U17" s="28" t="str">
        <f>IF(E17="int","this."&amp;D17&amp;" = 0,","this."&amp;D17&amp;" = '',")</f>
        <v>this.ordertypeCode = '',</v>
      </c>
      <c r="V17" s="28" t="str">
        <f>IF(AND(E17="string",F17="1"),D17,"")</f>
        <v/>
      </c>
    </row>
    <row r="18" spans="1:22" ht="15" customHeight="1" x14ac:dyDescent="0.25">
      <c r="A18" s="28" t="s">
        <v>359</v>
      </c>
      <c r="B18" s="28" t="str">
        <f t="shared" ref="B18" si="21">SUBSTITUTE(PROPER(A18),"_","")</f>
        <v>GoodstypeCode</v>
      </c>
      <c r="C18" s="28" t="str">
        <f t="shared" ref="C18" si="22">SUBSTITUTE(PROPER(A18),"_"," ")</f>
        <v>Goodstype Code</v>
      </c>
      <c r="D18" s="28" t="str">
        <f t="shared" ref="D18" si="23">LOWER(LEFT(B18,1))&amp;RIGHT(B18,LEN(B18) - 1)</f>
        <v>goodstypeCode</v>
      </c>
      <c r="E18" s="28" t="str">
        <f>A.Backend!H12</f>
        <v>string</v>
      </c>
      <c r="F18" s="28" t="str">
        <f>A.Backend!G12</f>
        <v>4</v>
      </c>
      <c r="G18" s="28" t="str">
        <f t="shared" ref="G18" si="24">IF(E18="string"," : string = '' ; ",IF(OR(E18="DateTime",E18="TimeSpan")," : any ;",IF(E18="int"," : number = 0 ;","")))</f>
        <v xml:space="preserve"> : string = '' ; </v>
      </c>
      <c r="H18" s="35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this.l('Goodstype Code'),headerTooltip: this.l('Goodstype Code'),field: 'goodstypeCode',flex: 1},</v>
      </c>
      <c r="I18" s="35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[(ngModel)]='goodstypeCode' name='goodstypeCode'
									class='form-control' [placeholder]="l('Goodstype Code')"
									type='text' (keyup.enter)='searchDatas()'&gt;
								&lt;/div&gt;</v>
      </c>
      <c r="J18" s="28"/>
      <c r="K18" s="35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title'&gt;Goodstype Code&lt;/label&gt;
						&lt;input type='text' class='col-md-10 form-control input-text' name='GoodstypeCode' [(ngModel)]='rowdata.goodstypeCode'&gt;
					&lt;/div&gt;</v>
      </c>
      <c r="L18" s="56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goodstypeCode : string = '' ; </v>
      </c>
      <c r="T18" s="28" t="str">
        <f>REPT(CHAR(9),3)&amp;"this."&amp;D18&amp;","</f>
        <v xml:space="preserve">			this.goodstypeCode,</v>
      </c>
      <c r="U18" s="28" t="str">
        <f>IF(E18="int",REPT(CHAR(9),2)&amp;"this."&amp;D18&amp;" = 0,",REPT(CHAR(9),2)&amp;"this."&amp;D18&amp;" = '',")</f>
        <v xml:space="preserve">		this.goodstypeCode = '',</v>
      </c>
      <c r="V18" s="28" t="str">
        <f t="shared" ref="V18" si="29">IF(AND(E18="string",F18="1"),D18,"")</f>
        <v/>
      </c>
    </row>
    <row r="19" spans="1:22" ht="18" customHeight="1" x14ac:dyDescent="0.25">
      <c r="A19" s="28" t="s">
        <v>360</v>
      </c>
      <c r="B19" s="28" t="str">
        <f t="shared" si="0"/>
        <v>InvoiceParentId</v>
      </c>
      <c r="C19" s="28" t="str">
        <f t="shared" si="1"/>
        <v>Invoice Parent Id</v>
      </c>
      <c r="D19" s="28" t="str">
        <f t="shared" si="2"/>
        <v>invoiceParentId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this.l('Invoice Parent Id'),headerTooltip: this.l('Invoice Parent Id'),field: 'invoiceParentId',flex: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30">REPT(CHAR(9),1)&amp;D19&amp;G19</f>
        <v xml:space="preserve">	invoiceParentId</v>
      </c>
      <c r="T19" s="28" t="str">
        <f t="shared" ref="T19" si="31">REPT(CHAR(9),3)&amp;"this."&amp;D19&amp;","</f>
        <v xml:space="preserve">			this.invoiceParentId,</v>
      </c>
      <c r="U19" s="28" t="str">
        <f t="shared" ref="U19" si="32">IF(E19="int",REPT(CHAR(9),2)&amp;"this."&amp;D19&amp;" = 0,",REPT(CHAR(9),2)&amp;"this."&amp;D19&amp;" = '',")</f>
        <v xml:space="preserve">		this.invoiceParentId = '',</v>
      </c>
      <c r="V19" s="28" t="str">
        <f t="shared" si="8"/>
        <v/>
      </c>
    </row>
    <row r="20" spans="1:22" ht="15" customHeight="1" x14ac:dyDescent="0.25">
      <c r="A20" s="28" t="s">
        <v>361</v>
      </c>
      <c r="B20" s="28" t="str">
        <f t="shared" ref="B20:B21" si="33">SUBSTITUTE(PROPER(A20),"_","")</f>
        <v>InvoiceDate</v>
      </c>
      <c r="C20" s="28" t="str">
        <f t="shared" ref="C20:C21" si="34">SUBSTITUTE(PROPER(A20),"_"," ")</f>
        <v>Invoice Date</v>
      </c>
      <c r="D20" s="28" t="str">
        <f t="shared" ref="D20:D21" si="35">LOWER(LEFT(B20,1))&amp;RIGHT(B20,LEN(B20) - 1)</f>
        <v>invoiceDate</v>
      </c>
      <c r="E20" s="28" t="str">
        <f>A.Backend!H14</f>
        <v>DateTime?</v>
      </c>
      <c r="F20" s="28" t="str">
        <f>A.Backend!G14</f>
        <v/>
      </c>
      <c r="G20" s="28" t="str">
        <f t="shared" ref="G20:G21" si="36">IF(E20="string"," : string = '' ; ",IF(OR(E20="DateTime",E20="TimeSpan")," : any ;",IF(E20="int"," : number = 0 ;","")))</f>
        <v/>
      </c>
      <c r="H20" s="35" t="str">
        <f t="shared" ref="H20:H21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this.l('Invoice Date'),headerTooltip: this.l('Invoice Date'),field: 'invoiceDate',flex: 1},</v>
      </c>
      <c r="I20" s="35" t="str">
        <f t="shared" ref="I20:I21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ref="K20:K21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56" t="str">
        <f t="shared" ref="L20:L21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invoiceDate</v>
      </c>
      <c r="T20" s="28" t="str">
        <f>REPT(CHAR(9),3)&amp;"this."&amp;D20&amp;","</f>
        <v xml:space="preserve">			this.invoiceDate,</v>
      </c>
      <c r="U20" s="28" t="str">
        <f>IF(E20="int",REPT(CHAR(9),2)&amp;"this."&amp;D20&amp;" = 0,",REPT(CHAR(9),2)&amp;"this."&amp;D20&amp;" = '',")</f>
        <v xml:space="preserve">		this.invoiceDate = '',</v>
      </c>
      <c r="V20" s="28" t="str">
        <f t="shared" ref="V20:V21" si="41">IF(AND(E20="string",F20="1"),D20,"")</f>
        <v/>
      </c>
    </row>
    <row r="21" spans="1:22" ht="18" customHeight="1" x14ac:dyDescent="0.25">
      <c r="A21" s="28" t="s">
        <v>362</v>
      </c>
      <c r="B21" s="28" t="str">
        <f t="shared" si="33"/>
        <v>Fob</v>
      </c>
      <c r="C21" s="28" t="str">
        <f t="shared" si="34"/>
        <v>Fob</v>
      </c>
      <c r="D21" s="28" t="str">
        <f t="shared" si="35"/>
        <v>fob</v>
      </c>
      <c r="E21" s="28" t="str">
        <f>A.Backend!H15</f>
        <v>decimal?</v>
      </c>
      <c r="F21" s="28" t="str">
        <f>A.Backend!G15</f>
        <v>14,5</v>
      </c>
      <c r="G21" s="28" t="str">
        <f t="shared" si="36"/>
        <v/>
      </c>
      <c r="H21" s="35" t="str">
        <f t="shared" si="37"/>
        <v xml:space="preserve">			{headerName: this.l('Fob'),headerTooltip: this.l('Fob'),field: 'fob',flex: 1},</v>
      </c>
      <c r="I21" s="35" t="str">
        <f t="shared" si="38"/>
        <v/>
      </c>
      <c r="J21" s="28"/>
      <c r="K21" s="35" t="str">
        <f t="shared" si="39"/>
        <v/>
      </c>
      <c r="L21" s="56" t="str">
        <f t="shared" si="40"/>
        <v/>
      </c>
      <c r="M21" s="28"/>
      <c r="N21" s="28"/>
      <c r="O21" s="28"/>
      <c r="P21" s="28"/>
      <c r="Q21" s="28"/>
      <c r="R21" s="28"/>
      <c r="S21" s="28" t="str">
        <f t="shared" ref="S21" si="42">REPT(CHAR(9),1)&amp;D21&amp;G21</f>
        <v xml:space="preserve">	fob</v>
      </c>
      <c r="T21" s="28" t="str">
        <f t="shared" ref="T21" si="43">REPT(CHAR(9),3)&amp;"this."&amp;D21&amp;","</f>
        <v xml:space="preserve">			this.fob,</v>
      </c>
      <c r="U21" s="28" t="str">
        <f t="shared" ref="U21" si="44">IF(E21="int",REPT(CHAR(9),2)&amp;"this."&amp;D21&amp;" = 0,",REPT(CHAR(9),2)&amp;"this."&amp;D21&amp;" = '',")</f>
        <v xml:space="preserve">		this.fob = '',</v>
      </c>
      <c r="V21" s="28" t="str">
        <f t="shared" si="41"/>
        <v/>
      </c>
    </row>
    <row r="22" spans="1:22" ht="18" customHeight="1" x14ac:dyDescent="0.25">
      <c r="A22" s="28" t="s">
        <v>363</v>
      </c>
      <c r="B22" s="28" t="str">
        <f>SUBSTITUTE(PROPER(A22),"_","")</f>
        <v>Freight</v>
      </c>
      <c r="C22" s="28" t="str">
        <f>SUBSTITUTE(PROPER(A22),"_"," ")</f>
        <v>Freight</v>
      </c>
      <c r="D22" s="28" t="str">
        <f>LOWER(LEFT(B22,1))&amp;RIGHT(B22,LEN(B22) - 1)</f>
        <v>freight</v>
      </c>
      <c r="E22" s="28" t="str">
        <f>A.Backend!H16</f>
        <v>decimal?</v>
      </c>
      <c r="F22" s="28" t="str">
        <f>A.Backend!G16</f>
        <v>14,5</v>
      </c>
      <c r="G22" s="28" t="str">
        <f>IF(E22="string"," : string = '' ; ",IF(OR(E22="DateTime",E22="TimeSpan")," : any ;",IF(E22="int"," : number = 0 ;","")))</f>
        <v/>
      </c>
      <c r="H22" s="35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this.l('Freight'),headerTooltip: this.l('Freight'),field: 'freight',flex: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>D22&amp;G22</f>
        <v>freight</v>
      </c>
      <c r="T22" s="28" t="str">
        <f>REPT(CHAR(9),3)&amp;"this."&amp;D22&amp;","</f>
        <v xml:space="preserve">			this.freight,</v>
      </c>
      <c r="U22" s="28" t="str">
        <f>IF(E22="int","this."&amp;D22&amp;" = 0,","this."&amp;D22&amp;" = '',")</f>
        <v>this.freight = '',</v>
      </c>
      <c r="V22" s="28" t="str">
        <f>IF(AND(E22="string",F22="1"),D22,"")</f>
        <v/>
      </c>
    </row>
    <row r="23" spans="1:22" ht="15" customHeight="1" x14ac:dyDescent="0.25">
      <c r="A23" s="28" t="s">
        <v>364</v>
      </c>
      <c r="B23" s="28" t="str">
        <f t="shared" ref="B23:B26" si="45">SUBSTITUTE(PROPER(A23),"_","")</f>
        <v>FreightTotal</v>
      </c>
      <c r="C23" s="28" t="str">
        <f t="shared" ref="C23:C26" si="46">SUBSTITUTE(PROPER(A23),"_"," ")</f>
        <v>Freight Total</v>
      </c>
      <c r="D23" s="28" t="str">
        <f t="shared" ref="D23:D26" si="47">LOWER(LEFT(B23,1))&amp;RIGHT(B23,LEN(B23) - 1)</f>
        <v>freightTotal</v>
      </c>
      <c r="E23" s="28" t="str">
        <f>A.Backend!H17</f>
        <v>decimal?</v>
      </c>
      <c r="F23" s="28" t="str">
        <f>A.Backend!G17</f>
        <v>18,5</v>
      </c>
      <c r="G23" s="28" t="str">
        <f t="shared" ref="G23:G26" si="48">IF(E23="string"," : string = '' ; ",IF(OR(E23="DateTime",E23="TimeSpan")," : any ;",IF(E23="int"," : number = 0 ;","")))</f>
        <v/>
      </c>
      <c r="H23" s="35" t="str">
        <f t="shared" ref="H23:H26" si="49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this.l('Freight Total'),headerTooltip: this.l('Freight Total'),field: 'freightTotal',flex: 1},</v>
      </c>
      <c r="I23" s="35" t="str">
        <f t="shared" ref="I23:I26" si="5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ref="K23:K26" si="51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/>
      </c>
      <c r="L23" s="56" t="str">
        <f t="shared" ref="L23:L26" si="52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freightTotal</v>
      </c>
      <c r="T23" s="28" t="str">
        <f>REPT(CHAR(9),3)&amp;"this."&amp;D23&amp;","</f>
        <v xml:space="preserve">			this.freightTotal,</v>
      </c>
      <c r="U23" s="28" t="str">
        <f>IF(E23="int",REPT(CHAR(9),2)&amp;"this."&amp;D23&amp;" = 0,",REPT(CHAR(9),2)&amp;"this."&amp;D23&amp;" = '',")</f>
        <v xml:space="preserve">		this.freightTotal = '',</v>
      </c>
      <c r="V23" s="28" t="str">
        <f t="shared" ref="V23:V26" si="53">IF(AND(E23="string",F23="1"),D23,"")</f>
        <v/>
      </c>
    </row>
    <row r="24" spans="1:22" ht="18" customHeight="1" x14ac:dyDescent="0.25">
      <c r="A24" s="28" t="s">
        <v>365</v>
      </c>
      <c r="B24" s="28" t="str">
        <f t="shared" si="45"/>
        <v>Insurance</v>
      </c>
      <c r="C24" s="28" t="str">
        <f t="shared" si="46"/>
        <v>Insurance</v>
      </c>
      <c r="D24" s="28" t="str">
        <f t="shared" si="47"/>
        <v>insurance</v>
      </c>
      <c r="E24" s="28" t="str">
        <f>A.Backend!H18</f>
        <v>decimal?</v>
      </c>
      <c r="F24" s="28" t="str">
        <f>A.Backend!G18</f>
        <v>14,5</v>
      </c>
      <c r="G24" s="28" t="str">
        <f t="shared" si="48"/>
        <v/>
      </c>
      <c r="H24" s="35" t="str">
        <f t="shared" si="49"/>
        <v xml:space="preserve">			{headerName: this.l('Insurance'),headerTooltip: this.l('Insurance'),field: 'insurance',flex: 1},</v>
      </c>
      <c r="I24" s="35" t="str">
        <f t="shared" si="50"/>
        <v/>
      </c>
      <c r="J24" s="28"/>
      <c r="K24" s="35" t="str">
        <f t="shared" si="51"/>
        <v/>
      </c>
      <c r="L24" s="56" t="str">
        <f t="shared" si="52"/>
        <v/>
      </c>
      <c r="M24" s="28"/>
      <c r="N24" s="28"/>
      <c r="O24" s="28"/>
      <c r="P24" s="28"/>
      <c r="Q24" s="28"/>
      <c r="R24" s="28"/>
      <c r="S24" s="28" t="str">
        <f t="shared" ref="S24" si="54">REPT(CHAR(9),1)&amp;D24&amp;G24</f>
        <v xml:space="preserve">	insurance</v>
      </c>
      <c r="T24" s="28" t="str">
        <f t="shared" ref="T24" si="55">REPT(CHAR(9),3)&amp;"this."&amp;D24&amp;","</f>
        <v xml:space="preserve">			this.insurance,</v>
      </c>
      <c r="U24" s="28" t="str">
        <f t="shared" ref="U24" si="56">IF(E24="int",REPT(CHAR(9),2)&amp;"this."&amp;D24&amp;" = 0,",REPT(CHAR(9),2)&amp;"this."&amp;D24&amp;" = '',")</f>
        <v xml:space="preserve">		this.insurance = '',</v>
      </c>
      <c r="V24" s="28" t="str">
        <f t="shared" si="53"/>
        <v/>
      </c>
    </row>
    <row r="25" spans="1:22" ht="15" customHeight="1" x14ac:dyDescent="0.25">
      <c r="A25" s="28" t="s">
        <v>366</v>
      </c>
      <c r="B25" s="28" t="str">
        <f t="shared" si="45"/>
        <v>InsuranceTotal</v>
      </c>
      <c r="C25" s="28" t="str">
        <f t="shared" si="46"/>
        <v>Insurance Total</v>
      </c>
      <c r="D25" s="28" t="str">
        <f t="shared" si="47"/>
        <v>insuranceTotal</v>
      </c>
      <c r="E25" s="28" t="str">
        <f>A.Backend!H19</f>
        <v>decimal?</v>
      </c>
      <c r="F25" s="28" t="str">
        <f>A.Backend!G19</f>
        <v>18,5</v>
      </c>
      <c r="G25" s="28" t="str">
        <f t="shared" si="48"/>
        <v/>
      </c>
      <c r="H25" s="35" t="str">
        <f t="shared" si="49"/>
        <v xml:space="preserve">			{headerName: this.l('Insurance Total'),headerTooltip: this.l('Insurance Total'),field: 'insuranceTotal',flex: 1},</v>
      </c>
      <c r="I25" s="35" t="str">
        <f t="shared" si="50"/>
        <v/>
      </c>
      <c r="J25" s="28"/>
      <c r="K25" s="35" t="str">
        <f t="shared" si="51"/>
        <v/>
      </c>
      <c r="L25" s="56" t="str">
        <f t="shared" si="52"/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insuranceTotal</v>
      </c>
      <c r="T25" s="28" t="str">
        <f>REPT(CHAR(9),3)&amp;"this."&amp;D25&amp;","</f>
        <v xml:space="preserve">			this.insuranceTotal,</v>
      </c>
      <c r="U25" s="28" t="str">
        <f>IF(E25="int",REPT(CHAR(9),2)&amp;"this."&amp;D25&amp;" = 0,",REPT(CHAR(9),2)&amp;"this."&amp;D25&amp;" = '',")</f>
        <v xml:space="preserve">		this.insuranceTotal = '',</v>
      </c>
      <c r="V25" s="28" t="str">
        <f t="shared" si="53"/>
        <v/>
      </c>
    </row>
    <row r="26" spans="1:22" ht="18" customHeight="1" x14ac:dyDescent="0.25">
      <c r="A26" s="28" t="s">
        <v>367</v>
      </c>
      <c r="B26" s="28" t="str">
        <f t="shared" si="45"/>
        <v>Cif</v>
      </c>
      <c r="C26" s="28" t="str">
        <f t="shared" si="46"/>
        <v>Cif</v>
      </c>
      <c r="D26" s="28" t="str">
        <f t="shared" si="47"/>
        <v>cif</v>
      </c>
      <c r="E26" s="28" t="str">
        <f>A.Backend!H20</f>
        <v>decimal?</v>
      </c>
      <c r="F26" s="28" t="str">
        <f>A.Backend!G20</f>
        <v>18,5</v>
      </c>
      <c r="G26" s="28" t="str">
        <f t="shared" si="48"/>
        <v/>
      </c>
      <c r="H26" s="35" t="str">
        <f t="shared" si="49"/>
        <v xml:space="preserve">			{headerName: this.l('Cif'),headerTooltip: this.l('Cif'),field: 'cif',flex: 1},</v>
      </c>
      <c r="I26" s="35" t="str">
        <f t="shared" si="50"/>
        <v/>
      </c>
      <c r="J26" s="28"/>
      <c r="K26" s="35" t="str">
        <f t="shared" si="51"/>
        <v/>
      </c>
      <c r="L26" s="56" t="str">
        <f t="shared" si="52"/>
        <v/>
      </c>
      <c r="M26" s="28"/>
      <c r="N26" s="28"/>
      <c r="O26" s="28"/>
      <c r="P26" s="28"/>
      <c r="Q26" s="28"/>
      <c r="R26" s="28"/>
      <c r="S26" s="28" t="str">
        <f t="shared" ref="S26" si="57">REPT(CHAR(9),1)&amp;D26&amp;G26</f>
        <v xml:space="preserve">	cif</v>
      </c>
      <c r="T26" s="28" t="str">
        <f t="shared" ref="T26" si="58">REPT(CHAR(9),3)&amp;"this."&amp;D26&amp;","</f>
        <v xml:space="preserve">			this.cif,</v>
      </c>
      <c r="U26" s="28" t="str">
        <f t="shared" ref="U26" si="59">IF(E26="int",REPT(CHAR(9),2)&amp;"this."&amp;D26&amp;" = 0,",REPT(CHAR(9),2)&amp;"this."&amp;D26&amp;" = '',")</f>
        <v xml:space="preserve">		this.cif = '',</v>
      </c>
      <c r="V26" s="28" t="str">
        <f t="shared" si="53"/>
        <v/>
      </c>
    </row>
    <row r="27" spans="1:22" ht="18" customHeight="1" x14ac:dyDescent="0.25">
      <c r="A27" s="28" t="s">
        <v>368</v>
      </c>
      <c r="B27" s="28" t="str">
        <f>SUBSTITUTE(PROPER(A27),"_","")</f>
        <v>ThcTotal</v>
      </c>
      <c r="C27" s="28" t="str">
        <f>SUBSTITUTE(PROPER(A27),"_"," ")</f>
        <v>Thc Total</v>
      </c>
      <c r="D27" s="28" t="str">
        <f>LOWER(LEFT(B27,1))&amp;RIGHT(B27,LEN(B27) - 1)</f>
        <v>thcTotal</v>
      </c>
      <c r="E27" s="28" t="str">
        <f>A.Backend!H21</f>
        <v>decimal?</v>
      </c>
      <c r="F27" s="28" t="str">
        <f>A.Backend!G21</f>
        <v>14,5</v>
      </c>
      <c r="G27" s="28" t="str">
        <f>IF(E27="string"," : string = '' ; ",IF(OR(E27="DateTime",E27="TimeSpan")," : any ;",IF(E27="int"," : number = 0 ;","")))</f>
        <v/>
      </c>
      <c r="H27" s="35" t="str">
        <f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this.l('Thc Total'),headerTooltip: this.l('Thc Total'),field: 'thcTotal',flex: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>D27&amp;G27</f>
        <v>thcTotal</v>
      </c>
      <c r="T27" s="28" t="str">
        <f>REPT(CHAR(9),3)&amp;"this."&amp;D27&amp;","</f>
        <v xml:space="preserve">			this.thcTotal,</v>
      </c>
      <c r="U27" s="28" t="str">
        <f>IF(E27="int","this."&amp;D27&amp;" = 0,","this."&amp;D27&amp;" = '',")</f>
        <v>this.thcTotal = '',</v>
      </c>
      <c r="V27" s="28" t="str">
        <f>IF(AND(E27="string",F27="1"),D27,"")</f>
        <v/>
      </c>
    </row>
    <row r="28" spans="1:22" ht="15" customHeight="1" x14ac:dyDescent="0.25">
      <c r="A28" s="28" t="s">
        <v>369</v>
      </c>
      <c r="B28" s="28" t="str">
        <f t="shared" ref="B28:B31" si="60">SUBSTITUTE(PROPER(A28),"_","")</f>
        <v>NetWeight</v>
      </c>
      <c r="C28" s="28" t="str">
        <f t="shared" ref="C28:C31" si="61">SUBSTITUTE(PROPER(A28),"_"," ")</f>
        <v>Net Weight</v>
      </c>
      <c r="D28" s="28" t="str">
        <f t="shared" ref="D28:D31" si="62">LOWER(LEFT(B28,1))&amp;RIGHT(B28,LEN(B28) - 1)</f>
        <v>netWeight</v>
      </c>
      <c r="E28" s="28" t="str">
        <f>A.Backend!H22</f>
        <v>decimal?</v>
      </c>
      <c r="F28" s="28" t="str">
        <f>A.Backend!G22</f>
        <v>18,4</v>
      </c>
      <c r="G28" s="28" t="str">
        <f t="shared" ref="G28:G31" si="63">IF(E28="string"," : string = '' ; ",IF(OR(E28="DateTime",E28="TimeSpan")," : any ;",IF(E28="int"," : number = 0 ;","")))</f>
        <v/>
      </c>
      <c r="H28" s="35" t="str">
        <f t="shared" ref="H28:H31" si="64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this.l('Net Weight'),headerTooltip: this.l('Net Weight'),field: 'netWeight',flex: 1},</v>
      </c>
      <c r="I28" s="35" t="str">
        <f t="shared" ref="I28:I31" si="65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ref="K28:K31" si="66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/>
      </c>
      <c r="L28" s="56" t="str">
        <f t="shared" ref="L28:L31" si="6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>REPT(CHAR(9),1)&amp;D28&amp;G28</f>
        <v xml:space="preserve">	netWeight</v>
      </c>
      <c r="T28" s="28" t="str">
        <f>REPT(CHAR(9),3)&amp;"this."&amp;D28&amp;","</f>
        <v xml:space="preserve">			this.netWeight,</v>
      </c>
      <c r="U28" s="28" t="str">
        <f>IF(E28="int",REPT(CHAR(9),2)&amp;"this."&amp;D28&amp;" = 0,",REPT(CHAR(9),2)&amp;"this."&amp;D28&amp;" = '',")</f>
        <v xml:space="preserve">		this.netWeight = '',</v>
      </c>
      <c r="V28" s="28" t="str">
        <f t="shared" ref="V28:V31" si="68">IF(AND(E28="string",F28="1"),D28,"")</f>
        <v/>
      </c>
    </row>
    <row r="29" spans="1:22" ht="18" customHeight="1" x14ac:dyDescent="0.25">
      <c r="A29" s="28" t="s">
        <v>370</v>
      </c>
      <c r="B29" s="28" t="str">
        <f t="shared" si="60"/>
        <v>GrossWeight</v>
      </c>
      <c r="C29" s="28" t="str">
        <f t="shared" si="61"/>
        <v>Gross Weight</v>
      </c>
      <c r="D29" s="28" t="str">
        <f t="shared" si="62"/>
        <v>grossWeight</v>
      </c>
      <c r="E29" s="28" t="str">
        <f>A.Backend!H23</f>
        <v>decimal?</v>
      </c>
      <c r="F29" s="28" t="str">
        <f>A.Backend!G23</f>
        <v>18,4</v>
      </c>
      <c r="G29" s="28" t="str">
        <f t="shared" si="63"/>
        <v/>
      </c>
      <c r="H29" s="35" t="str">
        <f t="shared" si="64"/>
        <v xml:space="preserve">			{headerName: this.l('Gross Weight'),headerTooltip: this.l('Gross Weight'),field: 'grossWeight',flex: 1},</v>
      </c>
      <c r="I29" s="35" t="str">
        <f t="shared" si="65"/>
        <v/>
      </c>
      <c r="J29" s="28"/>
      <c r="K29" s="35" t="str">
        <f t="shared" si="66"/>
        <v/>
      </c>
      <c r="L29" s="56" t="str">
        <f t="shared" si="67"/>
        <v/>
      </c>
      <c r="M29" s="28"/>
      <c r="N29" s="28"/>
      <c r="O29" s="28"/>
      <c r="P29" s="28"/>
      <c r="Q29" s="28"/>
      <c r="R29" s="28"/>
      <c r="S29" s="28" t="str">
        <f t="shared" ref="S29" si="69">REPT(CHAR(9),1)&amp;D29&amp;G29</f>
        <v xml:space="preserve">	grossWeight</v>
      </c>
      <c r="T29" s="28" t="str">
        <f t="shared" ref="T29" si="70">REPT(CHAR(9),3)&amp;"this."&amp;D29&amp;","</f>
        <v xml:space="preserve">			this.grossWeight,</v>
      </c>
      <c r="U29" s="28" t="str">
        <f t="shared" ref="U29" si="71">IF(E29="int",REPT(CHAR(9),2)&amp;"this."&amp;D29&amp;" = 0,",REPT(CHAR(9),2)&amp;"this."&amp;D29&amp;" = '',")</f>
        <v xml:space="preserve">		this.grossWeight = '',</v>
      </c>
      <c r="V29" s="28" t="str">
        <f t="shared" si="68"/>
        <v/>
      </c>
    </row>
    <row r="30" spans="1:22" ht="15" customHeight="1" x14ac:dyDescent="0.25">
      <c r="A30" s="28" t="s">
        <v>371</v>
      </c>
      <c r="B30" s="28" t="str">
        <f t="shared" si="60"/>
        <v>CeptType</v>
      </c>
      <c r="C30" s="28" t="str">
        <f t="shared" si="61"/>
        <v>Cept Type</v>
      </c>
      <c r="D30" s="28" t="str">
        <f t="shared" si="62"/>
        <v>ceptType</v>
      </c>
      <c r="E30" s="28" t="str">
        <f>A.Backend!H24</f>
        <v>string</v>
      </c>
      <c r="F30" s="28" t="str">
        <f>A.Backend!G24</f>
        <v>10</v>
      </c>
      <c r="G30" s="28" t="str">
        <f t="shared" si="63"/>
        <v xml:space="preserve"> : string = '' ; </v>
      </c>
      <c r="H30" s="35" t="str">
        <f t="shared" si="64"/>
        <v xml:space="preserve">			{headerName: this.l('Cept Type'),headerTooltip: this.l('Cept Type'),field: 'ceptType',flex: 1},</v>
      </c>
      <c r="I30" s="35" t="str">
        <f t="shared" si="65"/>
        <v xml:space="preserve">								&lt;div class='input-search'&gt;
									&lt;input [(ngModel)]='ceptType' name='ceptType'
									class='form-control' [placeholder]="l('Cept Type')"
									type='text' (keyup.enter)='searchDatas()'&gt;
								&lt;/div&gt;</v>
      </c>
      <c r="J30" s="28"/>
      <c r="K30" s="35" t="str">
        <f t="shared" si="66"/>
        <v xml:space="preserve">					&lt;div class='col-md-12 form-group row'&gt;
						&lt;label class='col-md-2 form-control title'&gt;Cept Type&lt;/label&gt;
						&lt;input type='text' class='col-md-10 form-control input-text' name='CeptType' [(ngModel)]='rowdata.ceptType'&gt;
					&lt;/div&gt;</v>
      </c>
      <c r="L30" s="56" t="str">
        <f t="shared" si="67"/>
        <v/>
      </c>
      <c r="M30" s="28"/>
      <c r="N30" s="28"/>
      <c r="O30" s="28"/>
      <c r="P30" s="28"/>
      <c r="Q30" s="28"/>
      <c r="R30" s="28"/>
      <c r="S30" s="28" t="str">
        <f>REPT(CHAR(9),1)&amp;D30&amp;G30</f>
        <v xml:space="preserve">	ceptType : string = '' ; </v>
      </c>
      <c r="T30" s="28" t="str">
        <f>REPT(CHAR(9),3)&amp;"this."&amp;D30&amp;","</f>
        <v xml:space="preserve">			this.ceptType,</v>
      </c>
      <c r="U30" s="28" t="str">
        <f>IF(E30="int",REPT(CHAR(9),2)&amp;"this."&amp;D30&amp;" = 0,",REPT(CHAR(9),2)&amp;"this."&amp;D30&amp;" = '',")</f>
        <v xml:space="preserve">		this.ceptType = '',</v>
      </c>
      <c r="V30" s="28" t="str">
        <f t="shared" si="68"/>
        <v/>
      </c>
    </row>
    <row r="31" spans="1:22" ht="18" customHeight="1" x14ac:dyDescent="0.25">
      <c r="A31" s="28" t="s">
        <v>372</v>
      </c>
      <c r="B31" s="28" t="str">
        <f t="shared" si="60"/>
        <v>Currency</v>
      </c>
      <c r="C31" s="28" t="str">
        <f t="shared" si="61"/>
        <v>Currency</v>
      </c>
      <c r="D31" s="28" t="str">
        <f t="shared" si="62"/>
        <v>currency</v>
      </c>
      <c r="E31" s="28" t="str">
        <f>A.Backend!H25</f>
        <v>string</v>
      </c>
      <c r="F31" s="28" t="str">
        <f>A.Backend!G25</f>
        <v>20</v>
      </c>
      <c r="G31" s="28" t="str">
        <f t="shared" si="63"/>
        <v xml:space="preserve"> : string = '' ; </v>
      </c>
      <c r="H31" s="35" t="str">
        <f t="shared" si="64"/>
        <v xml:space="preserve">			{headerName: this.l('Currency'),headerTooltip: this.l('Currency'),field: 'currency',flex: 1},</v>
      </c>
      <c r="I31" s="35" t="str">
        <f t="shared" si="65"/>
        <v xml:space="preserve">								&lt;div class='input-search'&gt;
									&lt;input [(ngModel)]='currency' name='currency'
									class='form-control' [placeholder]="l('Currency')"
									type='text' (keyup.enter)='searchDatas()'&gt;
								&lt;/div&gt;</v>
      </c>
      <c r="J31" s="28"/>
      <c r="K31" s="35" t="str">
        <f t="shared" si="66"/>
        <v xml:space="preserve">					&lt;div class='col-md-12 form-group row'&gt;
						&lt;label class='col-md-2 form-control title'&gt;Currency&lt;/label&gt;
						&lt;input type='text' class='col-md-10 form-control input-text' name='Currency' [(ngModel)]='rowdata.currency'&gt;
					&lt;/div&gt;</v>
      </c>
      <c r="L31" s="56" t="str">
        <f t="shared" si="67"/>
        <v/>
      </c>
      <c r="M31" s="28"/>
      <c r="N31" s="28"/>
      <c r="O31" s="28"/>
      <c r="P31" s="28"/>
      <c r="Q31" s="28"/>
      <c r="R31" s="28"/>
      <c r="S31" s="28" t="str">
        <f t="shared" ref="S31" si="72">REPT(CHAR(9),1)&amp;D31&amp;G31</f>
        <v xml:space="preserve">	currency : string = '' ; </v>
      </c>
      <c r="T31" s="28" t="str">
        <f t="shared" ref="T31" si="73">REPT(CHAR(9),3)&amp;"this."&amp;D31&amp;","</f>
        <v xml:space="preserve">			this.currency,</v>
      </c>
      <c r="U31" s="28" t="str">
        <f t="shared" ref="U31" si="74">IF(E31="int",REPT(CHAR(9),2)&amp;"this."&amp;D31&amp;" = 0,",REPT(CHAR(9),2)&amp;"this."&amp;D31&amp;" = '',")</f>
        <v xml:space="preserve">		this.currency = '',</v>
      </c>
      <c r="V31" s="28" t="str">
        <f t="shared" si="68"/>
        <v/>
      </c>
    </row>
    <row r="32" spans="1:22" ht="18" customHeight="1" x14ac:dyDescent="0.25">
      <c r="A32" s="28" t="s">
        <v>373</v>
      </c>
      <c r="B32" s="28" t="str">
        <f>SUBSTITUTE(PROPER(A32),"_","")</f>
        <v>Remarks</v>
      </c>
      <c r="C32" s="28" t="str">
        <f>SUBSTITUTE(PROPER(A32),"_"," ")</f>
        <v>Remarks</v>
      </c>
      <c r="D32" s="28" t="str">
        <f>LOWER(LEFT(B32,1))&amp;RIGHT(B32,LEN(B32) - 1)</f>
        <v>remarks</v>
      </c>
      <c r="E32" s="28" t="str">
        <f>A.Backend!H26</f>
        <v>string</v>
      </c>
      <c r="F32" s="28" t="str">
        <f>A.Backend!G26</f>
        <v>1000</v>
      </c>
      <c r="G32" s="28" t="str">
        <f>IF(E32="string"," : string = '' ; ",IF(OR(E32="DateTime",E32="TimeSpan")," : any ;",IF(E32="int"," : number = 0 ;","")))</f>
        <v xml:space="preserve"> : string = '' ; </v>
      </c>
      <c r="H32" s="35" t="str">
        <f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this.l('Remarks'),headerTooltip: this.l('Remarks'),field: 'remarks',flex: 1},</v>
      </c>
      <c r="I32" s="35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32" s="28"/>
      <c r="K32" s="35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32" s="56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>D32&amp;G32</f>
        <v xml:space="preserve">remarks : string = '' ; </v>
      </c>
      <c r="T32" s="28" t="str">
        <f>REPT(CHAR(9),3)&amp;"this."&amp;D32&amp;","</f>
        <v xml:space="preserve">			this.remarks,</v>
      </c>
      <c r="U32" s="28" t="str">
        <f>IF(E32="int","this."&amp;D32&amp;" = 0,","this."&amp;D32&amp;" = '',")</f>
        <v>this.remarks = '',</v>
      </c>
      <c r="V32" s="28" t="str">
        <f>IF(AND(E32="string",F32="1"),D32,"")</f>
        <v/>
      </c>
    </row>
    <row r="33" spans="1:22" ht="15" customHeight="1" x14ac:dyDescent="0.25">
      <c r="A33" s="28" t="s">
        <v>374</v>
      </c>
      <c r="B33" s="28" t="str">
        <f t="shared" ref="B33:B36" si="75">SUBSTITUTE(PROPER(A33),"_","")</f>
        <v>SupplierNo</v>
      </c>
      <c r="C33" s="28" t="str">
        <f t="shared" ref="C33:C36" si="76">SUBSTITUTE(PROPER(A33),"_"," ")</f>
        <v>Supplier No</v>
      </c>
      <c r="D33" s="28" t="str">
        <f t="shared" ref="D33:D36" si="77">LOWER(LEFT(B33,1))&amp;RIGHT(B33,LEN(B33) - 1)</f>
        <v>supplierNo</v>
      </c>
      <c r="E33" s="28" t="str">
        <f>A.Backend!H27</f>
        <v>string</v>
      </c>
      <c r="F33" s="28" t="str">
        <f>A.Backend!G27</f>
        <v>10</v>
      </c>
      <c r="G33" s="28" t="str">
        <f t="shared" ref="G33:G36" si="78">IF(E33="string"," : string = '' ; ",IF(OR(E33="DateTime",E33="TimeSpan")," : any ;",IF(E33="int"," : number = 0 ;","")))</f>
        <v xml:space="preserve"> : string = '' ; </v>
      </c>
      <c r="H33" s="35" t="str">
        <f t="shared" ref="H33:H36" si="79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this.l('Supplier No'),headerTooltip: this.l('Supplier No'),field: 'supplierNo',flex: 1},</v>
      </c>
      <c r="I33" s="35" t="str">
        <f t="shared" ref="I33:I36" si="80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33" s="28"/>
      <c r="K33" s="35" t="str">
        <f t="shared" ref="K33:K36" si="81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33" s="56" t="str">
        <f t="shared" ref="L33:L36" si="82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>REPT(CHAR(9),1)&amp;D33&amp;G33</f>
        <v xml:space="preserve">	supplierNo : string = '' ; </v>
      </c>
      <c r="T33" s="28" t="str">
        <f>REPT(CHAR(9),3)&amp;"this."&amp;D33&amp;","</f>
        <v xml:space="preserve">			this.supplierNo,</v>
      </c>
      <c r="U33" s="28" t="str">
        <f>IF(E33="int",REPT(CHAR(9),2)&amp;"this."&amp;D33&amp;" = 0,",REPT(CHAR(9),2)&amp;"this."&amp;D33&amp;" = '',")</f>
        <v xml:space="preserve">		this.supplierNo = '',</v>
      </c>
      <c r="V33" s="28" t="str">
        <f t="shared" ref="V33:V36" si="83">IF(AND(E33="string",F33="1"),D33,"")</f>
        <v/>
      </c>
    </row>
    <row r="34" spans="1:22" ht="18" customHeight="1" x14ac:dyDescent="0.25">
      <c r="A34" s="28" t="s">
        <v>375</v>
      </c>
      <c r="B34" s="28" t="str">
        <f t="shared" si="75"/>
        <v>Quantity</v>
      </c>
      <c r="C34" s="28" t="str">
        <f t="shared" si="76"/>
        <v>Quantity</v>
      </c>
      <c r="D34" s="28" t="str">
        <f t="shared" si="77"/>
        <v>quantity</v>
      </c>
      <c r="E34" s="28" t="str">
        <f>A.Backend!H28</f>
        <v>int?</v>
      </c>
      <c r="F34" s="28" t="str">
        <f>A.Backend!G28</f>
        <v/>
      </c>
      <c r="G34" s="28" t="str">
        <f t="shared" si="78"/>
        <v/>
      </c>
      <c r="H34" s="35" t="str">
        <f t="shared" si="79"/>
        <v xml:space="preserve">			{headerName: this.l('Quantity'),headerTooltip: this.l('Quantity'),field: 'quantity',flex: 1},</v>
      </c>
      <c r="I34" s="35" t="str">
        <f t="shared" si="80"/>
        <v/>
      </c>
      <c r="J34" s="28"/>
      <c r="K34" s="35" t="str">
        <f t="shared" si="81"/>
        <v/>
      </c>
      <c r="L34" s="56" t="str">
        <f t="shared" si="82"/>
        <v/>
      </c>
      <c r="M34" s="28"/>
      <c r="N34" s="28"/>
      <c r="O34" s="28"/>
      <c r="P34" s="28"/>
      <c r="Q34" s="28"/>
      <c r="R34" s="28"/>
      <c r="S34" s="28" t="str">
        <f t="shared" ref="S34" si="84">REPT(CHAR(9),1)&amp;D34&amp;G34</f>
        <v xml:space="preserve">	quantity</v>
      </c>
      <c r="T34" s="28" t="str">
        <f t="shared" ref="T34" si="85">REPT(CHAR(9),3)&amp;"this."&amp;D34&amp;","</f>
        <v xml:space="preserve">			this.quantity,</v>
      </c>
      <c r="U34" s="28" t="str">
        <f t="shared" ref="U34" si="86">IF(E34="int",REPT(CHAR(9),2)&amp;"this."&amp;D34&amp;" = 0,",REPT(CHAR(9),2)&amp;"this."&amp;D34&amp;" = '',")</f>
        <v xml:space="preserve">		this.quantity = '',</v>
      </c>
      <c r="V34" s="28" t="str">
        <f t="shared" si="83"/>
        <v/>
      </c>
    </row>
    <row r="35" spans="1:22" ht="15" customHeight="1" x14ac:dyDescent="0.25">
      <c r="A35" s="28" t="s">
        <v>376</v>
      </c>
      <c r="B35" s="28" t="str">
        <f t="shared" si="75"/>
        <v>Flag</v>
      </c>
      <c r="C35" s="28" t="str">
        <f t="shared" si="76"/>
        <v>Flag</v>
      </c>
      <c r="D35" s="28" t="str">
        <f t="shared" si="77"/>
        <v>flag</v>
      </c>
      <c r="E35" s="28" t="str">
        <f>A.Backend!H29</f>
        <v>int?</v>
      </c>
      <c r="F35" s="28" t="str">
        <f>A.Backend!G29</f>
        <v/>
      </c>
      <c r="G35" s="28" t="str">
        <f t="shared" si="78"/>
        <v/>
      </c>
      <c r="H35" s="35" t="str">
        <f t="shared" si="79"/>
        <v xml:space="preserve">			{headerName: this.l('Flag'),headerTooltip: this.l('Flag'),field: 'flag',flex: 1},</v>
      </c>
      <c r="I35" s="35" t="str">
        <f t="shared" si="80"/>
        <v/>
      </c>
      <c r="J35" s="28"/>
      <c r="K35" s="35" t="str">
        <f t="shared" si="81"/>
        <v/>
      </c>
      <c r="L35" s="56" t="str">
        <f t="shared" si="82"/>
        <v/>
      </c>
      <c r="M35" s="28"/>
      <c r="N35" s="28"/>
      <c r="O35" s="28"/>
      <c r="P35" s="28"/>
      <c r="Q35" s="28"/>
      <c r="R35" s="28"/>
      <c r="S35" s="28" t="str">
        <f>REPT(CHAR(9),1)&amp;D35&amp;G35</f>
        <v xml:space="preserve">	flag</v>
      </c>
      <c r="T35" s="28" t="str">
        <f>REPT(CHAR(9),3)&amp;"this."&amp;D35&amp;","</f>
        <v xml:space="preserve">			this.flag,</v>
      </c>
      <c r="U35" s="28" t="str">
        <f>IF(E35="int",REPT(CHAR(9),2)&amp;"this."&amp;D35&amp;" = 0,",REPT(CHAR(9),2)&amp;"this."&amp;D35&amp;" = '',")</f>
        <v xml:space="preserve">		this.flag = '',</v>
      </c>
      <c r="V35" s="28" t="str">
        <f t="shared" si="83"/>
        <v/>
      </c>
    </row>
    <row r="36" spans="1:22" ht="18" customHeight="1" x14ac:dyDescent="0.25">
      <c r="A36" s="28" t="s">
        <v>377</v>
      </c>
      <c r="B36" s="28" t="str">
        <f t="shared" si="75"/>
        <v>Freezed</v>
      </c>
      <c r="C36" s="28" t="str">
        <f t="shared" si="76"/>
        <v>Freezed</v>
      </c>
      <c r="D36" s="28" t="str">
        <f t="shared" si="77"/>
        <v>freezed</v>
      </c>
      <c r="E36" s="28" t="str">
        <f>A.Backend!H30</f>
        <v>int?</v>
      </c>
      <c r="F36" s="28" t="str">
        <f>A.Backend!G30</f>
        <v/>
      </c>
      <c r="G36" s="28" t="str">
        <f t="shared" si="78"/>
        <v/>
      </c>
      <c r="H36" s="35" t="str">
        <f t="shared" si="79"/>
        <v xml:space="preserve">			{headerName: this.l('Freezed'),headerTooltip: this.l('Freezed'),field: 'freezed',flex: 1},</v>
      </c>
      <c r="I36" s="35" t="str">
        <f t="shared" si="80"/>
        <v/>
      </c>
      <c r="J36" s="28"/>
      <c r="K36" s="35" t="str">
        <f t="shared" si="81"/>
        <v/>
      </c>
      <c r="L36" s="56" t="str">
        <f t="shared" si="82"/>
        <v/>
      </c>
      <c r="M36" s="28"/>
      <c r="N36" s="28"/>
      <c r="O36" s="28"/>
      <c r="P36" s="28"/>
      <c r="Q36" s="28"/>
      <c r="R36" s="28"/>
      <c r="S36" s="28" t="str">
        <f t="shared" ref="S36" si="87">REPT(CHAR(9),1)&amp;D36&amp;G36</f>
        <v xml:space="preserve">	freezed</v>
      </c>
      <c r="T36" s="28" t="str">
        <f t="shared" ref="T36" si="88">REPT(CHAR(9),3)&amp;"this."&amp;D36&amp;","</f>
        <v xml:space="preserve">			this.freezed,</v>
      </c>
      <c r="U36" s="28" t="str">
        <f t="shared" ref="U36" si="89">IF(E36="int",REPT(CHAR(9),2)&amp;"this."&amp;D36&amp;" = 0,",REPT(CHAR(9),2)&amp;"this."&amp;D36&amp;" = '',")</f>
        <v xml:space="preserve">		this.freezed = '',</v>
      </c>
      <c r="V36" s="28" t="str">
        <f t="shared" si="83"/>
        <v/>
      </c>
    </row>
    <row r="37" spans="1:22" ht="18" customHeight="1" x14ac:dyDescent="0.25">
      <c r="A37" s="28" t="s">
        <v>378</v>
      </c>
      <c r="B37" s="28" t="str">
        <f>SUBSTITUTE(PROPER(A37),"_","")</f>
        <v>SourceType</v>
      </c>
      <c r="C37" s="28" t="str">
        <f>SUBSTITUTE(PROPER(A37),"_"," ")</f>
        <v>Source Type</v>
      </c>
      <c r="D37" s="28" t="str">
        <f>LOWER(LEFT(B37,1))&amp;RIGHT(B37,LEN(B37) - 1)</f>
        <v>sourceType</v>
      </c>
      <c r="E37" s="28" t="str">
        <f>A.Backend!H31</f>
        <v>string</v>
      </c>
      <c r="F37" s="28" t="str">
        <f>A.Backend!G31</f>
        <v>2</v>
      </c>
      <c r="G37" s="28" t="str">
        <f>IF(E37="string"," : string = '' ; ",IF(OR(E37="DateTime",E37="TimeSpan")," : any ;",IF(E37="int"," : number = 0 ;","")))</f>
        <v xml:space="preserve"> : string = '' ; </v>
      </c>
      <c r="H37" s="35" t="str">
        <f>IF(E37="DateTime",
REPT(CHAR(9),3)&amp;"{headerName: this.l('"&amp;C37&amp;"'),headerTooltip: this.l('"&amp;C37&amp;"'),field: '"&amp;D37&amp;"',valueGetter: (params) =&gt; this.pipe.transform(params.data?."&amp;D37&amp;", 'dd/MM/yyyy'),flex: 1},",
IF(AND(E37="string",F37="1"),
REPT(CHAR(9),3)&amp;"{headerName: this.l('"&amp;C37&amp;"'),headerTooltip: this.l('"&amp;C37&amp;"'),field:  '"&amp;D37&amp;"', cellClass: ['text-center'], width: 120, cellRenderer: 'agCellButtonComponent',
buttonDefTwo: { text: params =&gt; (params.data?.'"&amp;D37&amp;"' == 'Y') ? 'Active' : 'Inactive',iconName: 'fa fa-circle',className: params =&gt; (params.data?.'"&amp;D37&amp;"' == 'Y') ? 'btnActive' : 'btnInActive',},}",
REPT(CHAR(9),3)&amp;"{headerName: this.l('"&amp;C37&amp;"'),headerTooltip: this.l('"&amp;C37&amp;"'),field: '"&amp;D37&amp;"',flex: 1},"))</f>
        <v xml:space="preserve">			{headerName: this.l('Source Type'),headerTooltip: this.l('Source Type'),field: 'sourceType',flex: 1},</v>
      </c>
      <c r="I37" s="35" t="str">
        <f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IF(E37="string",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 xml:space="preserve">								&lt;div class='input-search'&gt;
									&lt;input [(ngModel)]='sourceType' name='sourceType'
									class='form-control' [placeholder]="l('Source Type')"
									type='text' (keyup.enter)='searchDatas()'&gt;
								&lt;/div&gt;</v>
      </c>
      <c r="J37" s="28"/>
      <c r="K37" s="35" t="str">
        <f>IF(OR(E37="DateTime",E37="TimeSpan"),
REPT(CHAR(9),5)&amp;"&lt;div class='col-md-12 form-group row'&gt;
"&amp;REPT(CHAR(9),6)&amp;"&lt;label class='col-md-2 form-control title'&gt;"&amp;C37&amp;"&lt;/label&gt;
"&amp;REPT(CHAR(9),6)&amp;"&lt;input type='text' class='col-md-10 form-control input-text' name='"&amp;D37&amp;"' 
"&amp;REPT(CHAR(9),6)&amp;"#datepicker='bsDatepicker' [(ngModel)]='rowdata."&amp;D37&amp;"'  bsDatepicker &gt;
"&amp;REPT(CHAR(9),5)&amp;"&lt;/div&gt;",
IF(AND(E37="string",F37="1"),
REPT(CHAR(9),5)&amp;"&lt;div class='col-md-12 form-group row'&gt;
"&amp;REPT(CHAR(9),6)&amp;"&lt;label class='col-md-2 form-control title'&gt;"&amp;C37&amp;"&lt;/label&gt;
"&amp;REPT(CHAR(9),6)&amp;"&lt;new-checkbox [(ngModel)]='_"&amp;D37&amp;"' name='"&amp;D37&amp;"' className='col-md-10' &gt; &lt;/new-checkbox&gt;
"&amp;REPT(CHAR(9),5)&amp;"&lt;/div&gt;",
IF(E37="string",
REPT(CHAR(9),5)&amp;"&lt;div class='col-md-12 form-group row'&gt;
"&amp;REPT(CHAR(9),6)&amp;"&lt;label class='col-md-2 form-control title'&gt;"&amp;C37&amp;"&lt;/label&gt;
"&amp;REPT(CHAR(9),6)&amp;"&lt;input type='text' class='col-md-10 form-control input-text' name='"&amp;B37&amp;"' [(ngModel)]='rowdata."&amp;D37&amp;"'&gt;
"&amp;REPT(CHAR(9),5)&amp;"&lt;/div&gt;",
IF(E37="int",
REPT(CHAR(9),5)&amp;"&lt;div class='col-md-12 form-group row'&gt;
"&amp;REPT(CHAR(9),6)&amp;"&lt;label class='col-md-2 form-control title'&gt;"&amp;C37&amp;"&lt;/label&gt;
"&amp;REPT(CHAR(9),6)&amp;"&lt;input type='number' class='col-md-10 form-control input-text' name='"&amp;B37&amp;"' [(ngModel)]='rowdata."&amp;D37&amp;"'&gt;
"&amp;REPT(CHAR(9),5)&amp;"&lt;/div&gt;",""))))</f>
        <v xml:space="preserve">					&lt;div class='col-md-12 form-group row'&gt;
						&lt;label class='col-md-2 form-control title'&gt;Source Type&lt;/label&gt;
						&lt;input type='text' class='col-md-10 form-control input-text' name='SourceType' [(ngModel)]='rowdata.sourceType'&gt;
					&lt;/div&gt;</v>
      </c>
      <c r="L37" s="56" t="str">
        <f>IF(E37="DateTime",
REPT(CHAR(9),2)&amp;"const dateValue =  this.rowdata."&amp;D37&amp;" ? new Date(this.rowdata."&amp;D37&amp;"?.toString()) : new Date();
"&amp;REPT(CHAR(9),2)&amp;"this.datepicker?.bsValueChange.emit(dateValue);","")</f>
        <v/>
      </c>
      <c r="M37" s="28"/>
      <c r="N37" s="28"/>
      <c r="O37" s="28"/>
      <c r="P37" s="28"/>
      <c r="Q37" s="28"/>
      <c r="R37" s="28"/>
      <c r="S37" s="28" t="str">
        <f>D37&amp;G37</f>
        <v xml:space="preserve">sourceType : string = '' ; </v>
      </c>
      <c r="T37" s="28" t="str">
        <f>REPT(CHAR(9),3)&amp;"this."&amp;D37&amp;","</f>
        <v xml:space="preserve">			this.sourceType,</v>
      </c>
      <c r="U37" s="28" t="str">
        <f>IF(E37="int","this."&amp;D37&amp;" = 0,","this."&amp;D37&amp;" = '',")</f>
        <v>this.sourceType = '',</v>
      </c>
      <c r="V37" s="28" t="str">
        <f>IF(AND(E37="string",F37="1"),D37,"")</f>
        <v/>
      </c>
    </row>
    <row r="38" spans="1:22" ht="15" customHeight="1" x14ac:dyDescent="0.25">
      <c r="A38" s="28" t="s">
        <v>379</v>
      </c>
      <c r="B38" s="28" t="str">
        <f t="shared" ref="B38:B41" si="90">SUBSTITUTE(PROPER(A38),"_","")</f>
        <v>StatusErr</v>
      </c>
      <c r="C38" s="28" t="str">
        <f t="shared" ref="C38:C41" si="91">SUBSTITUTE(PROPER(A38),"_"," ")</f>
        <v>Status Err</v>
      </c>
      <c r="D38" s="28" t="str">
        <f t="shared" ref="D38:D41" si="92">LOWER(LEFT(B38,1))&amp;RIGHT(B38,LEN(B38) - 1)</f>
        <v>statusErr</v>
      </c>
      <c r="E38" s="28" t="str">
        <f>A.Backend!H32</f>
        <v>string</v>
      </c>
      <c r="F38" s="28" t="str">
        <f>A.Backend!G32</f>
        <v>1000</v>
      </c>
      <c r="G38" s="28" t="str">
        <f t="shared" ref="G38:G41" si="93">IF(E38="string"," : string = '' ; ",IF(OR(E38="DateTime",E38="TimeSpan")," : any ;",IF(E38="int"," : number = 0 ;","")))</f>
        <v xml:space="preserve"> : string = '' ; </v>
      </c>
      <c r="H38" s="35" t="str">
        <f t="shared" ref="H38:H41" si="94">IF(E38="DateTime",
REPT(CHAR(9),3)&amp;"{headerName: this.l('"&amp;C38&amp;"'),headerTooltip: this.l('"&amp;C38&amp;"'),field: '"&amp;D38&amp;"',valueGetter: (params) =&gt; this.pipe.transform(params.data?."&amp;D38&amp;", 'dd/MM/yyyy'),flex: 1},",
IF(AND(E38="string",F38="1"),
REPT(CHAR(9),3)&amp;"{headerName: this.l('"&amp;C38&amp;"'),headerTooltip: this.l('"&amp;C38&amp;"'),field:  '"&amp;D38&amp;"', cellClass: ['text-center'], width: 120, cellRenderer: 'agCellButtonComponent',
buttonDefTwo: { text: params =&gt; (params.data?.'"&amp;D38&amp;"' == 'Y') ? 'Active' : 'Inactive',iconName: 'fa fa-circle',className: params =&gt; (params.data?.'"&amp;D38&amp;"' == 'Y') ? 'btnActive' : 'btnInActive',},}",
REPT(CHAR(9),3)&amp;"{headerName: this.l('"&amp;C38&amp;"'),headerTooltip: this.l('"&amp;C38&amp;"'),field: '"&amp;D38&amp;"',flex: 1},"))</f>
        <v xml:space="preserve">			{headerName: this.l('Status Err'),headerTooltip: this.l('Status Err'),field: 'statusErr',flex: 1},</v>
      </c>
      <c r="I38" s="35" t="str">
        <f t="shared" ref="I38:I41" si="95"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IF(E38="string",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 xml:space="preserve">								&lt;div class='input-search'&gt;
									&lt;input [(ngModel)]='statusErr' name='statusErr'
									class='form-control' [placeholder]="l('Status Err')"
									type='text' (keyup.enter)='searchDatas()'&gt;
								&lt;/div&gt;</v>
      </c>
      <c r="J38" s="28"/>
      <c r="K38" s="35" t="str">
        <f t="shared" ref="K38:K41" si="96">IF(OR(E38="DateTime",E38="TimeSpan"),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IF(E38="int",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 xml:space="preserve">					&lt;div class='col-md-12 form-group row'&gt;
						&lt;label class='col-md-2 form-control title'&gt;Status Err&lt;/label&gt;
						&lt;input type='text' class='col-md-10 form-control input-text' name='StatusErr' [(ngModel)]='rowdata.statusErr'&gt;
					&lt;/div&gt;</v>
      </c>
      <c r="L38" s="56" t="str">
        <f t="shared" ref="L38:L41" si="97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>REPT(CHAR(9),1)&amp;D38&amp;G38</f>
        <v xml:space="preserve">	statusErr : string = '' ; </v>
      </c>
      <c r="T38" s="28" t="str">
        <f>REPT(CHAR(9),3)&amp;"this."&amp;D38&amp;","</f>
        <v xml:space="preserve">			this.statusErr,</v>
      </c>
      <c r="U38" s="28" t="str">
        <f>IF(E38="int",REPT(CHAR(9),2)&amp;"this."&amp;D38&amp;" = 0,",REPT(CHAR(9),2)&amp;"this."&amp;D38&amp;" = '',")</f>
        <v xml:space="preserve">		this.statusErr = '',</v>
      </c>
      <c r="V38" s="28" t="str">
        <f t="shared" ref="V38:V41" si="98">IF(AND(E38="string",F38="1"),D38,"")</f>
        <v/>
      </c>
    </row>
    <row r="39" spans="1:22" ht="18" customHeight="1" x14ac:dyDescent="0.25">
      <c r="A39" s="28" t="s">
        <v>380</v>
      </c>
      <c r="B39" s="28" t="str">
        <f t="shared" si="90"/>
        <v>LastOrdertype</v>
      </c>
      <c r="C39" s="28" t="str">
        <f t="shared" si="91"/>
        <v>Last Ordertype</v>
      </c>
      <c r="D39" s="28" t="str">
        <f t="shared" si="92"/>
        <v>lastOrdertype</v>
      </c>
      <c r="E39" s="28" t="str">
        <f>A.Backend!H33</f>
        <v>string</v>
      </c>
      <c r="F39" s="28" t="str">
        <f>A.Backend!G33</f>
        <v>4</v>
      </c>
      <c r="G39" s="28" t="str">
        <f t="shared" si="93"/>
        <v xml:space="preserve"> : string = '' ; </v>
      </c>
      <c r="H39" s="35" t="str">
        <f t="shared" si="94"/>
        <v xml:space="preserve">			{headerName: this.l('Last Ordertype'),headerTooltip: this.l('Last Ordertype'),field: 'lastOrdertype',flex: 1},</v>
      </c>
      <c r="I39" s="35" t="str">
        <f t="shared" si="95"/>
        <v xml:space="preserve">								&lt;div class='input-search'&gt;
									&lt;input [(ngModel)]='lastOrdertype' name='lastOrdertype'
									class='form-control' [placeholder]="l('Last Ordertype')"
									type='text' (keyup.enter)='searchDatas()'&gt;
								&lt;/div&gt;</v>
      </c>
      <c r="J39" s="28"/>
      <c r="K39" s="35" t="str">
        <f t="shared" si="96"/>
        <v xml:space="preserve">					&lt;div class='col-md-12 form-group row'&gt;
						&lt;label class='col-md-2 form-control title'&gt;Last Ordertype&lt;/label&gt;
						&lt;input type='text' class='col-md-10 form-control input-text' name='LastOrdertype' [(ngModel)]='rowdata.lastOrdertype'&gt;
					&lt;/div&gt;</v>
      </c>
      <c r="L39" s="56" t="str">
        <f t="shared" si="97"/>
        <v/>
      </c>
      <c r="M39" s="28"/>
      <c r="N39" s="28"/>
      <c r="O39" s="28"/>
      <c r="P39" s="28"/>
      <c r="Q39" s="28"/>
      <c r="R39" s="28"/>
      <c r="S39" s="28" t="str">
        <f t="shared" ref="S39" si="99">REPT(CHAR(9),1)&amp;D39&amp;G39</f>
        <v xml:space="preserve">	lastOrdertype : string = '' ; </v>
      </c>
      <c r="T39" s="28" t="str">
        <f t="shared" ref="T39" si="100">REPT(CHAR(9),3)&amp;"this."&amp;D39&amp;","</f>
        <v xml:space="preserve">			this.lastOrdertype,</v>
      </c>
      <c r="U39" s="28" t="str">
        <f t="shared" ref="U39" si="101">IF(E39="int",REPT(CHAR(9),2)&amp;"this."&amp;D39&amp;" = 0,",REPT(CHAR(9),2)&amp;"this."&amp;D39&amp;" = '',")</f>
        <v xml:space="preserve">		this.lastOrdertype = '',</v>
      </c>
      <c r="V39" s="28" t="str">
        <f t="shared" si="98"/>
        <v/>
      </c>
    </row>
    <row r="40" spans="1:22" ht="15" customHeight="1" x14ac:dyDescent="0.25">
      <c r="A40" s="28" t="s">
        <v>354</v>
      </c>
      <c r="B40" s="28" t="str">
        <f t="shared" si="90"/>
        <v>Status</v>
      </c>
      <c r="C40" s="28" t="str">
        <f t="shared" si="91"/>
        <v>Status</v>
      </c>
      <c r="D40" s="28" t="str">
        <f t="shared" si="92"/>
        <v>status</v>
      </c>
      <c r="E40" s="28" t="str">
        <f>A.Backend!H34</f>
        <v>string</v>
      </c>
      <c r="F40" s="28" t="str">
        <f>A.Backend!G34</f>
        <v>10</v>
      </c>
      <c r="G40" s="28" t="str">
        <f t="shared" si="93"/>
        <v xml:space="preserve"> : string = '' ; </v>
      </c>
      <c r="H40" s="35" t="str">
        <f t="shared" si="94"/>
        <v xml:space="preserve">			{headerName: this.l('Status'),headerTooltip: this.l('Status'),field: 'status',flex: 1},</v>
      </c>
      <c r="I40" s="35" t="str">
        <f t="shared" si="9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40" s="28"/>
      <c r="K40" s="35" t="str">
        <f t="shared" si="9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40" s="56" t="str">
        <f t="shared" si="97"/>
        <v/>
      </c>
      <c r="M40" s="28"/>
      <c r="N40" s="28"/>
      <c r="O40" s="28"/>
      <c r="P40" s="28"/>
      <c r="Q40" s="28"/>
      <c r="R40" s="28"/>
      <c r="S40" s="28" t="str">
        <f>REPT(CHAR(9),1)&amp;D40&amp;G40</f>
        <v xml:space="preserve">	status : string = '' ; </v>
      </c>
      <c r="T40" s="28" t="str">
        <f>REPT(CHAR(9),3)&amp;"this."&amp;D40&amp;","</f>
        <v xml:space="preserve">			this.status,</v>
      </c>
      <c r="U40" s="28" t="str">
        <f>IF(E40="int",REPT(CHAR(9),2)&amp;"this."&amp;D40&amp;" = 0,",REPT(CHAR(9),2)&amp;"this."&amp;D40&amp;" = '',")</f>
        <v xml:space="preserve">		this.status = '',</v>
      </c>
      <c r="V40" s="28" t="str">
        <f t="shared" si="98"/>
        <v/>
      </c>
    </row>
    <row r="41" spans="1:22" ht="18" customHeight="1" x14ac:dyDescent="0.25">
      <c r="A41" s="28" t="s">
        <v>381</v>
      </c>
      <c r="B41" s="28" t="str">
        <f t="shared" si="90"/>
        <v>FobVn</v>
      </c>
      <c r="C41" s="28" t="str">
        <f t="shared" si="91"/>
        <v>Fob Vn</v>
      </c>
      <c r="D41" s="28" t="str">
        <f t="shared" si="92"/>
        <v>fobVn</v>
      </c>
      <c r="E41" s="28" t="str">
        <f>A.Backend!H35</f>
        <v>decimal?</v>
      </c>
      <c r="F41" s="28" t="str">
        <f>A.Backend!G35</f>
        <v>18,5</v>
      </c>
      <c r="G41" s="28" t="str">
        <f t="shared" si="93"/>
        <v/>
      </c>
      <c r="H41" s="35" t="str">
        <f t="shared" si="94"/>
        <v xml:space="preserve">			{headerName: this.l('Fob Vn'),headerTooltip: this.l('Fob Vn'),field: 'fobVn',flex: 1},</v>
      </c>
      <c r="I41" s="35" t="str">
        <f t="shared" si="95"/>
        <v/>
      </c>
      <c r="J41" s="28"/>
      <c r="K41" s="35" t="str">
        <f t="shared" si="96"/>
        <v/>
      </c>
      <c r="L41" s="56" t="str">
        <f t="shared" si="97"/>
        <v/>
      </c>
      <c r="M41" s="28"/>
      <c r="N41" s="28"/>
      <c r="O41" s="28"/>
      <c r="P41" s="28"/>
      <c r="Q41" s="28"/>
      <c r="R41" s="28"/>
      <c r="S41" s="28" t="str">
        <f t="shared" ref="S41" si="102">REPT(CHAR(9),1)&amp;D41&amp;G41</f>
        <v xml:space="preserve">	fobVn</v>
      </c>
      <c r="T41" s="28" t="str">
        <f t="shared" ref="T41" si="103">REPT(CHAR(9),3)&amp;"this."&amp;D41&amp;","</f>
        <v xml:space="preserve">			this.fobVn,</v>
      </c>
      <c r="U41" s="28" t="str">
        <f t="shared" ref="U41" si="104">IF(E41="int",REPT(CHAR(9),2)&amp;"this."&amp;D41&amp;" = 0,",REPT(CHAR(9),2)&amp;"this."&amp;D41&amp;" = '',")</f>
        <v xml:space="preserve">		this.fobVn = '',</v>
      </c>
      <c r="V41" s="28" t="str">
        <f t="shared" si="98"/>
        <v/>
      </c>
    </row>
    <row r="42" spans="1:22" ht="18" customHeight="1" x14ac:dyDescent="0.25">
      <c r="A42" s="28" t="s">
        <v>382</v>
      </c>
      <c r="B42" s="28" t="str">
        <f>SUBSTITUTE(PROPER(A42),"_","")</f>
        <v>FreightTotalVn</v>
      </c>
      <c r="C42" s="28" t="str">
        <f>SUBSTITUTE(PROPER(A42),"_"," ")</f>
        <v>Freight Total Vn</v>
      </c>
      <c r="D42" s="28" t="str">
        <f>LOWER(LEFT(B42,1))&amp;RIGHT(B42,LEN(B42) - 1)</f>
        <v>freightTotalVn</v>
      </c>
      <c r="E42" s="28" t="str">
        <f>A.Backend!H36</f>
        <v>decimal?</v>
      </c>
      <c r="F42" s="28" t="str">
        <f>A.Backend!G36</f>
        <v>18,5</v>
      </c>
      <c r="G42" s="28" t="str">
        <f>IF(E42="string"," : string = '' ; ",IF(OR(E42="DateTime",E42="TimeSpan")," : any ;",IF(E42="int"," : number = 0 ;","")))</f>
        <v/>
      </c>
      <c r="H42" s="35" t="str">
        <f>IF(E42="DateTime",
REPT(CHAR(9),3)&amp;"{headerName: this.l('"&amp;C42&amp;"'),headerTooltip: this.l('"&amp;C42&amp;"'),field: '"&amp;D42&amp;"',valueGetter: (params) =&gt; this.pipe.transform(params.data?."&amp;D42&amp;", 'dd/MM/yyyy'),flex: 1},",
IF(AND(E42="string",F42="1"),
REPT(CHAR(9),3)&amp;"{headerName: this.l('"&amp;C42&amp;"'),headerTooltip: this.l('"&amp;C42&amp;"'),field:  '"&amp;D42&amp;"', cellClass: ['text-center'], width: 120, cellRenderer: 'agCellButtonComponent',
buttonDefTwo: { text: params =&gt; (params.data?.'"&amp;D42&amp;"' == 'Y') ? 'Active' : 'Inactive',iconName: 'fa fa-circle',className: params =&gt; (params.data?.'"&amp;D42&amp;"' == 'Y') ? 'btnActive' : 'btnInActive',},}",
REPT(CHAR(9),3)&amp;"{headerName: this.l('"&amp;C42&amp;"'),headerTooltip: this.l('"&amp;C42&amp;"'),field: '"&amp;D42&amp;"',flex: 1},"))</f>
        <v xml:space="preserve">			{headerName: this.l('Freight Total Vn'),headerTooltip: this.l('Freight Total Vn'),field: 'freightTotalVn',flex: 1},</v>
      </c>
      <c r="I42" s="35" t="str">
        <f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IF(E42="string",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/>
      </c>
      <c r="J42" s="28"/>
      <c r="K42" s="35" t="str">
        <f>IF(OR(E42="DateTime",E42="TimeSpan"),
REPT(CHAR(9),5)&amp;"&lt;div class='col-md-12 form-group row'&gt;
"&amp;REPT(CHAR(9),6)&amp;"&lt;label class='col-md-2 form-control title'&gt;"&amp;C42&amp;"&lt;/label&gt;
"&amp;REPT(CHAR(9),6)&amp;"&lt;input type='text' class='col-md-10 form-control input-text' name='"&amp;D42&amp;"' 
"&amp;REPT(CHAR(9),6)&amp;"#datepicker='bsDatepicker' [(ngModel)]='rowdata."&amp;D42&amp;"'  bsDatepicker &gt;
"&amp;REPT(CHAR(9),5)&amp;"&lt;/div&gt;",
IF(AND(E42="string",F42="1"),
REPT(CHAR(9),5)&amp;"&lt;div class='col-md-12 form-group row'&gt;
"&amp;REPT(CHAR(9),6)&amp;"&lt;label class='col-md-2 form-control title'&gt;"&amp;C42&amp;"&lt;/label&gt;
"&amp;REPT(CHAR(9),6)&amp;"&lt;new-checkbox [(ngModel)]='_"&amp;D42&amp;"' name='"&amp;D42&amp;"' className='col-md-10' &gt; &lt;/new-checkbox&gt;
"&amp;REPT(CHAR(9),5)&amp;"&lt;/div&gt;",
IF(E42="string",
REPT(CHAR(9),5)&amp;"&lt;div class='col-md-12 form-group row'&gt;
"&amp;REPT(CHAR(9),6)&amp;"&lt;label class='col-md-2 form-control title'&gt;"&amp;C42&amp;"&lt;/label&gt;
"&amp;REPT(CHAR(9),6)&amp;"&lt;input type='text' class='col-md-10 form-control input-text' name='"&amp;B42&amp;"' [(ngModel)]='rowdata."&amp;D42&amp;"'&gt;
"&amp;REPT(CHAR(9),5)&amp;"&lt;/div&gt;",
IF(E42="int",
REPT(CHAR(9),5)&amp;"&lt;div class='col-md-12 form-group row'&gt;
"&amp;REPT(CHAR(9),6)&amp;"&lt;label class='col-md-2 form-control title'&gt;"&amp;C42&amp;"&lt;/label&gt;
"&amp;REPT(CHAR(9),6)&amp;"&lt;input type='number' class='col-md-10 form-control input-text' name='"&amp;B42&amp;"' [(ngModel)]='rowdata."&amp;D42&amp;"'&gt;
"&amp;REPT(CHAR(9),5)&amp;"&lt;/div&gt;",""))))</f>
        <v/>
      </c>
      <c r="L42" s="56" t="str">
        <f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28"/>
      <c r="N42" s="28"/>
      <c r="O42" s="28"/>
      <c r="P42" s="28"/>
      <c r="Q42" s="28"/>
      <c r="R42" s="28"/>
      <c r="S42" s="28" t="str">
        <f>D42&amp;G42</f>
        <v>freightTotalVn</v>
      </c>
      <c r="T42" s="28" t="str">
        <f>REPT(CHAR(9),3)&amp;"this."&amp;D42&amp;","</f>
        <v xml:space="preserve">			this.freightTotalVn,</v>
      </c>
      <c r="U42" s="28" t="str">
        <f>IF(E42="int","this."&amp;D42&amp;" = 0,","this."&amp;D42&amp;" = '',")</f>
        <v>this.freightTotalVn = '',</v>
      </c>
      <c r="V42" s="28" t="str">
        <f>IF(AND(E42="string",F42="1"),D42,"")</f>
        <v/>
      </c>
    </row>
    <row r="43" spans="1:22" ht="15" customHeight="1" x14ac:dyDescent="0.25">
      <c r="A43" s="28" t="s">
        <v>383</v>
      </c>
      <c r="B43" s="28" t="str">
        <f t="shared" ref="B43:B46" si="105">SUBSTITUTE(PROPER(A43),"_","")</f>
        <v>InsuranceTotalVn</v>
      </c>
      <c r="C43" s="28" t="str">
        <f t="shared" ref="C43:C46" si="106">SUBSTITUTE(PROPER(A43),"_"," ")</f>
        <v>Insurance Total Vn</v>
      </c>
      <c r="D43" s="28" t="str">
        <f t="shared" ref="D43:D46" si="107">LOWER(LEFT(B43,1))&amp;RIGHT(B43,LEN(B43) - 1)</f>
        <v>insuranceTotalVn</v>
      </c>
      <c r="E43" s="28" t="str">
        <f>A.Backend!H37</f>
        <v>decimal?</v>
      </c>
      <c r="F43" s="28" t="str">
        <f>A.Backend!G37</f>
        <v>18,5</v>
      </c>
      <c r="G43" s="28" t="str">
        <f t="shared" ref="G43:G46" si="108">IF(E43="string"," : string = '' ; ",IF(OR(E43="DateTime",E43="TimeSpan")," : any ;",IF(E43="int"," : number = 0 ;","")))</f>
        <v/>
      </c>
      <c r="H43" s="35" t="str">
        <f t="shared" ref="H43:H46" si="109">IF(E43="DateTime",
REPT(CHAR(9),3)&amp;"{headerName: this.l('"&amp;C43&amp;"'),headerTooltip: this.l('"&amp;C43&amp;"'),field: '"&amp;D43&amp;"',valueGetter: (params) =&gt; this.pipe.transform(params.data?."&amp;D43&amp;", 'dd/MM/yyyy'),flex: 1},",
IF(AND(E43="string",F43="1"),
REPT(CHAR(9),3)&amp;"{headerName: this.l('"&amp;C43&amp;"'),headerTooltip: this.l('"&amp;C43&amp;"'),field:  '"&amp;D43&amp;"', cellClass: ['text-center'], width: 120, cellRenderer: 'agCellButtonComponent',
buttonDefTwo: { text: params =&gt; (params.data?.'"&amp;D43&amp;"' == 'Y') ? 'Active' : 'Inactive',iconName: 'fa fa-circle',className: params =&gt; (params.data?.'"&amp;D43&amp;"' == 'Y') ? 'btnActive' : 'btnInActive',},}",
REPT(CHAR(9),3)&amp;"{headerName: this.l('"&amp;C43&amp;"'),headerTooltip: this.l('"&amp;C43&amp;"'),field: '"&amp;D43&amp;"',flex: 1},"))</f>
        <v xml:space="preserve">			{headerName: this.l('Insurance Total Vn'),headerTooltip: this.l('Insurance Total Vn'),field: 'insuranceTotalVn',flex: 1},</v>
      </c>
      <c r="I43" s="35" t="str">
        <f t="shared" ref="I43:I46" si="110">IF(E43="DateTime",
REPT(CHAR(9),8)&amp;"&lt;div class='input-search'&gt;
"&amp;REPT(CHAR(9),9)&amp;"&lt;input type='text' [placeholder]=""l('"&amp;C43&amp;"')"" [(ngModel)]='"&amp;D43&amp;"' 
"&amp;REPT(CHAR(9),9)&amp;"name='"&amp;D43&amp;"'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IF(E43="string",
REPT(CHAR(9),8)&amp;"&lt;div class='input-search'&gt;
"&amp;REPT(CHAR(9),9)&amp;"&lt;input [(ngModel)]='"&amp;D43&amp;"' name='"&amp;D43&amp;"'
"&amp;REPT(CHAR(9),9)&amp;"class='form-control' [placeholder]=""l('"&amp;C43&amp;"')""
"&amp;REPT(CHAR(9),9)&amp;"type='text' (keyup.enter)='searchDatas()'&gt;
"&amp;REPT(CHAR(9),8)&amp;"&lt;/div&gt;",""))</f>
        <v/>
      </c>
      <c r="J43" s="28"/>
      <c r="K43" s="35" t="str">
        <f t="shared" ref="K43:K46" si="111">IF(OR(E43="DateTime",E43="TimeSpan"),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"&amp;REPT(CHAR(9),6)&amp;"&lt;new-checkbox [(ngModel)]='_"&amp;D43&amp;"' name='"&amp;D43&amp;"' className='col-md-10' &gt; &lt;/new-checkbox&gt;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IF(E43="int",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/>
      </c>
      <c r="L43" s="56" t="str">
        <f t="shared" ref="L43:L46" si="112"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28"/>
      <c r="N43" s="28"/>
      <c r="O43" s="28"/>
      <c r="P43" s="28"/>
      <c r="Q43" s="28"/>
      <c r="R43" s="28"/>
      <c r="S43" s="28" t="str">
        <f>REPT(CHAR(9),1)&amp;D43&amp;G43</f>
        <v xml:space="preserve">	insuranceTotalVn</v>
      </c>
      <c r="T43" s="28" t="str">
        <f>REPT(CHAR(9),3)&amp;"this."&amp;D43&amp;","</f>
        <v xml:space="preserve">			this.insuranceTotalVn,</v>
      </c>
      <c r="U43" s="28" t="str">
        <f>IF(E43="int",REPT(CHAR(9),2)&amp;"this."&amp;D43&amp;" = 0,",REPT(CHAR(9),2)&amp;"this."&amp;D43&amp;" = '',")</f>
        <v xml:space="preserve">		this.insuranceTotalVn = '',</v>
      </c>
      <c r="V43" s="28" t="str">
        <f t="shared" ref="V43:V46" si="113">IF(AND(E43="string",F43="1"),D43,"")</f>
        <v/>
      </c>
    </row>
    <row r="44" spans="1:22" ht="18" customHeight="1" x14ac:dyDescent="0.25">
      <c r="A44" s="28" t="s">
        <v>384</v>
      </c>
      <c r="B44" s="28" t="str">
        <f t="shared" si="105"/>
        <v>CifVn</v>
      </c>
      <c r="C44" s="28" t="str">
        <f t="shared" si="106"/>
        <v>Cif Vn</v>
      </c>
      <c r="D44" s="28" t="str">
        <f t="shared" si="107"/>
        <v>cifVn</v>
      </c>
      <c r="E44" s="28" t="str">
        <f>A.Backend!H38</f>
        <v>decimal?</v>
      </c>
      <c r="F44" s="28" t="str">
        <f>A.Backend!G38</f>
        <v>18,5</v>
      </c>
      <c r="G44" s="28" t="str">
        <f t="shared" si="108"/>
        <v/>
      </c>
      <c r="H44" s="35" t="str">
        <f t="shared" si="109"/>
        <v xml:space="preserve">			{headerName: this.l('Cif Vn'),headerTooltip: this.l('Cif Vn'),field: 'cifVn',flex: 1},</v>
      </c>
      <c r="I44" s="35" t="str">
        <f t="shared" si="110"/>
        <v/>
      </c>
      <c r="J44" s="28"/>
      <c r="K44" s="35" t="str">
        <f t="shared" si="111"/>
        <v/>
      </c>
      <c r="L44" s="56" t="str">
        <f t="shared" si="112"/>
        <v/>
      </c>
      <c r="M44" s="28"/>
      <c r="N44" s="28"/>
      <c r="O44" s="28"/>
      <c r="P44" s="28"/>
      <c r="Q44" s="28"/>
      <c r="R44" s="28"/>
      <c r="S44" s="28" t="str">
        <f t="shared" ref="S44" si="114">REPT(CHAR(9),1)&amp;D44&amp;G44</f>
        <v xml:space="preserve">	cifVn</v>
      </c>
      <c r="T44" s="28" t="str">
        <f t="shared" ref="T44" si="115">REPT(CHAR(9),3)&amp;"this."&amp;D44&amp;","</f>
        <v xml:space="preserve">			this.cifVn,</v>
      </c>
      <c r="U44" s="28" t="str">
        <f t="shared" ref="U44" si="116">IF(E44="int",REPT(CHAR(9),2)&amp;"this."&amp;D44&amp;" = 0,",REPT(CHAR(9),2)&amp;"this."&amp;D44&amp;" = '',")</f>
        <v xml:space="preserve">		this.cifVn = '',</v>
      </c>
      <c r="V44" s="28" t="str">
        <f t="shared" si="113"/>
        <v/>
      </c>
    </row>
    <row r="45" spans="1:22" ht="15" customHeight="1" x14ac:dyDescent="0.25">
      <c r="A45" s="28" t="s">
        <v>385</v>
      </c>
      <c r="B45" s="28" t="str">
        <f t="shared" si="105"/>
        <v>ThcTotalVn</v>
      </c>
      <c r="C45" s="28" t="str">
        <f t="shared" si="106"/>
        <v>Thc Total Vn</v>
      </c>
      <c r="D45" s="28" t="str">
        <f t="shared" si="107"/>
        <v>thcTotalVn</v>
      </c>
      <c r="E45" s="28" t="str">
        <f>A.Backend!H39</f>
        <v>decimal?</v>
      </c>
      <c r="F45" s="28" t="str">
        <f>A.Backend!G39</f>
        <v>18,5</v>
      </c>
      <c r="G45" s="28" t="str">
        <f t="shared" si="108"/>
        <v/>
      </c>
      <c r="H45" s="35" t="str">
        <f t="shared" si="109"/>
        <v xml:space="preserve">			{headerName: this.l('Thc Total Vn'),headerTooltip: this.l('Thc Total Vn'),field: 'thcTotalVn',flex: 1},</v>
      </c>
      <c r="I45" s="35" t="str">
        <f t="shared" si="110"/>
        <v/>
      </c>
      <c r="J45" s="28"/>
      <c r="K45" s="35" t="str">
        <f t="shared" si="111"/>
        <v/>
      </c>
      <c r="L45" s="56" t="str">
        <f t="shared" si="112"/>
        <v/>
      </c>
      <c r="M45" s="28"/>
      <c r="N45" s="28"/>
      <c r="O45" s="28"/>
      <c r="P45" s="28"/>
      <c r="Q45" s="28"/>
      <c r="R45" s="28"/>
      <c r="S45" s="28" t="str">
        <f>REPT(CHAR(9),1)&amp;D45&amp;G45</f>
        <v xml:space="preserve">	thcTotalVn</v>
      </c>
      <c r="T45" s="28" t="str">
        <f>REPT(CHAR(9),3)&amp;"this."&amp;D45&amp;","</f>
        <v xml:space="preserve">			this.thcTotalVn,</v>
      </c>
      <c r="U45" s="28" t="str">
        <f>IF(E45="int",REPT(CHAR(9),2)&amp;"this."&amp;D45&amp;" = 0,",REPT(CHAR(9),2)&amp;"this."&amp;D45&amp;" = '',")</f>
        <v xml:space="preserve">		this.thcTotalVn = '',</v>
      </c>
      <c r="V45" s="28" t="str">
        <f t="shared" si="113"/>
        <v/>
      </c>
    </row>
    <row r="46" spans="1:22" ht="18" customHeight="1" x14ac:dyDescent="0.25">
      <c r="A46" s="28" t="s">
        <v>386</v>
      </c>
      <c r="B46" s="28" t="str">
        <f t="shared" si="105"/>
        <v>Spotax</v>
      </c>
      <c r="C46" s="28" t="str">
        <f t="shared" si="106"/>
        <v>Spotax</v>
      </c>
      <c r="D46" s="28" t="str">
        <f t="shared" si="107"/>
        <v>spotax</v>
      </c>
      <c r="E46" s="28" t="str">
        <f>A.Backend!H40</f>
        <v>string</v>
      </c>
      <c r="F46" s="28" t="str">
        <f>A.Backend!G40</f>
        <v>1</v>
      </c>
      <c r="G46" s="28" t="str">
        <f t="shared" si="108"/>
        <v xml:space="preserve"> : string = '' ; </v>
      </c>
      <c r="H46" s="35" t="str">
        <f t="shared" si="109"/>
        <v xml:space="preserve">			{headerName: this.l('Spotax'),headerTooltip: this.l('Spotax'),field:  'spotax', cellClass: ['text-center'], width: 120, cellRenderer: 'agCellButtonComponent',
buttonDefTwo: { text: params =&gt; (params.data?.'spotax' == 'Y') ? 'Active' : 'Inactive',iconName: 'fa fa-circle',className: params =&gt; (params.data?.'spotax' == 'Y') ? 'btnActive' : 'btnInActive',},}</v>
      </c>
      <c r="I46" s="35" t="str">
        <f t="shared" si="110"/>
        <v xml:space="preserve">								&lt;div class='input-search'&gt;
									&lt;input [(ngModel)]='spotax' name='spotax'
									class='form-control' [placeholder]="l('Spotax')"
									type='text' (keyup.enter)='searchDatas()'&gt;
								&lt;/div&gt;</v>
      </c>
      <c r="J46" s="28"/>
      <c r="K46" s="35" t="str">
        <f t="shared" si="111"/>
        <v xml:space="preserve">					&lt;div class='col-md-12 form-group row'&gt;
						&lt;label class='col-md-2 form-control title'&gt;Spotax&lt;/label&gt;
						&lt;new-checkbox [(ngModel)]='_spotax' name='spotax' className='col-md-10' &gt; &lt;/new-checkbox&gt;
					&lt;/div&gt;</v>
      </c>
      <c r="L46" s="56" t="str">
        <f t="shared" si="112"/>
        <v/>
      </c>
      <c r="M46" s="28"/>
      <c r="N46" s="28"/>
      <c r="O46" s="28"/>
      <c r="P46" s="28"/>
      <c r="Q46" s="28"/>
      <c r="R46" s="28"/>
      <c r="S46" s="28" t="str">
        <f t="shared" ref="S46" si="117">REPT(CHAR(9),1)&amp;D46&amp;G46</f>
        <v xml:space="preserve">	spotax : string = '' ; </v>
      </c>
      <c r="T46" s="28" t="str">
        <f t="shared" ref="T46" si="118">REPT(CHAR(9),3)&amp;"this."&amp;D46&amp;","</f>
        <v xml:space="preserve">			this.spotax,</v>
      </c>
      <c r="U46" s="28" t="str">
        <f t="shared" ref="U46" si="119">IF(E46="int",REPT(CHAR(9),2)&amp;"this."&amp;D46&amp;" = 0,",REPT(CHAR(9),2)&amp;"this."&amp;D46&amp;" = '',")</f>
        <v xml:space="preserve">		this.spotax = '',</v>
      </c>
      <c r="V46" s="28" t="str">
        <f t="shared" si="113"/>
        <v>spotax</v>
      </c>
    </row>
    <row r="47" spans="1:22" ht="18" customHeight="1" x14ac:dyDescent="0.25">
      <c r="A47" s="28" t="s">
        <v>387</v>
      </c>
      <c r="B47" s="28" t="str">
        <f>SUBSTITUTE(PROPER(A47),"_","")</f>
        <v>PeriodId</v>
      </c>
      <c r="C47" s="28" t="str">
        <f>SUBSTITUTE(PROPER(A47),"_"," ")</f>
        <v>Period Id</v>
      </c>
      <c r="D47" s="28" t="str">
        <f>LOWER(LEFT(B47,1))&amp;RIGHT(B47,LEN(B47) - 1)</f>
        <v>periodId</v>
      </c>
      <c r="E47" s="28" t="str">
        <f>A.Backend!H41</f>
        <v>long?</v>
      </c>
      <c r="F47" s="28" t="str">
        <f>A.Backend!G41</f>
        <v/>
      </c>
      <c r="G47" s="28" t="str">
        <f>IF(E47="string"," : string = '' ; ",IF(OR(E47="DateTime",E47="TimeSpan")," : any ;",IF(E47="int"," : number = 0 ;","")))</f>
        <v/>
      </c>
      <c r="H47" s="35" t="str">
        <f>IF(E47="DateTime",
REPT(CHAR(9),3)&amp;"{headerName: this.l('"&amp;C47&amp;"'),headerTooltip: this.l('"&amp;C47&amp;"'),field: '"&amp;D47&amp;"',valueGetter: (params) =&gt; this.pipe.transform(params.data?."&amp;D47&amp;", 'dd/MM/yyyy'),flex: 1},",
IF(AND(E47="string",F47="1"),
REPT(CHAR(9),3)&amp;"{headerName: this.l('"&amp;C47&amp;"'),headerTooltip: this.l('"&amp;C47&amp;"'),field:  '"&amp;D47&amp;"', cellClass: ['text-center'], width: 120, cellRenderer: 'agCellButtonComponent',
buttonDefTwo: { text: params =&gt; (params.data?.'"&amp;D47&amp;"' == 'Y') ? 'Active' : 'Inactive',iconName: 'fa fa-circle',className: params =&gt; (params.data?.'"&amp;D47&amp;"' == 'Y') ? 'btnActive' : 'btnInActive',},}",
REPT(CHAR(9),3)&amp;"{headerName: this.l('"&amp;C47&amp;"'),headerTooltip: this.l('"&amp;C47&amp;"'),field: '"&amp;D47&amp;"',flex: 1},"))</f>
        <v xml:space="preserve">			{headerName: this.l('Period Id'),headerTooltip: this.l('Period Id'),field: 'periodId',flex: 1},</v>
      </c>
      <c r="I47" s="35" t="str">
        <f>IF(E47="DateTime",
REPT(CHAR(9),8)&amp;"&lt;div class='input-search'&gt;
"&amp;REPT(CHAR(9),9)&amp;"&lt;input type='text' [placeholder]=""l('"&amp;C47&amp;"')"" [(ngModel)]='"&amp;D47&amp;"' 
"&amp;REPT(CHAR(9),9)&amp;"name='"&amp;D47&amp;"'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IF(E47="string",
REPT(CHAR(9),8)&amp;"&lt;div class='input-search'&gt;
"&amp;REPT(CHAR(9),9)&amp;"&lt;input [(ngModel)]='"&amp;D47&amp;"' name='"&amp;D47&amp;"'
"&amp;REPT(CHAR(9),9)&amp;"class='form-control' [placeholder]=""l('"&amp;C47&amp;"')""
"&amp;REPT(CHAR(9),9)&amp;"type='text' (keyup.enter)='searchDatas()'&gt;
"&amp;REPT(CHAR(9),8)&amp;"&lt;/div&gt;",""))</f>
        <v/>
      </c>
      <c r="J47" s="28"/>
      <c r="K47" s="35" t="str">
        <f>IF(OR(E47="DateTime",E47="TimeSpan"),
REPT(CHAR(9),5)&amp;"&lt;div class='col-md-12 form-group row'&gt;
"&amp;REPT(CHAR(9),6)&amp;"&lt;label class='col-md-2 form-control title'&gt;"&amp;C47&amp;"&lt;/label&gt;
"&amp;REPT(CHAR(9),6)&amp;"&lt;input type='text' class='col-md-10 form-control input-text' name='"&amp;D47&amp;"' 
"&amp;REPT(CHAR(9),6)&amp;"#datepicker='bsDatepicker' [(ngModel)]='rowdata."&amp;D47&amp;"'  bsDatepicker &gt;
"&amp;REPT(CHAR(9),5)&amp;"&lt;/div&gt;",
IF(AND(E47="string",F47="1"),
REPT(CHAR(9),5)&amp;"&lt;div class='col-md-12 form-group row'&gt;
"&amp;REPT(CHAR(9),6)&amp;"&lt;label class='col-md-2 form-control title'&gt;"&amp;C47&amp;"&lt;/label&gt;
"&amp;REPT(CHAR(9),6)&amp;"&lt;new-checkbox [(ngModel)]='_"&amp;D47&amp;"' name='"&amp;D47&amp;"' className='col-md-10' &gt; &lt;/new-checkbox&gt;
"&amp;REPT(CHAR(9),5)&amp;"&lt;/div&gt;",
IF(E47="string",
REPT(CHAR(9),5)&amp;"&lt;div class='col-md-12 form-group row'&gt;
"&amp;REPT(CHAR(9),6)&amp;"&lt;label class='col-md-2 form-control title'&gt;"&amp;C47&amp;"&lt;/label&gt;
"&amp;REPT(CHAR(9),6)&amp;"&lt;input type='text' class='col-md-10 form-control input-text' name='"&amp;B47&amp;"' [(ngModel)]='rowdata."&amp;D47&amp;"'&gt;
"&amp;REPT(CHAR(9),5)&amp;"&lt;/div&gt;",
IF(E47="int",
REPT(CHAR(9),5)&amp;"&lt;div class='col-md-12 form-group row'&gt;
"&amp;REPT(CHAR(9),6)&amp;"&lt;label class='col-md-2 form-control title'&gt;"&amp;C47&amp;"&lt;/label&gt;
"&amp;REPT(CHAR(9),6)&amp;"&lt;input type='number' class='col-md-10 form-control input-text' name='"&amp;B47&amp;"' [(ngModel)]='rowdata."&amp;D47&amp;"'&gt;
"&amp;REPT(CHAR(9),5)&amp;"&lt;/div&gt;",""))))</f>
        <v/>
      </c>
      <c r="L47" s="56" t="str">
        <f>IF(E47="DateTime",
REPT(CHAR(9),2)&amp;"const dateValue =  this.rowdata."&amp;D47&amp;" ? new Date(this.rowdata."&amp;D47&amp;"?.toString()) : new Date();
"&amp;REPT(CHAR(9),2)&amp;"this.datepicker?.bsValueChange.emit(dateValue);","")</f>
        <v/>
      </c>
      <c r="M47" s="28"/>
      <c r="N47" s="28"/>
      <c r="O47" s="28"/>
      <c r="P47" s="28"/>
      <c r="Q47" s="28"/>
      <c r="R47" s="28"/>
      <c r="S47" s="28" t="str">
        <f>D47&amp;G47</f>
        <v>periodId</v>
      </c>
      <c r="T47" s="28" t="str">
        <f>REPT(CHAR(9),3)&amp;"this."&amp;D47&amp;","</f>
        <v xml:space="preserve">			this.periodId,</v>
      </c>
      <c r="U47" s="28" t="str">
        <f>IF(E47="int","this."&amp;D47&amp;" = 0,","this."&amp;D47&amp;" = '',")</f>
        <v>this.periodId = '',</v>
      </c>
      <c r="V47" s="28" t="str">
        <f>IF(AND(E47="string",F47="1"),D47,"")</f>
        <v/>
      </c>
    </row>
    <row r="48" spans="1:22" ht="15" customHeight="1" x14ac:dyDescent="0.25">
      <c r="A48" s="28" t="s">
        <v>319</v>
      </c>
      <c r="B48" s="28" t="str">
        <f t="shared" ref="B48:B51" si="120">SUBSTITUTE(PROPER(A48),"_","")</f>
        <v>IsActive</v>
      </c>
      <c r="C48" s="28" t="str">
        <f t="shared" ref="C48:C51" si="121">SUBSTITUTE(PROPER(A48),"_"," ")</f>
        <v>Is Active</v>
      </c>
      <c r="D48" s="28" t="str">
        <f t="shared" ref="D48:D51" si="122">LOWER(LEFT(B48,1))&amp;RIGHT(B48,LEN(B48) - 1)</f>
        <v>isActive</v>
      </c>
      <c r="E48" s="28" t="str">
        <f>A.Backend!H42</f>
        <v>string</v>
      </c>
      <c r="F48" s="28" t="str">
        <f>A.Backend!G42</f>
        <v>1</v>
      </c>
      <c r="G48" s="28" t="str">
        <f t="shared" ref="G48:G51" si="123">IF(E48="string"," : string = '' ; ",IF(OR(E48="DateTime",E48="TimeSpan")," : any ;",IF(E48="int"," : number = 0 ;","")))</f>
        <v xml:space="preserve"> : string = '' ; </v>
      </c>
      <c r="H48" s="35" t="str">
        <f t="shared" ref="H48:H51" si="124">IF(E48="DateTime",
REPT(CHAR(9),3)&amp;"{headerName: this.l('"&amp;C48&amp;"'),headerTooltip: this.l('"&amp;C48&amp;"'),field: '"&amp;D48&amp;"',valueGetter: (params) =&gt; this.pipe.transform(params.data?."&amp;D48&amp;", 'dd/MM/yyyy'),flex: 1},",
IF(AND(E48="string",F48="1"),
REPT(CHAR(9),3)&amp;"{headerName: this.l('"&amp;C48&amp;"'),headerTooltip: this.l('"&amp;C48&amp;"'),field:  '"&amp;D48&amp;"', cellClass: ['text-center'], width: 120, cellRenderer: 'agCellButtonComponent',
buttonDefTwo: { text: params =&gt; (params.data?.'"&amp;D48&amp;"' == 'Y') ? 'Active' : 'Inactive',iconName: 'fa fa-circle',className: params =&gt; (params.data?.'"&amp;D48&amp;"' == 'Y') ? 'btnActive' : 'btnInActive',},}",
REPT(CHAR(9),3)&amp;"{headerName: this.l('"&amp;C48&amp;"'),headerTooltip: this.l('"&amp;C48&amp;"'),field: '"&amp;D48&amp;"',flex: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8" s="35" t="str">
        <f t="shared" ref="I48:I51" si="125">IF(E48="DateTime",
REPT(CHAR(9),8)&amp;"&lt;div class='input-search'&gt;
"&amp;REPT(CHAR(9),9)&amp;"&lt;input type='text' [placeholder]=""l('"&amp;C48&amp;"')"" [(ngModel)]='"&amp;D48&amp;"' 
"&amp;REPT(CHAR(9),9)&amp;"name='"&amp;D48&amp;"'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IF(E48="string",
REPT(CHAR(9),8)&amp;"&lt;div class='input-search'&gt;
"&amp;REPT(CHAR(9),9)&amp;"&lt;input [(ngModel)]='"&amp;D48&amp;"' name='"&amp;D48&amp;"'
"&amp;REPT(CHAR(9),9)&amp;"class='form-control' [placeholder]=""l('"&amp;C48&amp;"')""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8" s="28"/>
      <c r="K48" s="35" t="str">
        <f t="shared" ref="K48:K51" si="126">IF(OR(E48="DateTime",E48="TimeSpan"),
REPT(CHAR(9),5)&amp;"&lt;div class='col-md-12 form-group row'&gt;
"&amp;REPT(CHAR(9),6)&amp;"&lt;label class='col-md-2 form-control title'&gt;"&amp;C48&amp;"&lt;/label&gt;
"&amp;REPT(CHAR(9),6)&amp;"&lt;input type='text' class='col-md-10 form-control input-text' name='"&amp;D48&amp;"' 
"&amp;REPT(CHAR(9),6)&amp;"#datepicker='bsDatepicker' [(ngModel)]='rowdata."&amp;D48&amp;"'  bsDatepicker &gt;
"&amp;REPT(CHAR(9),5)&amp;"&lt;/div&gt;",
IF(AND(E48="string",F48="1"),
REPT(CHAR(9),5)&amp;"&lt;div class='col-md-12 form-group row'&gt;
"&amp;REPT(CHAR(9),6)&amp;"&lt;label class='col-md-2 form-control title'&gt;"&amp;C48&amp;"&lt;/label&gt;
"&amp;REPT(CHAR(9),6)&amp;"&lt;new-checkbox [(ngModel)]='_"&amp;D48&amp;"' name='"&amp;D48&amp;"' className='col-md-10' &gt; &lt;/new-checkbox&gt;
"&amp;REPT(CHAR(9),5)&amp;"&lt;/div&gt;",
IF(E48="string",
REPT(CHAR(9),5)&amp;"&lt;div class='col-md-12 form-group row'&gt;
"&amp;REPT(CHAR(9),6)&amp;"&lt;label class='col-md-2 form-control title'&gt;"&amp;C48&amp;"&lt;/label&gt;
"&amp;REPT(CHAR(9),6)&amp;"&lt;input type='text' class='col-md-10 form-control input-text' name='"&amp;B48&amp;"' [(ngModel)]='rowdata."&amp;D48&amp;"'&gt;
"&amp;REPT(CHAR(9),5)&amp;"&lt;/div&gt;",
IF(E48="int",
REPT(CHAR(9),5)&amp;"&lt;div class='col-md-12 form-group row'&gt;
"&amp;REPT(CHAR(9),6)&amp;"&lt;label class='col-md-2 form-control title'&gt;"&amp;C48&amp;"&lt;/label&gt;
"&amp;REPT(CHAR(9),6)&amp;"&lt;input type='number' class='col-md-10 form-control input-text' name='"&amp;B48&amp;"' [(ngModel)]='rowdata."&amp;D48&amp;"'&gt;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8" s="56" t="str">
        <f t="shared" ref="L48:L51" si="127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>REPT(CHAR(9),1)&amp;D48&amp;G48</f>
        <v xml:space="preserve">	isActive : string = '' ; </v>
      </c>
      <c r="T48" s="28" t="str">
        <f>REPT(CHAR(9),3)&amp;"this."&amp;D48&amp;","</f>
        <v xml:space="preserve">			this.isActive,</v>
      </c>
      <c r="U48" s="28" t="str">
        <f>IF(E48="int",REPT(CHAR(9),2)&amp;"this."&amp;D48&amp;" = 0,",REPT(CHAR(9),2)&amp;"this."&amp;D48&amp;" = '',")</f>
        <v xml:space="preserve">		this.isActive = '',</v>
      </c>
      <c r="V48" s="28" t="str">
        <f t="shared" ref="V48:V51" si="128">IF(AND(E48="string",F48="1"),D48,"")</f>
        <v>isActive</v>
      </c>
    </row>
    <row r="49" spans="1:22" ht="18" customHeight="1" x14ac:dyDescent="0.25">
      <c r="A49" s="28" t="s">
        <v>355</v>
      </c>
      <c r="B49" s="28" t="str">
        <f t="shared" si="120"/>
        <v>StatusCode</v>
      </c>
      <c r="C49" s="28" t="str">
        <f t="shared" si="121"/>
        <v>Status Code</v>
      </c>
      <c r="D49" s="28" t="str">
        <f t="shared" si="122"/>
        <v>statusCode</v>
      </c>
      <c r="E49" s="28">
        <f>A.Backend!H43</f>
        <v>0</v>
      </c>
      <c r="F49" s="28">
        <f>A.Backend!G43</f>
        <v>0</v>
      </c>
      <c r="G49" s="28" t="str">
        <f t="shared" si="123"/>
        <v/>
      </c>
      <c r="H49" s="35" t="str">
        <f t="shared" si="124"/>
        <v xml:space="preserve">			{headerName: this.l('Status Code'),headerTooltip: this.l('Status Code'),field: 'statusCode',flex: 1},</v>
      </c>
      <c r="I49" s="35" t="str">
        <f t="shared" si="125"/>
        <v/>
      </c>
      <c r="J49" s="28"/>
      <c r="K49" s="35" t="str">
        <f t="shared" si="126"/>
        <v/>
      </c>
      <c r="L49" s="56" t="str">
        <f t="shared" si="127"/>
        <v/>
      </c>
      <c r="M49" s="28"/>
      <c r="N49" s="28"/>
      <c r="O49" s="28"/>
      <c r="P49" s="28"/>
      <c r="Q49" s="28"/>
      <c r="R49" s="28"/>
      <c r="S49" s="28" t="str">
        <f t="shared" ref="S49" si="129">REPT(CHAR(9),1)&amp;D49&amp;G49</f>
        <v xml:space="preserve">	statusCode</v>
      </c>
      <c r="T49" s="28" t="str">
        <f t="shared" ref="T49" si="130">REPT(CHAR(9),3)&amp;"this."&amp;D49&amp;","</f>
        <v xml:space="preserve">			this.statusCode,</v>
      </c>
      <c r="U49" s="28" t="str">
        <f t="shared" ref="U49" si="131">IF(E49="int",REPT(CHAR(9),2)&amp;"this."&amp;D49&amp;" = 0,",REPT(CHAR(9),2)&amp;"this."&amp;D49&amp;" = '',")</f>
        <v xml:space="preserve">		this.statusCode = '',</v>
      </c>
      <c r="V49" s="28" t="str">
        <f t="shared" si="128"/>
        <v/>
      </c>
    </row>
    <row r="50" spans="1:22" ht="15" customHeight="1" x14ac:dyDescent="0.25">
      <c r="A50" s="28" t="s">
        <v>351</v>
      </c>
      <c r="B50" s="28" t="str">
        <f t="shared" si="120"/>
        <v>BillofladingNo</v>
      </c>
      <c r="C50" s="28" t="str">
        <f t="shared" si="121"/>
        <v>Billoflading No</v>
      </c>
      <c r="D50" s="28" t="str">
        <f t="shared" si="122"/>
        <v>billofladingNo</v>
      </c>
      <c r="E50" s="28">
        <f>A.Backend!H44</f>
        <v>0</v>
      </c>
      <c r="F50" s="28">
        <f>A.Backend!G44</f>
        <v>0</v>
      </c>
      <c r="G50" s="28" t="str">
        <f t="shared" si="123"/>
        <v/>
      </c>
      <c r="H50" s="35" t="str">
        <f t="shared" si="124"/>
        <v xml:space="preserve">			{headerName: this.l('Billoflading No'),headerTooltip: this.l('Billoflading No'),field: 'billofladingNo',flex: 1},</v>
      </c>
      <c r="I50" s="35" t="str">
        <f t="shared" si="125"/>
        <v/>
      </c>
      <c r="J50" s="28"/>
      <c r="K50" s="35" t="str">
        <f t="shared" si="126"/>
        <v/>
      </c>
      <c r="L50" s="56" t="str">
        <f t="shared" si="127"/>
        <v/>
      </c>
      <c r="M50" s="28"/>
      <c r="N50" s="28"/>
      <c r="O50" s="28"/>
      <c r="P50" s="28"/>
      <c r="Q50" s="28"/>
      <c r="R50" s="28"/>
      <c r="S50" s="28" t="str">
        <f>REPT(CHAR(9),1)&amp;D50&amp;G50</f>
        <v xml:space="preserve">	billofladingNo</v>
      </c>
      <c r="T50" s="28" t="str">
        <f>REPT(CHAR(9),3)&amp;"this."&amp;D50&amp;","</f>
        <v xml:space="preserve">			this.billofladingNo,</v>
      </c>
      <c r="U50" s="28" t="str">
        <f>IF(E50="int",REPT(CHAR(9),2)&amp;"this."&amp;D50&amp;" = 0,",REPT(CHAR(9),2)&amp;"this."&amp;D50&amp;" = '',")</f>
        <v xml:space="preserve">		this.billofladingNo = '',</v>
      </c>
      <c r="V50" s="28" t="str">
        <f t="shared" si="128"/>
        <v/>
      </c>
    </row>
    <row r="51" spans="1:22" ht="18" customHeight="1" x14ac:dyDescent="0.25">
      <c r="A51" s="28" t="s">
        <v>352</v>
      </c>
      <c r="B51" s="28" t="str">
        <f t="shared" si="120"/>
        <v>ShipmentId</v>
      </c>
      <c r="C51" s="28" t="str">
        <f t="shared" si="121"/>
        <v>Shipment Id</v>
      </c>
      <c r="D51" s="28" t="str">
        <f t="shared" si="122"/>
        <v>shipmentId</v>
      </c>
      <c r="E51" s="28">
        <f>A.Backend!H45</f>
        <v>0</v>
      </c>
      <c r="F51" s="28">
        <f>A.Backend!G45</f>
        <v>0</v>
      </c>
      <c r="G51" s="28" t="str">
        <f t="shared" si="123"/>
        <v/>
      </c>
      <c r="H51" s="35" t="str">
        <f t="shared" si="124"/>
        <v xml:space="preserve">			{headerName: this.l('Shipment Id'),headerTooltip: this.l('Shipment Id'),field: 'shipmentId',flex: 1},</v>
      </c>
      <c r="I51" s="35" t="str">
        <f t="shared" si="125"/>
        <v/>
      </c>
      <c r="J51" s="28"/>
      <c r="K51" s="35" t="str">
        <f t="shared" si="126"/>
        <v/>
      </c>
      <c r="L51" s="56" t="str">
        <f t="shared" si="127"/>
        <v/>
      </c>
      <c r="M51" s="28"/>
      <c r="N51" s="28"/>
      <c r="O51" s="28"/>
      <c r="P51" s="28"/>
      <c r="Q51" s="28"/>
      <c r="R51" s="28"/>
      <c r="S51" s="28" t="str">
        <f t="shared" ref="S51" si="132">REPT(CHAR(9),1)&amp;D51&amp;G51</f>
        <v xml:space="preserve">	shipmentId</v>
      </c>
      <c r="T51" s="28" t="str">
        <f t="shared" ref="T51" si="133">REPT(CHAR(9),3)&amp;"this."&amp;D51&amp;","</f>
        <v xml:space="preserve">			this.shipmentId,</v>
      </c>
      <c r="U51" s="28" t="str">
        <f t="shared" ref="U51" si="134">IF(E51="int",REPT(CHAR(9),2)&amp;"this."&amp;D51&amp;" = 0,",REPT(CHAR(9),2)&amp;"this."&amp;D51&amp;" = '',")</f>
        <v xml:space="preserve">		this.shipmentId = '',</v>
      </c>
      <c r="V51" s="28" t="str">
        <f t="shared" si="128"/>
        <v/>
      </c>
    </row>
    <row r="52" spans="1:22" ht="18" customHeight="1" x14ac:dyDescent="0.25">
      <c r="A52" s="28" t="s">
        <v>353</v>
      </c>
      <c r="B52" s="28" t="str">
        <f>SUBSTITUTE(PROPER(A52),"_","")</f>
        <v>BillDate</v>
      </c>
      <c r="C52" s="28" t="str">
        <f>SUBSTITUTE(PROPER(A52),"_"," ")</f>
        <v>Bill Date</v>
      </c>
      <c r="D52" s="28" t="str">
        <f>LOWER(LEFT(B52,1))&amp;RIGHT(B52,LEN(B52) - 1)</f>
        <v>billDate</v>
      </c>
      <c r="E52" s="28">
        <f>A.Backend!H46</f>
        <v>0</v>
      </c>
      <c r="F52" s="28">
        <f>A.Backend!G46</f>
        <v>0</v>
      </c>
      <c r="G52" s="28" t="str">
        <f>IF(E52="string"," : string = '' ; ",IF(OR(E52="DateTime",E52="TimeSpan")," : any ;",IF(E52="int"," : number = 0 ;","")))</f>
        <v/>
      </c>
      <c r="H52" s="35" t="str">
        <f>IF(E52="DateTime",
REPT(CHAR(9),3)&amp;"{headerName: this.l('"&amp;C52&amp;"'),headerTooltip: this.l('"&amp;C52&amp;"'),field: '"&amp;D52&amp;"',valueGetter: (params) =&gt; this.pipe.transform(params.data?."&amp;D52&amp;", 'dd/MM/yyyy'),flex: 1},",
IF(AND(E52="string",F52="1"),
REPT(CHAR(9),3)&amp;"{headerName: this.l('"&amp;C52&amp;"'),headerTooltip: this.l('"&amp;C52&amp;"'),field:  '"&amp;D52&amp;"', cellClass: ['text-center'], width: 120, cellRenderer: 'agCellButtonComponent',
buttonDefTwo: { text: params =&gt; (params.data?.'"&amp;D52&amp;"' == 'Y') ? 'Active' : 'Inactive',iconName: 'fa fa-circle',className: params =&gt; (params.data?.'"&amp;D52&amp;"' == 'Y') ? 'btnActive' : 'btnInActive',},}",
REPT(CHAR(9),3)&amp;"{headerName: this.l('"&amp;C52&amp;"'),headerTooltip: this.l('"&amp;C52&amp;"'),field: '"&amp;D52&amp;"',flex: 1},"))</f>
        <v xml:space="preserve">			{headerName: this.l('Bill Date'),headerTooltip: this.l('Bill Date'),field: 'billDate',flex: 1},</v>
      </c>
      <c r="I52" s="35" t="str">
        <f>IF(E52="DateTime",
REPT(CHAR(9),8)&amp;"&lt;div class='input-search'&gt;
"&amp;REPT(CHAR(9),9)&amp;"&lt;input type='text' [placeholder]=""l('"&amp;C52&amp;"')"" [(ngModel)]='"&amp;D52&amp;"' 
"&amp;REPT(CHAR(9),9)&amp;"name='"&amp;D52&amp;"'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IF(E52="string",
REPT(CHAR(9),8)&amp;"&lt;div class='input-search'&gt;
"&amp;REPT(CHAR(9),9)&amp;"&lt;input [(ngModel)]='"&amp;D52&amp;"' name='"&amp;D52&amp;"'
"&amp;REPT(CHAR(9),9)&amp;"class='form-control' [placeholder]=""l('"&amp;C52&amp;"')""
"&amp;REPT(CHAR(9),9)&amp;"type='text' (keyup.enter)='searchDatas()'&gt;
"&amp;REPT(CHAR(9),8)&amp;"&lt;/div&gt;",""))</f>
        <v/>
      </c>
      <c r="J52" s="28"/>
      <c r="K52" s="35" t="str">
        <f>IF(OR(E52="DateTime",E52="TimeSpan"),
REPT(CHAR(9),5)&amp;"&lt;div class='col-md-12 form-group row'&gt;
"&amp;REPT(CHAR(9),6)&amp;"&lt;label class='col-md-2 form-control title'&gt;"&amp;C52&amp;"&lt;/label&gt;
"&amp;REPT(CHAR(9),6)&amp;"&lt;input type='text' class='col-md-10 form-control input-text' name='"&amp;D52&amp;"' 
"&amp;REPT(CHAR(9),6)&amp;"#datepicker='bsDatepicker' [(ngModel)]='rowdata."&amp;D52&amp;"'  bsDatepicker &gt;
"&amp;REPT(CHAR(9),5)&amp;"&lt;/div&gt;",
IF(AND(E52="string",F52="1"),
REPT(CHAR(9),5)&amp;"&lt;div class='col-md-12 form-group row'&gt;
"&amp;REPT(CHAR(9),6)&amp;"&lt;label class='col-md-2 form-control title'&gt;"&amp;C52&amp;"&lt;/label&gt;
"&amp;REPT(CHAR(9),6)&amp;"&lt;new-checkbox [(ngModel)]='_"&amp;D52&amp;"' name='"&amp;D52&amp;"' className='col-md-10' &gt; &lt;/new-checkbox&gt;
"&amp;REPT(CHAR(9),5)&amp;"&lt;/div&gt;",
IF(E52="string",
REPT(CHAR(9),5)&amp;"&lt;div class='col-md-12 form-group row'&gt;
"&amp;REPT(CHAR(9),6)&amp;"&lt;label class='col-md-2 form-control title'&gt;"&amp;C52&amp;"&lt;/label&gt;
"&amp;REPT(CHAR(9),6)&amp;"&lt;input type='text' class='col-md-10 form-control input-text' name='"&amp;B52&amp;"' [(ngModel)]='rowdata."&amp;D52&amp;"'&gt;
"&amp;REPT(CHAR(9),5)&amp;"&lt;/div&gt;",
IF(E52="int",
REPT(CHAR(9),5)&amp;"&lt;div class='col-md-12 form-group row'&gt;
"&amp;REPT(CHAR(9),6)&amp;"&lt;label class='col-md-2 form-control title'&gt;"&amp;C52&amp;"&lt;/label&gt;
"&amp;REPT(CHAR(9),6)&amp;"&lt;input type='number' class='col-md-10 form-control input-text' name='"&amp;B52&amp;"' [(ngModel)]='rowdata."&amp;D52&amp;"'&gt;
"&amp;REPT(CHAR(9),5)&amp;"&lt;/div&gt;",""))))</f>
        <v/>
      </c>
      <c r="L52" s="56" t="str">
        <f>IF(E52="DateTime",
REPT(CHAR(9),2)&amp;"const dateValue =  this.rowdata."&amp;D52&amp;" ? new Date(this.rowdata."&amp;D52&amp;"?.toString()) : new Date();
"&amp;REPT(CHAR(9),2)&amp;"this.datepicker?.bsValueChange.emit(dateValue);","")</f>
        <v/>
      </c>
      <c r="M52" s="28"/>
      <c r="N52" s="28"/>
      <c r="O52" s="28"/>
      <c r="P52" s="28"/>
      <c r="Q52" s="28"/>
      <c r="R52" s="28"/>
      <c r="S52" s="28" t="str">
        <f>D52&amp;G52</f>
        <v>billDate</v>
      </c>
      <c r="T52" s="28" t="str">
        <f>REPT(CHAR(9),3)&amp;"this."&amp;D52&amp;","</f>
        <v xml:space="preserve">			this.billDate,</v>
      </c>
      <c r="U52" s="28" t="str">
        <f>IF(E52="int","this."&amp;D52&amp;" = 0,","this."&amp;D52&amp;" = '',")</f>
        <v>this.billDate = '',</v>
      </c>
      <c r="V52" s="28" t="str">
        <f>IF(AND(E52="string",F52="1"),D52,"")</f>
        <v/>
      </c>
    </row>
    <row r="53" spans="1:22" ht="15" customHeight="1" x14ac:dyDescent="0.25">
      <c r="A53" s="28" t="s">
        <v>354</v>
      </c>
      <c r="B53" s="28" t="str">
        <f t="shared" ref="B53:B54" si="135">SUBSTITUTE(PROPER(A53),"_","")</f>
        <v>Status</v>
      </c>
      <c r="C53" s="28" t="str">
        <f t="shared" ref="C53:C54" si="136">SUBSTITUTE(PROPER(A53),"_"," ")</f>
        <v>Status</v>
      </c>
      <c r="D53" s="28" t="str">
        <f t="shared" ref="D53:D54" si="137">LOWER(LEFT(B53,1))&amp;RIGHT(B53,LEN(B53) - 1)</f>
        <v>status</v>
      </c>
      <c r="E53" s="28">
        <f>A.Backend!H47</f>
        <v>0</v>
      </c>
      <c r="F53" s="28">
        <f>A.Backend!G47</f>
        <v>0</v>
      </c>
      <c r="G53" s="28" t="str">
        <f t="shared" ref="G53:G54" si="138">IF(E53="string"," : string = '' ; ",IF(OR(E53="DateTime",E53="TimeSpan")," : any ;",IF(E53="int"," : number = 0 ;","")))</f>
        <v/>
      </c>
      <c r="H53" s="35" t="str">
        <f t="shared" ref="H53:H54" si="139">IF(E53="DateTime",
REPT(CHAR(9),3)&amp;"{headerName: this.l('"&amp;C53&amp;"'),headerTooltip: this.l('"&amp;C53&amp;"'),field: '"&amp;D53&amp;"',valueGetter: (params) =&gt; this.pipe.transform(params.data?."&amp;D53&amp;", 'dd/MM/yyyy'),flex: 1},",
IF(AND(E53="string",F53="1"),
REPT(CHAR(9),3)&amp;"{headerName: this.l('"&amp;C53&amp;"'),headerTooltip: this.l('"&amp;C53&amp;"'),field:  '"&amp;D53&amp;"', cellClass: ['text-center'], width: 120, cellRenderer: 'agCellButtonComponent',
buttonDefTwo: { text: params =&gt; (params.data?.'"&amp;D53&amp;"' == 'Y') ? 'Active' : 'Inactive',iconName: 'fa fa-circle',className: params =&gt; (params.data?.'"&amp;D53&amp;"' == 'Y') ? 'btnActive' : 'btnInActive',},}",
REPT(CHAR(9),3)&amp;"{headerName: this.l('"&amp;C53&amp;"'),headerTooltip: this.l('"&amp;C53&amp;"'),field: '"&amp;D53&amp;"',flex: 1},"))</f>
        <v xml:space="preserve">			{headerName: this.l('Status'),headerTooltip: this.l('Status'),field: 'status',flex: 1},</v>
      </c>
      <c r="I53" s="35" t="str">
        <f t="shared" ref="I53:I54" si="140">IF(E53="DateTime",
REPT(CHAR(9),8)&amp;"&lt;div class='input-search'&gt;
"&amp;REPT(CHAR(9),9)&amp;"&lt;input type='text' [placeholder]=""l('"&amp;C53&amp;"')"" [(ngModel)]='"&amp;D53&amp;"' 
"&amp;REPT(CHAR(9),9)&amp;"name='"&amp;D53&amp;"'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IF(E53="string",
REPT(CHAR(9),8)&amp;"&lt;div class='input-search'&gt;
"&amp;REPT(CHAR(9),9)&amp;"&lt;input [(ngModel)]='"&amp;D53&amp;"' name='"&amp;D53&amp;"'
"&amp;REPT(CHAR(9),9)&amp;"class='form-control' [placeholder]=""l('"&amp;C53&amp;"')""
"&amp;REPT(CHAR(9),9)&amp;"type='text' (keyup.enter)='searchDatas()'&gt;
"&amp;REPT(CHAR(9),8)&amp;"&lt;/div&gt;",""))</f>
        <v/>
      </c>
      <c r="J53" s="28"/>
      <c r="K53" s="35" t="str">
        <f t="shared" ref="K53:K54" si="141">IF(OR(E53="DateTime",E53="TimeSpan"),
REPT(CHAR(9),5)&amp;"&lt;div class='col-md-12 form-group row'&gt;
"&amp;REPT(CHAR(9),6)&amp;"&lt;label class='col-md-2 form-control title'&gt;"&amp;C53&amp;"&lt;/label&gt;
"&amp;REPT(CHAR(9),6)&amp;"&lt;input type='text' class='col-md-10 form-control input-text' name='"&amp;D53&amp;"' 
"&amp;REPT(CHAR(9),6)&amp;"#datepicker='bsDatepicker' [(ngModel)]='rowdata."&amp;D53&amp;"'  bsDatepicker &gt;
"&amp;REPT(CHAR(9),5)&amp;"&lt;/div&gt;",
IF(AND(E53="string",F53="1"),
REPT(CHAR(9),5)&amp;"&lt;div class='col-md-12 form-group row'&gt;
"&amp;REPT(CHAR(9),6)&amp;"&lt;label class='col-md-2 form-control title'&gt;"&amp;C53&amp;"&lt;/label&gt;
"&amp;REPT(CHAR(9),6)&amp;"&lt;new-checkbox [(ngModel)]='_"&amp;D53&amp;"' name='"&amp;D53&amp;"' className='col-md-10' &gt; &lt;/new-checkbox&gt;
"&amp;REPT(CHAR(9),5)&amp;"&lt;/div&gt;",
IF(E53="string",
REPT(CHAR(9),5)&amp;"&lt;div class='col-md-12 form-group row'&gt;
"&amp;REPT(CHAR(9),6)&amp;"&lt;label class='col-md-2 form-control title'&gt;"&amp;C53&amp;"&lt;/label&gt;
"&amp;REPT(CHAR(9),6)&amp;"&lt;input type='text' class='col-md-10 form-control input-text' name='"&amp;B53&amp;"' [(ngModel)]='rowdata."&amp;D53&amp;"'&gt;
"&amp;REPT(CHAR(9),5)&amp;"&lt;/div&gt;",
IF(E53="int",
REPT(CHAR(9),5)&amp;"&lt;div class='col-md-12 form-group row'&gt;
"&amp;REPT(CHAR(9),6)&amp;"&lt;label class='col-md-2 form-control title'&gt;"&amp;C53&amp;"&lt;/label&gt;
"&amp;REPT(CHAR(9),6)&amp;"&lt;input type='number' class='col-md-10 form-control input-text' name='"&amp;B53&amp;"' [(ngModel)]='rowdata."&amp;D53&amp;"'&gt;
"&amp;REPT(CHAR(9),5)&amp;"&lt;/div&gt;",""))))</f>
        <v/>
      </c>
      <c r="L53" s="56" t="str">
        <f t="shared" ref="L53:L54" si="142">IF(E53="DateTime",
REPT(CHAR(9),2)&amp;"const dateValue =  this.rowdata."&amp;D53&amp;" ? new Date(this.rowdata."&amp;D53&amp;"?.toString()) : new Date();
"&amp;REPT(CHAR(9),2)&amp;"this.datepicker?.bsValueChange.emit(dateValue);","")</f>
        <v/>
      </c>
      <c r="M53" s="28"/>
      <c r="N53" s="28"/>
      <c r="O53" s="28"/>
      <c r="P53" s="28"/>
      <c r="Q53" s="28"/>
      <c r="R53" s="28"/>
      <c r="S53" s="28" t="str">
        <f>REPT(CHAR(9),1)&amp;D53&amp;G53</f>
        <v xml:space="preserve">	status</v>
      </c>
      <c r="T53" s="28" t="str">
        <f>REPT(CHAR(9),3)&amp;"this."&amp;D53&amp;","</f>
        <v xml:space="preserve">			this.status,</v>
      </c>
      <c r="U53" s="28" t="str">
        <f>IF(E53="int",REPT(CHAR(9),2)&amp;"this."&amp;D53&amp;" = 0,",REPT(CHAR(9),2)&amp;"this."&amp;D53&amp;" = '',")</f>
        <v xml:space="preserve">		this.status = '',</v>
      </c>
      <c r="V53" s="28" t="str">
        <f t="shared" ref="V53:V54" si="143">IF(AND(E53="string",F53="1"),D53,"")</f>
        <v/>
      </c>
    </row>
    <row r="54" spans="1:22" ht="18" customHeight="1" x14ac:dyDescent="0.25">
      <c r="A54" s="28" t="s">
        <v>355</v>
      </c>
      <c r="B54" s="28" t="str">
        <f t="shared" si="135"/>
        <v>StatusCode</v>
      </c>
      <c r="C54" s="28" t="str">
        <f t="shared" si="136"/>
        <v>Status Code</v>
      </c>
      <c r="D54" s="28" t="str">
        <f t="shared" si="137"/>
        <v>statusCode</v>
      </c>
      <c r="E54" s="28">
        <f>A.Backend!H48</f>
        <v>0</v>
      </c>
      <c r="F54" s="28">
        <f>A.Backend!G48</f>
        <v>0</v>
      </c>
      <c r="G54" s="28" t="str">
        <f t="shared" si="138"/>
        <v/>
      </c>
      <c r="H54" s="35" t="str">
        <f t="shared" si="139"/>
        <v xml:space="preserve">			{headerName: this.l('Status Code'),headerTooltip: this.l('Status Code'),field: 'statusCode',flex: 1},</v>
      </c>
      <c r="I54" s="35" t="str">
        <f t="shared" si="140"/>
        <v/>
      </c>
      <c r="J54" s="28"/>
      <c r="K54" s="35" t="str">
        <f t="shared" si="141"/>
        <v/>
      </c>
      <c r="L54" s="56" t="str">
        <f t="shared" si="142"/>
        <v/>
      </c>
      <c r="M54" s="28"/>
      <c r="N54" s="28"/>
      <c r="O54" s="28"/>
      <c r="P54" s="28"/>
      <c r="Q54" s="28"/>
      <c r="R54" s="28"/>
      <c r="S54" s="28" t="str">
        <f t="shared" ref="S54" si="144">REPT(CHAR(9),1)&amp;D54&amp;G54</f>
        <v xml:space="preserve">	statusCode</v>
      </c>
      <c r="T54" s="28" t="str">
        <f t="shared" ref="T54" si="145">REPT(CHAR(9),3)&amp;"this."&amp;D54&amp;","</f>
        <v xml:space="preserve">			this.statusCode,</v>
      </c>
      <c r="U54" s="28" t="str">
        <f t="shared" ref="U54" si="146">IF(E54="int",REPT(CHAR(9),2)&amp;"this."&amp;D54&amp;" = 0,",REPT(CHAR(9),2)&amp;"this."&amp;D54&amp;" = '',")</f>
        <v xml:space="preserve">		this.statusCode = '',</v>
      </c>
      <c r="V54" s="28" t="str">
        <f t="shared" si="143"/>
        <v/>
      </c>
    </row>
    <row r="55" spans="1:22" ht="18" customHeight="1" x14ac:dyDescent="0.25">
      <c r="A55" s="28" t="s">
        <v>319</v>
      </c>
      <c r="B55" s="28" t="str">
        <f t="shared" ref="B55" si="147">SUBSTITUTE(PROPER(A55),"_","")</f>
        <v>IsActive</v>
      </c>
      <c r="C55" s="28" t="str">
        <f t="shared" ref="C55" si="148">SUBSTITUTE(PROPER(A55),"_"," ")</f>
        <v>Is Active</v>
      </c>
      <c r="D55" s="28" t="str">
        <f t="shared" ref="D55" si="149">LOWER(LEFT(B55,1))&amp;RIGHT(B55,LEN(B55) - 1)</f>
        <v>isActive</v>
      </c>
      <c r="E55" s="28" t="str">
        <f>A.Backend!H42</f>
        <v>string</v>
      </c>
      <c r="F55" s="28" t="str">
        <f>A.Backend!G42</f>
        <v>1</v>
      </c>
      <c r="G55" s="28" t="str">
        <f t="shared" ref="G55" si="150">IF(E55="string"," : string = '' ; ",IF(OR(E55="DateTime",E55="TimeSpan")," : any ;",IF(E55="int"," : number = 0 ;","")))</f>
        <v xml:space="preserve"> : string = '' ; </v>
      </c>
      <c r="H55" s="35" t="str">
        <f t="shared" ref="H55" si="151">IF(E55="DateTime",
REPT(CHAR(9),3)&amp;"{headerName: this.l('"&amp;C55&amp;"'),headerTooltip: this.l('"&amp;C55&amp;"'),field: '"&amp;D55&amp;"',valueGetter: (params) =&gt; this.pipe.transform(params.data?."&amp;D55&amp;", 'dd/MM/yyyy'),flex: 1},",
IF(AND(E55="string",F55="1"),
REPT(CHAR(9),3)&amp;"{headerName: this.l('"&amp;C55&amp;"'),headerTooltip: this.l('"&amp;C55&amp;"'),field:  '"&amp;D55&amp;"', cellClass: ['text-center'], width: 120, cellRenderer: 'agCellButtonComponent',
buttonDefTwo: { text: params =&gt; (params.data?.'"&amp;D55&amp;"' == 'Y') ? 'Active' : 'Inactive',iconName: 'fa fa-circle',className: params =&gt; (params.data?.'"&amp;D55&amp;"' == 'Y') ? 'btnActive' : 'btnInActive',},}",
REPT(CHAR(9),3)&amp;"{headerName: this.l('"&amp;C55&amp;"'),headerTooltip: this.l('"&amp;C55&amp;"'),field: '"&amp;D55&amp;"',flex: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55" s="35" t="str">
        <f t="shared" ref="I55" si="152">IF(E55="DateTime",
REPT(CHAR(9),8)&amp;"&lt;div class='input-search'&gt;
"&amp;REPT(CHAR(9),9)&amp;"&lt;input type='text' [placeholder]=""l('"&amp;C55&amp;"')"" [(ngModel)]='"&amp;D55&amp;"' 
"&amp;REPT(CHAR(9),9)&amp;"name='"&amp;D55&amp;"'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IF(E55="string",
REPT(CHAR(9),8)&amp;"&lt;div class='input-search'&gt;
"&amp;REPT(CHAR(9),9)&amp;"&lt;input [(ngModel)]='"&amp;D55&amp;"' name='"&amp;D55&amp;"'
"&amp;REPT(CHAR(9),9)&amp;"class='form-control' [placeholder]=""l('"&amp;C55&amp;"')""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55" s="28"/>
      <c r="K55" s="35" t="str">
        <f t="shared" ref="K55" si="153">IF(OR(E55="DateTime",E55="TimeSpan"),
REPT(CHAR(9),5)&amp;"&lt;div class='col-md-12 form-group row'&gt;
"&amp;REPT(CHAR(9),6)&amp;"&lt;label class='col-md-2 form-control title'&gt;"&amp;C55&amp;"&lt;/label&gt;
"&amp;REPT(CHAR(9),6)&amp;"&lt;input type='text' class='col-md-10 form-control input-text' name='"&amp;D55&amp;"' 
"&amp;REPT(CHAR(9),6)&amp;"#datepicker='bsDatepicker' [(ngModel)]='rowdata."&amp;D55&amp;"'  bsDatepicker &gt;
"&amp;REPT(CHAR(9),5)&amp;"&lt;/div&gt;",
IF(AND(E55="string",F55="1"),
REPT(CHAR(9),5)&amp;"&lt;div class='col-md-12 form-group row'&gt;
"&amp;REPT(CHAR(9),6)&amp;"&lt;label class='col-md-2 form-control title'&gt;"&amp;C55&amp;"&lt;/label&gt;
"&amp;REPT(CHAR(9),6)&amp;"&lt;new-checkbox [(ngModel)]='_"&amp;D55&amp;"' name='"&amp;D55&amp;"' className='col-md-10' &gt; &lt;/new-checkbox&gt;
"&amp;REPT(CHAR(9),5)&amp;"&lt;/div&gt;",
IF(E55="string",
REPT(CHAR(9),5)&amp;"&lt;div class='col-md-12 form-group row'&gt;
"&amp;REPT(CHAR(9),6)&amp;"&lt;label class='col-md-2 form-control title'&gt;"&amp;C55&amp;"&lt;/label&gt;
"&amp;REPT(CHAR(9),6)&amp;"&lt;input type='text' class='col-md-10 form-control input-text' name='"&amp;B55&amp;"' [(ngModel)]='rowdata."&amp;D55&amp;"'&gt;
"&amp;REPT(CHAR(9),5)&amp;"&lt;/div&gt;",
IF(E55="int",
REPT(CHAR(9),5)&amp;"&lt;div class='col-md-12 form-group row'&gt;
"&amp;REPT(CHAR(9),6)&amp;"&lt;label class='col-md-2 form-control title'&gt;"&amp;C55&amp;"&lt;/label&gt;
"&amp;REPT(CHAR(9),6)&amp;"&lt;input type='number' class='col-md-10 form-control input-text' name='"&amp;B55&amp;"' [(ngModel)]='rowdata."&amp;D55&amp;"'&gt;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55" s="56" t="str">
        <f t="shared" ref="L55" si="154">IF(E55="DateTime",
REPT(CHAR(9),2)&amp;"const dateValue =  this.rowdata."&amp;D55&amp;" ? new Date(this.rowdata."&amp;D55&amp;"?.toString()) : new Date();
"&amp;REPT(CHAR(9),2)&amp;"this.datepicker?.bsValueChange.emit(dateValue);","")</f>
        <v/>
      </c>
      <c r="M55" s="28"/>
      <c r="N55" s="28"/>
      <c r="O55" s="28"/>
      <c r="P55" s="28"/>
      <c r="Q55" s="28"/>
      <c r="R55" s="28"/>
      <c r="S55" s="28" t="str">
        <f t="shared" ref="S55" si="155">REPT(CHAR(9),1)&amp;D55&amp;G55</f>
        <v xml:space="preserve">	isActive : string = '' ; </v>
      </c>
      <c r="T55" s="28" t="str">
        <f t="shared" ref="T55" si="156">REPT(CHAR(9),3)&amp;"this."&amp;D55&amp;","</f>
        <v xml:space="preserve">			this.isActive,</v>
      </c>
      <c r="U55" s="28" t="str">
        <f t="shared" ref="U55" si="157">IF(E55="int",REPT(CHAR(9),2)&amp;"this."&amp;D55&amp;" = 0,",REPT(CHAR(9),2)&amp;"this."&amp;D55&amp;" = '',")</f>
        <v xml:space="preserve">		this.isActive = '',</v>
      </c>
      <c r="V55" s="28" t="str">
        <f t="shared" ref="V55" si="158">IF(AND(E55="string",F55="1"),D55,"")</f>
        <v>isActive</v>
      </c>
    </row>
    <row r="5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404</v>
      </c>
    </row>
    <row r="7" spans="1:2" x14ac:dyDescent="0.25">
      <c r="A7" t="s">
        <v>24</v>
      </c>
      <c r="B7" t="s">
        <v>399</v>
      </c>
    </row>
    <row r="8" spans="1:2" x14ac:dyDescent="0.25">
      <c r="A8" t="s">
        <v>4</v>
      </c>
      <c r="B8" t="s">
        <v>399</v>
      </c>
    </row>
    <row r="9" spans="1:2" x14ac:dyDescent="0.25">
      <c r="A9" t="s">
        <v>0</v>
      </c>
      <c r="B9" t="s">
        <v>400</v>
      </c>
    </row>
    <row r="10" spans="1:2" x14ac:dyDescent="0.25">
      <c r="A10" t="s">
        <v>25</v>
      </c>
      <c r="B10" t="s">
        <v>403</v>
      </c>
    </row>
    <row r="11" spans="1:2" x14ac:dyDescent="0.25">
      <c r="A11" t="s">
        <v>26</v>
      </c>
      <c r="B11" t="s">
        <v>403</v>
      </c>
    </row>
    <row r="12" spans="1:2" x14ac:dyDescent="0.25">
      <c r="A12" t="s">
        <v>27</v>
      </c>
      <c r="B12" t="s">
        <v>403</v>
      </c>
    </row>
    <row r="13" spans="1:2" x14ac:dyDescent="0.25">
      <c r="A13" t="s">
        <v>28</v>
      </c>
      <c r="B13" t="s">
        <v>403</v>
      </c>
    </row>
    <row r="14" spans="1:2" x14ac:dyDescent="0.25">
      <c r="A14" t="s">
        <v>29</v>
      </c>
      <c r="B14" t="s">
        <v>403</v>
      </c>
    </row>
    <row r="15" spans="1:2" x14ac:dyDescent="0.25">
      <c r="A15" t="s">
        <v>30</v>
      </c>
      <c r="B15" t="s">
        <v>403</v>
      </c>
    </row>
    <row r="16" spans="1:2" x14ac:dyDescent="0.25">
      <c r="A16" t="s">
        <v>31</v>
      </c>
      <c r="B16" t="s">
        <v>401</v>
      </c>
    </row>
    <row r="17" spans="1:2" x14ac:dyDescent="0.25">
      <c r="A17" t="s">
        <v>3</v>
      </c>
      <c r="B17" t="s">
        <v>401</v>
      </c>
    </row>
    <row r="18" spans="1:2" x14ac:dyDescent="0.25">
      <c r="A18" t="s">
        <v>33</v>
      </c>
      <c r="B18" t="s">
        <v>401</v>
      </c>
    </row>
    <row r="19" spans="1:2" x14ac:dyDescent="0.25">
      <c r="A19" t="s">
        <v>2</v>
      </c>
      <c r="B19" t="s">
        <v>401</v>
      </c>
    </row>
    <row r="20" spans="1:2" x14ac:dyDescent="0.25">
      <c r="A20" t="s">
        <v>263</v>
      </c>
      <c r="B20" t="s">
        <v>402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2023-05-31T11:37:07Z</dcterms:modified>
</cp:coreProperties>
</file>
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d\docs\design\inventory\ckd\"/>
    </mc:Choice>
  </mc:AlternateContent>
  <bookViews>
    <workbookView xWindow="-120" yWindow="-120" windowWidth="19440" windowHeight="1500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8" i="5" l="1"/>
  <c r="B18" i="5"/>
  <c r="D18" i="5" s="1"/>
  <c r="T18" i="5" s="1"/>
  <c r="D12" i="1"/>
  <c r="P12" i="1" s="1"/>
  <c r="E12" i="1"/>
  <c r="X12" i="1" s="1"/>
  <c r="G12" i="1"/>
  <c r="F18" i="5" s="1"/>
  <c r="L12" i="1"/>
  <c r="V12" i="1" l="1"/>
  <c r="Y12" i="1"/>
  <c r="T12" i="1"/>
  <c r="H12" i="1"/>
  <c r="E18" i="5" s="1"/>
  <c r="Z12" i="1" l="1"/>
  <c r="L18" i="5"/>
  <c r="V18" i="5"/>
  <c r="I18" i="5"/>
  <c r="H18" i="5"/>
  <c r="G18" i="5"/>
  <c r="S18" i="5" s="1"/>
  <c r="K18" i="5"/>
  <c r="U18" i="5"/>
  <c r="I12" i="1"/>
  <c r="N12" i="1"/>
  <c r="J12" i="1"/>
  <c r="O12" i="1"/>
  <c r="W12" i="1"/>
  <c r="M12" i="1"/>
  <c r="L10" i="1"/>
  <c r="G10" i="1"/>
  <c r="F16" i="5" s="1"/>
  <c r="E10" i="1"/>
  <c r="X10" i="1" s="1"/>
  <c r="D10" i="1"/>
  <c r="V10" i="1" s="1"/>
  <c r="Y10" i="1" l="1"/>
  <c r="T10" i="1"/>
  <c r="P10" i="1"/>
  <c r="H10" i="1"/>
  <c r="E16" i="5" s="1"/>
  <c r="B7" i="5"/>
  <c r="B6" i="5"/>
  <c r="B2" i="5"/>
  <c r="G16" i="5" l="1"/>
  <c r="N10" i="1"/>
  <c r="W10" i="1"/>
  <c r="J10" i="1"/>
  <c r="I10" i="1"/>
  <c r="O10" i="1"/>
  <c r="M10" i="1"/>
  <c r="Z10" i="1"/>
  <c r="B8" i="5"/>
  <c r="B3" i="5"/>
  <c r="C17" i="5" l="1"/>
  <c r="B17" i="5"/>
  <c r="D17" i="5" s="1"/>
  <c r="T17" i="5" s="1"/>
  <c r="C16" i="5"/>
  <c r="B16" i="5"/>
  <c r="D16" i="5" s="1"/>
  <c r="T16" i="5" l="1"/>
  <c r="I16" i="5"/>
  <c r="U16" i="5"/>
  <c r="H16" i="5"/>
  <c r="K16" i="5"/>
  <c r="S16" i="5"/>
  <c r="B6" i="1"/>
  <c r="C15" i="5" l="1"/>
  <c r="B15" i="5"/>
  <c r="D15" i="5" s="1"/>
  <c r="T15" i="5" s="1"/>
  <c r="G9" i="1" l="1"/>
  <c r="F15" i="5" s="1"/>
  <c r="E9" i="1"/>
  <c r="D9" i="1"/>
  <c r="V9" i="1" s="1"/>
  <c r="H9" i="1" l="1"/>
  <c r="E15" i="5" s="1"/>
  <c r="U15" i="5" s="1"/>
  <c r="X9" i="1"/>
  <c r="P9" i="1"/>
  <c r="T9" i="1"/>
  <c r="J9" i="1" l="1"/>
  <c r="L15" i="5"/>
  <c r="W9" i="1"/>
  <c r="Y9" i="1"/>
  <c r="Z9" i="1"/>
  <c r="O9" i="1"/>
  <c r="K15" i="5"/>
  <c r="V15" i="5"/>
  <c r="I9" i="1"/>
  <c r="G15" i="5"/>
  <c r="S15" i="5" s="1"/>
  <c r="H15" i="5"/>
  <c r="M9" i="1"/>
  <c r="I15" i="5"/>
  <c r="N9" i="1"/>
  <c r="Q3" i="1"/>
  <c r="B4" i="5" s="1"/>
  <c r="B5" i="5" s="1"/>
  <c r="G11" i="1" l="1"/>
  <c r="F17" i="5" s="1"/>
  <c r="E11" i="1"/>
  <c r="D11" i="1"/>
  <c r="T11" i="1" s="1"/>
  <c r="H11" i="1" l="1"/>
  <c r="E17" i="5" s="1"/>
  <c r="X11" i="1"/>
  <c r="P11" i="1"/>
  <c r="V11" i="1"/>
  <c r="H17" i="5" l="1"/>
  <c r="U17" i="5"/>
  <c r="G17" i="5"/>
  <c r="S17" i="5" s="1"/>
  <c r="K17" i="5"/>
  <c r="I17" i="5"/>
  <c r="L17" i="5"/>
  <c r="V17" i="5"/>
  <c r="W11" i="1"/>
  <c r="V16" i="5"/>
  <c r="N11" i="1"/>
  <c r="L16" i="5"/>
  <c r="J11" i="1"/>
  <c r="O11" i="1"/>
  <c r="M11" i="1"/>
  <c r="I11" i="1"/>
  <c r="Z11" i="1"/>
  <c r="Y11" i="1"/>
  <c r="W3" i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4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14" i="1"/>
  <c r="T7" i="1" l="1"/>
  <c r="W14" i="1"/>
  <c r="G6" i="1" l="1"/>
  <c r="H13" i="5"/>
  <c r="I13" i="5"/>
  <c r="U13" i="5"/>
  <c r="K13" i="5"/>
  <c r="S13" i="5"/>
  <c r="L13" i="5"/>
  <c r="V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9" i="1" l="1"/>
  <c r="L11" i="1"/>
  <c r="C7" i="1"/>
  <c r="I14" i="1"/>
  <c r="N14" i="1"/>
  <c r="J14" i="1"/>
  <c r="O14" i="1"/>
  <c r="P14" i="1"/>
  <c r="Q7" i="1" l="1"/>
  <c r="M68" i="3" s="1"/>
  <c r="L7" i="1"/>
  <c r="G68" i="3" s="1"/>
  <c r="K68" i="3"/>
  <c r="J68" i="3"/>
  <c r="M14" i="1"/>
  <c r="K14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<sst xmlns="http://schemas.openxmlformats.org/spreadsheetml/2006/main" count="450" uniqueCount="366">
  <si>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</si>
  <si>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</si>
  <si>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</si>
  <si>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</si>
  <si>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</si>
  <si>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</si>
  <si>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</si>
  <si>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</si>
  <si>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</si>
  <si>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</si>
  <si>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</si>
  <si>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</si>
  <si>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</si>
  <si>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</si>
  <si>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</si>
  <si>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</si>
  <si>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</si>
  <si>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</si>
  <si>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</si>
  <si>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</si>
  <si>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</si>
  <si>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</si>
  <si>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</si>
  <si>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</si>
  <si>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</si>
  <si>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</si>
  <si>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</si>
  <si>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</si>
  <si>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</si>
  <si>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</si>
  <si>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</si>
  <si>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</si>
  <si>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</si>
  <si>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</si>
  <si>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</si>
  <si>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</si>
  <si>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</si>
  <si>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</si>
  <si>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</si>
  <si>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</si>
  <si>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</si>
  <si>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</si>
  <si>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</si>
  <si>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</si>
  <si>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</si>
  <si>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</si>
  <si>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</si>
  <si>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</si>
  <si>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</si>
  <si>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</si>
  <si>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</si>
  <si>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</si>
  <si>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</si>
  <si>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</si>
  <si>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</si>
  <si>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</si>
  <si>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</si>
  <si>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</si>
  <si>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</si>
  <si>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</si>
  <si>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</si>
  <si>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</si>
  <si>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</si>
  <si>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</si>
  <si>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</si>
  <si>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</si>
  <si>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</si>
  <si>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</si>
  <si>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</si>
  <si>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</si>
  <si>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</si>
  <si>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</si>
  <si>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</si>
  <si>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</si>
  <si>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</si>
  <si>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</si>
  <si>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</si>
  <si>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</si>
  <si>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</si>
  <si>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</si>
  <si>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</si>
  <si>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</si>
  <si>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</si>
  <si>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</si>
  <si>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</si>
  <si>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</si>
  <si>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</si>
  <si>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</si>
  <si>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</si>
  <si>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</si>
  <si>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</si>
  <si>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</si>
  <si>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</si>
  <si>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</si>
  <si>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</si>
  <si>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</si>
  <si>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</si>
  <si>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</si>
  <si>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</si>
  <si>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</si>
  <si>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</si>
  <si>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</si>
  <si>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</si>
  <si>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</si>
  <si>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</si>
  <si>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</si>
  <si>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</si>
  <si>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</si>
  <si>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</si>
  <si>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</si>
  <si>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</si>
  <si>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</si>
  <si>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</si>
  <si>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</si>
  <si>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</si>
  <si>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</si>
  <si>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</si>
  <si>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</si>
  <si>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</si>
  <si>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</si>
  <si>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</si>
  <si>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</si>
  <si>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</si>
  <si>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</si>
  <si>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</si>
  <si>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</si>
  <si>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</si>
  <si>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</si>
  <si>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</si>
  <si>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</si>
  <si>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</si>
  <si>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</si>
  <si>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</si>
  <si>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</si>
  <si>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</si>
  <si>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</si>
  <si>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</si>
  <si>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</si>
  <si>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</si>
  <si>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</si>
  <si>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</si>
  <si>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</si>
  <si>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</si>
  <si>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</si>
  <si>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</si>
  <si>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</si>
  <si>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</si>
  <si>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</si>
  <si>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</si>
  <si>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</si>
  <si>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</si>
  <si>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</si>
  <si>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</si>
  <si>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</si>
  <si>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</si>
  <si>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</si>
  <si>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</si>
  <si>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</si>
  <si>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</si>
  <si>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</si>
  <si>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</si>
  <si>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</si>
  <si>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</si>
  <si>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</si>
  <si>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</si>
  <si>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</si>
  <si>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</si>
  <si>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</si>
  <si>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</si>
  <si>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</si>
  <si>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</si>
  <si>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</si>
  <si>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</si>
  <si>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</si>
  <si>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</si>
  <si>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</si>
  <si>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</si>
  <si>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</si>
  <si>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</si>
  <si>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</si>
  <si>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</si>
  <si>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</si>
  <si>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</si>
  <si>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</si>
  <si>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</si>
  <si>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</si>
  <si>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</si>
  <si>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</si>
  <si>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</si>
  <si>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</si>
  <si>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</si>
  <si>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</si>
  <si>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</si>
  <si>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</si>
  <si>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</si>
  <si>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</si>
  <si>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</si>
  <si>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</si>
  <si>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</si>
  <si>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</si>
  <si>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</si>
  <si>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</si>
  <si>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</si>
  <si>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</si>
  <si>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</si>
  <si>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</si>
  <si>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</si>
  <si>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</si>
  <si>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</si>
  <si>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</si>
  <si>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</si>
  <si>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</si>
  <si>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</si>
  <si>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</si>
  <si>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</si>
  <si>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</si>
  <si>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</si>
  <si>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</si>
  <si>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</si>
  <si>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</si>
  <si>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</si>
  <si>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</si>
  <si>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</si>
  <si>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</si>
  <si>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</si>
  <si>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</si>
  <si>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</si>
  <si>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</si>
  <si>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</si>
  <si>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</si>
  <si>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</si>
  <si>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</si>
  <si>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</si>
  <si>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</si>
  <si>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</si>
  <si>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</si>
  <si>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</si>
  <si>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</si>
  <si>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</si>
  <si>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</si>
  <si>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</si>
  <si>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</si>
  <si>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</si>
  <si>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</si>
  <si>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</si>
  <si>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</si>
  <si>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</si>
  <si>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</si>
  <si>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</si>
  <si>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</si>
  <si>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</si>
  <si>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</si>
  <si>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</si>
  <si>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</si>
  <si>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</si>
  <si>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</si>
  <si>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</si>
  <si>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</si>
  <si>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</si>
  <si>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</si>
  <si>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</si>
  <si>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</si>
  <si>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</si>
  <si>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</si>
  <si>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</si>
  <si>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</si>
  <si>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</si>
  <si>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</si>
  <si>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</si>
  <si>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</si>
  <si>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</si>
  <si>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</si>
  <si>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</si>
  <si>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</si>
  <si>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</si>
  <si>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</si>
  <si>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</si>
  <si>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</si>
  <si>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</si>
  <si>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</si>
  <si>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</si>
  <si>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</si>
  <si>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</si>
  <si>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</si>
  <si>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</si>
  <si>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</si>
  <si>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</si>
  <si>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</si>
  <si>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</si>
  <si>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</si>
  <si>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</si>
  <si>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</si>
  <si>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</si>
  <si>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</si>
  <si>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</si>
  <si>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</si>
  <si>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</si>
  <si>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</si>
  <si>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</si>
  <si>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</si>
  <si>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</si>
  <si>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</si>
  <si>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</si>
  <si>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</si>
  <si>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</si>
  <si>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</si>
  <si>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</si>
  <si>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</si>
  <si>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</si>
  <si>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</si>
  <si>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</si>
  <si>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</si>
  <si>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</si>
  <si>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</si>
  <si>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</si>
  <si>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</si>
  <si>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</si>
  <si>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</si>
  <si>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</si>
  <si>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</si>
  <si>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</si>
  <si>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</si>
  <si>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</si>
  <si>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</si>
  <si>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</si>
  <si>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</si>
  <si>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</si>
  <si>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</si>
  <si>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</si>
  <si>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</si>
  <si>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</si>
  <si>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</si>
  <si>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</si>
  <si>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</si>
  <si>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</si>
  <si>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</si>
  <si>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</si>
  <si>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</si>
  <si>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</si>
  <si>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</si>
  <si>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</si>
  <si>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</si>
  <si>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</si>
  <si>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</si>
  <si>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</si>
  <si>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</si>
  <si>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</si>
  <si>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</si>
  <si>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Inventory.CKD</t>
  </si>
  <si>
    <t>int?</t>
  </si>
  <si>
    <t>long?</t>
  </si>
  <si>
    <t>DateTime?</t>
  </si>
  <si>
    <t>TimeSpan?</t>
  </si>
  <si>
    <t>decimal?</t>
  </si>
  <si>
    <t>byte?</t>
  </si>
  <si>
    <t>Y</t>
  </si>
  <si>
    <t>DESCRIPTION</t>
  </si>
  <si>
    <t>varchar(100)</t>
  </si>
  <si>
    <t>FROM_DATE</t>
  </si>
  <si>
    <t>TO_DATE</t>
  </si>
  <si>
    <t>STATUS</t>
  </si>
  <si>
    <t>DATETIME</t>
  </si>
  <si>
    <t>DATE</t>
  </si>
  <si>
    <t>InvCkdPhysicalStockPeriod</t>
  </si>
  <si>
    <t>PhysicalStockPeriod</t>
  </si>
  <si>
    <t>TMV Physical Stock Period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</si>
</sst>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Alignment="1">
      <alignment wrapText="1"/>
    </xf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34" zoomScaleNormal="100" workbookViewId="0">
      <selection activeCell="D89" sqref="D89"/>
    </sheetView>
  </sheetViews>
  <sheetFormatPr defaultColWidth="8.88671875" defaultRowHeight="14.4" x14ac:dyDescent="0.3"/>
  <cols>
    <col min="1" max="1" width="3.44140625" customWidth="1"/>
    <col min="2" max="2" width="18.44140625" customWidth="1"/>
    <col min="3" max="5" width="26.109375" customWidth="1"/>
    <col min="6" max="6" width="29.44140625" customWidth="1"/>
    <col min="7" max="10" width="26.109375" customWidth="1"/>
    <col min="11" max="11" width="26.44140625" customWidth="1"/>
    <col min="12" max="12" width="27.6640625" customWidth="1"/>
    <col min="13" max="13" width="25.44140625" customWidth="1"/>
    <col min="14" max="18" width="18.44140625" customWidth="1"/>
  </cols>
  <sheetData>
    <row r="1" spans="1:7" ht="23.4" x14ac:dyDescent="0.45">
      <c r="A1" s="14" t="s">
        <v>71</v>
      </c>
    </row>
    <row r="2" spans="1:7" ht="15.6" x14ac:dyDescent="0.3">
      <c r="A2" s="1"/>
      <c r="B2" s="25" t="s">
        <v>193</v>
      </c>
    </row>
    <row r="3" spans="1:7" x14ac:dyDescent="0.3">
      <c r="A3" s="1"/>
      <c r="B3" s="1" t="s">
        <v>74</v>
      </c>
    </row>
    <row r="4" spans="1:7" x14ac:dyDescent="0.3">
      <c r="A4" s="1"/>
      <c r="B4" t="s">
        <v>73</v>
      </c>
    </row>
    <row r="5" spans="1:7" x14ac:dyDescent="0.3">
      <c r="A5" s="1"/>
      <c r="B5" t="s">
        <v>76</v>
      </c>
    </row>
    <row r="6" spans="1:7" x14ac:dyDescent="0.3">
      <c r="A6" s="1"/>
      <c r="B6" t="s">
        <v>84</v>
      </c>
    </row>
    <row r="7" spans="1:7" x14ac:dyDescent="0.3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3">
      <c r="A8" s="1"/>
      <c r="C8" t="s">
        <v>86</v>
      </c>
      <c r="F8" s="1" t="s">
        <v>230</v>
      </c>
      <c r="G8" t="s">
        <v>230</v>
      </c>
    </row>
    <row r="9" spans="1:7" x14ac:dyDescent="0.3">
      <c r="A9" s="1"/>
      <c r="C9" t="s">
        <v>85</v>
      </c>
      <c r="F9" s="1" t="s">
        <v>95</v>
      </c>
      <c r="G9" t="s">
        <v>95</v>
      </c>
    </row>
    <row r="10" spans="1:7" x14ac:dyDescent="0.3">
      <c r="A10" s="1"/>
      <c r="D10" t="s">
        <v>86</v>
      </c>
      <c r="F10" s="1" t="s">
        <v>230</v>
      </c>
      <c r="G10" t="s">
        <v>281</v>
      </c>
    </row>
    <row r="11" spans="1:7" x14ac:dyDescent="0.3">
      <c r="A11" s="1"/>
      <c r="D11" t="s">
        <v>87</v>
      </c>
      <c r="F11" s="1" t="s">
        <v>96</v>
      </c>
      <c r="G11" t="s">
        <v>282</v>
      </c>
    </row>
    <row r="12" spans="1:7" x14ac:dyDescent="0.3">
      <c r="A12" s="1"/>
      <c r="D12" t="s">
        <v>88</v>
      </c>
      <c r="F12" s="1" t="s">
        <v>97</v>
      </c>
      <c r="G12" t="s">
        <v>283</v>
      </c>
    </row>
    <row r="13" spans="1:7" x14ac:dyDescent="0.3">
      <c r="A13" s="1"/>
      <c r="D13" t="s">
        <v>89</v>
      </c>
      <c r="F13" s="1" t="s">
        <v>98</v>
      </c>
      <c r="G13" t="s">
        <v>284</v>
      </c>
    </row>
    <row r="14" spans="1:7" x14ac:dyDescent="0.3">
      <c r="A14" s="1"/>
      <c r="D14" t="s">
        <v>90</v>
      </c>
      <c r="F14" s="1" t="s">
        <v>99</v>
      </c>
      <c r="G14" t="s">
        <v>285</v>
      </c>
    </row>
    <row r="15" spans="1:7" x14ac:dyDescent="0.3">
      <c r="A15" s="1"/>
      <c r="D15" t="s">
        <v>91</v>
      </c>
      <c r="F15" s="1" t="s">
        <v>100</v>
      </c>
      <c r="G15" t="s">
        <v>286</v>
      </c>
    </row>
    <row r="16" spans="1:7" ht="12" customHeight="1" x14ac:dyDescent="0.3">
      <c r="A16" s="1"/>
      <c r="D16" t="s">
        <v>266</v>
      </c>
      <c r="F16" s="1" t="s">
        <v>267</v>
      </c>
      <c r="G16" t="s">
        <v>287</v>
      </c>
    </row>
    <row r="17" spans="1:7" ht="12" customHeight="1" x14ac:dyDescent="0.3">
      <c r="A17" s="1"/>
      <c r="D17" t="s">
        <v>301</v>
      </c>
      <c r="F17" s="1" t="s">
        <v>302</v>
      </c>
      <c r="G17" t="s">
        <v>303</v>
      </c>
    </row>
    <row r="18" spans="1:7" x14ac:dyDescent="0.3">
      <c r="A18" s="1"/>
      <c r="D18" t="s">
        <v>345</v>
      </c>
      <c r="F18" s="1" t="s">
        <v>347</v>
      </c>
      <c r="G18" t="s">
        <v>346</v>
      </c>
    </row>
    <row r="19" spans="1:7" x14ac:dyDescent="0.3">
      <c r="A19" s="1"/>
      <c r="C19" t="s">
        <v>88</v>
      </c>
      <c r="F19" s="1" t="s">
        <v>97</v>
      </c>
      <c r="G19" t="s">
        <v>97</v>
      </c>
    </row>
    <row r="20" spans="1:7" x14ac:dyDescent="0.3">
      <c r="A20" s="1"/>
      <c r="D20" t="s">
        <v>92</v>
      </c>
      <c r="F20" s="1" t="s">
        <v>111</v>
      </c>
      <c r="G20" t="s">
        <v>288</v>
      </c>
    </row>
    <row r="21" spans="1:7" x14ac:dyDescent="0.3">
      <c r="A21" s="1"/>
      <c r="D21" t="s">
        <v>93</v>
      </c>
      <c r="F21" s="1" t="s">
        <v>101</v>
      </c>
      <c r="G21" t="s">
        <v>289</v>
      </c>
    </row>
    <row r="22" spans="1:7" x14ac:dyDescent="0.3">
      <c r="A22" s="1"/>
      <c r="C22" t="s">
        <v>89</v>
      </c>
      <c r="F22" s="1" t="s">
        <v>98</v>
      </c>
      <c r="G22" t="s">
        <v>98</v>
      </c>
    </row>
    <row r="23" spans="1:7" x14ac:dyDescent="0.3">
      <c r="A23" s="1"/>
      <c r="D23" t="s">
        <v>92</v>
      </c>
      <c r="F23" s="1" t="s">
        <v>111</v>
      </c>
      <c r="G23" t="s">
        <v>298</v>
      </c>
    </row>
    <row r="24" spans="1:7" x14ac:dyDescent="0.3">
      <c r="A24" s="1"/>
      <c r="C24" t="s">
        <v>87</v>
      </c>
      <c r="F24" s="1" t="s">
        <v>96</v>
      </c>
      <c r="G24" t="s">
        <v>96</v>
      </c>
    </row>
    <row r="25" spans="1:7" x14ac:dyDescent="0.3">
      <c r="A25" s="1"/>
      <c r="D25" t="s">
        <v>92</v>
      </c>
      <c r="F25" s="1" t="s">
        <v>111</v>
      </c>
      <c r="G25" t="s">
        <v>297</v>
      </c>
    </row>
    <row r="26" spans="1:7" x14ac:dyDescent="0.3">
      <c r="A26" s="1"/>
      <c r="C26" t="s">
        <v>90</v>
      </c>
      <c r="F26" s="1" t="s">
        <v>99</v>
      </c>
      <c r="G26" t="s">
        <v>99</v>
      </c>
    </row>
    <row r="27" spans="1:7" x14ac:dyDescent="0.3">
      <c r="A27" s="1"/>
      <c r="C27" t="s">
        <v>266</v>
      </c>
      <c r="F27" s="1" t="s">
        <v>267</v>
      </c>
      <c r="G27" t="s">
        <v>267</v>
      </c>
    </row>
    <row r="28" spans="1:7" x14ac:dyDescent="0.3">
      <c r="A28" s="1"/>
      <c r="D28" t="s">
        <v>268</v>
      </c>
      <c r="F28" s="1" t="s">
        <v>270</v>
      </c>
      <c r="G28" t="s">
        <v>290</v>
      </c>
    </row>
    <row r="29" spans="1:7" x14ac:dyDescent="0.3">
      <c r="A29" s="1"/>
      <c r="D29" t="s">
        <v>271</v>
      </c>
      <c r="F29" s="1" t="s">
        <v>269</v>
      </c>
      <c r="G29" t="s">
        <v>291</v>
      </c>
    </row>
    <row r="30" spans="1:7" x14ac:dyDescent="0.3">
      <c r="A30" s="1"/>
      <c r="D30" t="s">
        <v>272</v>
      </c>
      <c r="F30" s="1" t="s">
        <v>275</v>
      </c>
      <c r="G30" t="s">
        <v>292</v>
      </c>
    </row>
    <row r="31" spans="1:7" x14ac:dyDescent="0.3">
      <c r="A31" s="1"/>
      <c r="D31" t="s">
        <v>273</v>
      </c>
      <c r="F31" s="1" t="s">
        <v>276</v>
      </c>
      <c r="G31" t="s">
        <v>293</v>
      </c>
    </row>
    <row r="32" spans="1:7" x14ac:dyDescent="0.3">
      <c r="A32" s="1"/>
      <c r="D32" t="s">
        <v>274</v>
      </c>
      <c r="F32" s="1" t="s">
        <v>277</v>
      </c>
      <c r="G32" t="s">
        <v>294</v>
      </c>
    </row>
    <row r="33" spans="1:8" x14ac:dyDescent="0.3">
      <c r="A33" s="1"/>
      <c r="D33" t="s">
        <v>279</v>
      </c>
      <c r="F33" s="1" t="s">
        <v>278</v>
      </c>
      <c r="G33" t="s">
        <v>295</v>
      </c>
    </row>
    <row r="34" spans="1:8" x14ac:dyDescent="0.3">
      <c r="A34" s="1"/>
      <c r="C34" t="s">
        <v>301</v>
      </c>
      <c r="F34" s="1" t="s">
        <v>302</v>
      </c>
      <c r="G34" t="s">
        <v>302</v>
      </c>
    </row>
    <row r="35" spans="1:8" x14ac:dyDescent="0.3">
      <c r="A35" s="1"/>
      <c r="D35" t="s">
        <v>304</v>
      </c>
      <c r="F35" s="1" t="s">
        <v>305</v>
      </c>
      <c r="G35" t="s">
        <v>306</v>
      </c>
    </row>
    <row r="36" spans="1:8" x14ac:dyDescent="0.3">
      <c r="A36" s="1"/>
      <c r="D36" t="s">
        <v>93</v>
      </c>
      <c r="F36" s="1" t="s">
        <v>101</v>
      </c>
      <c r="G36" t="s">
        <v>307</v>
      </c>
    </row>
    <row r="37" spans="1:8" x14ac:dyDescent="0.3">
      <c r="A37" s="1"/>
      <c r="D37" t="s">
        <v>308</v>
      </c>
      <c r="F37" s="1" t="s">
        <v>309</v>
      </c>
      <c r="G37" t="s">
        <v>310</v>
      </c>
    </row>
    <row r="38" spans="1:8" x14ac:dyDescent="0.3">
      <c r="A38" s="1"/>
      <c r="D38" t="s">
        <v>311</v>
      </c>
      <c r="F38" s="1" t="s">
        <v>312</v>
      </c>
      <c r="G38" t="s">
        <v>313</v>
      </c>
    </row>
    <row r="39" spans="1:8" x14ac:dyDescent="0.3">
      <c r="A39" s="1"/>
      <c r="D39" t="s">
        <v>315</v>
      </c>
      <c r="F39" s="1" t="s">
        <v>316</v>
      </c>
      <c r="G39" t="s">
        <v>317</v>
      </c>
    </row>
    <row r="40" spans="1:8" x14ac:dyDescent="0.3">
      <c r="A40" s="1"/>
      <c r="C40" t="s">
        <v>314</v>
      </c>
      <c r="F40" s="1" t="s">
        <v>296</v>
      </c>
      <c r="G40" t="s">
        <v>296</v>
      </c>
    </row>
    <row r="41" spans="1:8" x14ac:dyDescent="0.3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3">
      <c r="A42" s="1"/>
      <c r="C42" t="s">
        <v>319</v>
      </c>
      <c r="F42" s="1" t="s">
        <v>332</v>
      </c>
      <c r="G42" t="s">
        <v>332</v>
      </c>
    </row>
    <row r="43" spans="1:8" x14ac:dyDescent="0.3">
      <c r="A43" s="1"/>
      <c r="D43" t="s">
        <v>320</v>
      </c>
      <c r="F43" s="1" t="s">
        <v>326</v>
      </c>
      <c r="G43" t="s">
        <v>333</v>
      </c>
    </row>
    <row r="44" spans="1:8" x14ac:dyDescent="0.3">
      <c r="A44" s="1"/>
      <c r="D44" t="s">
        <v>322</v>
      </c>
      <c r="F44" s="1" t="s">
        <v>327</v>
      </c>
      <c r="G44" t="s">
        <v>334</v>
      </c>
    </row>
    <row r="45" spans="1:8" x14ac:dyDescent="0.3">
      <c r="A45" s="1"/>
      <c r="D45" t="s">
        <v>321</v>
      </c>
      <c r="F45" s="1" t="s">
        <v>328</v>
      </c>
      <c r="G45" t="s">
        <v>335</v>
      </c>
    </row>
    <row r="46" spans="1:8" x14ac:dyDescent="0.3">
      <c r="A46" s="1"/>
      <c r="D46" t="s">
        <v>324</v>
      </c>
      <c r="F46" s="1" t="s">
        <v>329</v>
      </c>
      <c r="G46" t="s">
        <v>336</v>
      </c>
    </row>
    <row r="47" spans="1:8" x14ac:dyDescent="0.3">
      <c r="A47" s="1"/>
      <c r="D47" t="s">
        <v>342</v>
      </c>
      <c r="F47" s="1" t="s">
        <v>343</v>
      </c>
      <c r="G47" t="s">
        <v>344</v>
      </c>
    </row>
    <row r="48" spans="1:8" x14ac:dyDescent="0.3">
      <c r="A48" s="1"/>
      <c r="D48" t="s">
        <v>325</v>
      </c>
      <c r="F48" s="1" t="s">
        <v>330</v>
      </c>
      <c r="G48" t="s">
        <v>337</v>
      </c>
    </row>
    <row r="49" spans="1:7" x14ac:dyDescent="0.3">
      <c r="A49" s="1"/>
      <c r="D49" t="s">
        <v>323</v>
      </c>
      <c r="F49" s="1" t="s">
        <v>331</v>
      </c>
      <c r="G49" t="s">
        <v>338</v>
      </c>
    </row>
    <row r="50" spans="1:7" x14ac:dyDescent="0.3">
      <c r="A50" s="1"/>
      <c r="D50" t="s">
        <v>339</v>
      </c>
      <c r="F50" s="1" t="s">
        <v>340</v>
      </c>
      <c r="G50" t="s">
        <v>341</v>
      </c>
    </row>
    <row r="51" spans="1:7" x14ac:dyDescent="0.3">
      <c r="A51" s="1"/>
    </row>
    <row r="52" spans="1:7" x14ac:dyDescent="0.3">
      <c r="A52" s="1"/>
      <c r="B52" t="s">
        <v>83</v>
      </c>
    </row>
    <row r="53" spans="1:7" x14ac:dyDescent="0.3">
      <c r="A53" s="1"/>
      <c r="B53" t="s">
        <v>80</v>
      </c>
    </row>
    <row r="54" spans="1:7" x14ac:dyDescent="0.3">
      <c r="A54" s="1"/>
      <c r="C54" s="17" t="s">
        <v>77</v>
      </c>
    </row>
    <row r="55" spans="1:7" x14ac:dyDescent="0.3">
      <c r="A55" s="1"/>
      <c r="C55" s="16" t="s">
        <v>78</v>
      </c>
    </row>
    <row r="56" spans="1:7" x14ac:dyDescent="0.3">
      <c r="A56" s="1"/>
      <c r="C56" s="16" t="s">
        <v>79</v>
      </c>
    </row>
    <row r="57" spans="1:7" x14ac:dyDescent="0.3">
      <c r="A57" s="1"/>
      <c r="B57" t="s">
        <v>103</v>
      </c>
      <c r="C57" s="16"/>
    </row>
    <row r="58" spans="1:7" x14ac:dyDescent="0.3">
      <c r="A58" s="1"/>
      <c r="C58" s="16" t="s">
        <v>104</v>
      </c>
    </row>
    <row r="59" spans="1:7" x14ac:dyDescent="0.3">
      <c r="A59" s="1"/>
      <c r="C59" s="16" t="s">
        <v>105</v>
      </c>
    </row>
    <row r="60" spans="1:7" x14ac:dyDescent="0.3">
      <c r="A60" s="1"/>
      <c r="C60" s="16" t="s">
        <v>106</v>
      </c>
    </row>
    <row r="61" spans="1:7" x14ac:dyDescent="0.3">
      <c r="A61" s="1"/>
      <c r="C61" s="16" t="s">
        <v>108</v>
      </c>
    </row>
    <row r="62" spans="1:7" x14ac:dyDescent="0.3">
      <c r="A62" s="1"/>
      <c r="C62" s="16" t="s">
        <v>110</v>
      </c>
    </row>
    <row r="63" spans="1:7" x14ac:dyDescent="0.3">
      <c r="A63" s="1"/>
      <c r="C63" s="16" t="s">
        <v>109</v>
      </c>
    </row>
    <row r="64" spans="1:7" x14ac:dyDescent="0.3">
      <c r="A64" s="1"/>
      <c r="C64" s="16" t="s">
        <v>107</v>
      </c>
    </row>
    <row r="65" spans="2:14" ht="21" customHeight="1" x14ac:dyDescent="0.3">
      <c r="B65" s="19" t="s">
        <v>75</v>
      </c>
    </row>
    <row r="66" spans="2:14" ht="21" customHeight="1" x14ac:dyDescent="0.3">
      <c r="B66" s="59" t="s">
        <v>227</v>
      </c>
    </row>
    <row r="67" spans="2:14" ht="15" thickBot="1" x14ac:dyDescent="0.35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5">
      <c r="B68" s="49" t="s">
        <v>222</v>
      </c>
      <c r="C68" s="48" t="e">
        <f ca="1">A.Backend!J7</f>
        <v>#NAME?</v>
      </c>
      <c r="D68" s="48" t="str">
        <f>A.Backend!O7</f>
        <v xml:space="preserve">		public const string Pages_Inventory_CKD_PhysicalStockPeriod = "Pages.Inventory.CKD.PhysicalStockPeriod";
		public const string Pages_Inventory_CKD_PhysicalStockPeriod_CreateEdit = "Pages.Inventory.CKD.PhysicalStockPeriod.CreateEdit";
		public const string Pages_Inventory_CKD_PhysicalStockPeriod_Delete = "Pages.Inventory.CKD.PhysicalStockPeriod.Delete";
</v>
      </c>
      <c r="E68" s="48" t="str">
        <f>A.Backend!N7</f>
        <v xml:space="preserve">		var perInvCkdPhysicalStockPeriod = PARENTS.CreateChildPermission(AppPermissions.Pages_Inventory_CKD_PhysicalStockPeriod, L( "InventoryCKDPhysicalStockPeriod"), multiTenancySides: MultiTenancySides.Tenant);
		perInvCkdPhysicalStockPeriod.CreateChildPermission(AppPermissions.Pages_Inventory_CKD_PhysicalStockPeriod_CreateEdit, L( "InventoryCKDPhysicalStockPeriodCreateEdit"), multiTenancySides: MultiTenancySides.Tenant);
		perInvCkdPhysicalStockPeriod.CreateChildPermission(AppPermissions.Pages_Inventory_CKD_PhysicalStockPeriod_Delete, L( "InventoryCKDPhysicalStockPeriodDelete"), multiTenancySides: MultiTenancySides.Tenant);</v>
      </c>
      <c r="F68" s="48" t="str">
        <f>A.Backend!K7</f>
        <v>public virtual DbSet&lt;InvCkdPhysicalStockPeriod&gt; InvCkdPhysicalStockPeriods { get; set; }</v>
      </c>
      <c r="G68" s="48" t="e">
        <f ca="1">A.Backend!L7</f>
        <v>#NAME?</v>
      </c>
      <c r="H68" s="48" t="e">
        <f ca="1">A.Backend!M7</f>
        <v>#NAME?</v>
      </c>
      <c r="I68" s="48" t="e">
        <f ca="1">A.Backend!R7</f>
        <v>#NAME?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vovina.Inventory.CKD.Dto;
namespace prod.Inventory.CKD
{
	public interface IInvCkdPhysicalStockPeriodAppService : IApplicationService
	{
		Task&lt;PagedResultDto&lt;InvCkdPhysicalStockPeriodDto&gt;&gt; GetAll(GetInvCkdPhysicalStockPeriodInput input);
		Task CreateOrEdit(CreateOrEditInvCkdPhysicalStockPeriodDto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IInvCkdPhysicalStockPeriodExcelExporter : IApplicationService
	{
		FileDto ExportToFile(List&lt;InvCkdPhysicalStockPeriodDto&gt; invckdphysicalstockperiod);
	}
}
</v>
      </c>
      <c r="L68" s="48" t="e">
        <f ca="1">A.Backend!T7</f>
        <v>#NAME?</v>
      </c>
      <c r="M68" s="55" t="e">
        <f ca="1">A.Backend!Q7</f>
        <v>#NAME?</v>
      </c>
      <c r="N68" s="58" t="str">
        <f>A.Backend!U7</f>
        <v xml:space="preserve">  configuration.CreateMap&lt;InvCkdPhysicalStockPeriodDto, InvCkdPhysicalStockPeriod&gt;();
  configuration.CreateMap&lt;InvCkdPhysicalStockPeriod, InvCkdPhysicalStockPeriodDto&gt;();
  configuration.CreateMap&lt;CreateOrEditInvCkdPhysicalStockPeriodDto, InvCkdPhysicalStockPeriod&gt;();</v>
      </c>
    </row>
    <row r="69" spans="2:14" s="15" customFormat="1" ht="21.75" customHeight="1" x14ac:dyDescent="0.3">
      <c r="C69" s="61"/>
      <c r="H69" s="62"/>
      <c r="I69" s="62"/>
      <c r="M69" s="62"/>
    </row>
    <row r="70" spans="2:14" s="15" customFormat="1" ht="21.75" customHeight="1" x14ac:dyDescent="0.3"/>
    <row r="71" spans="2:14" s="15" customFormat="1" ht="21.75" customHeight="1" x14ac:dyDescent="0.3"/>
    <row r="72" spans="2:14" x14ac:dyDescent="0.3">
      <c r="B72" s="1" t="s">
        <v>70</v>
      </c>
    </row>
    <row r="73" spans="2:14" ht="21" x14ac:dyDescent="0.4">
      <c r="B73" t="str">
        <f>B.Frontend!B8</f>
        <v>physicalstockperiod</v>
      </c>
      <c r="C73" s="66" t="str">
        <f>"create folder " &amp;B73</f>
        <v>create folder physicalstockperiod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3">
      <c r="B74" s="56" t="s">
        <v>225</v>
      </c>
      <c r="C74" s="28" t="str">
        <f>B.Frontend!H14</f>
        <v>physicalstockperiod.component.ts</v>
      </c>
      <c r="D74" s="28" t="str">
        <f>B.Frontend!I14</f>
        <v>physicalstockperiod.component.html</v>
      </c>
      <c r="E74" s="28" t="str">
        <f>B.Frontend!J14</f>
        <v>physicalstockperiod.component.less</v>
      </c>
      <c r="F74" s="28" t="str">
        <f>B.Frontend!K14</f>
        <v>create-or-edit-physicalstockperiod-modal.component.html</v>
      </c>
      <c r="G74" s="28" t="str">
        <f>B.Frontend!L14</f>
        <v>create-or-edit-physicalstockperiod-modal.component.ts</v>
      </c>
      <c r="H74" s="28" t="str">
        <f>B.Frontend!M14</f>
        <v>create-or-edit-physicalstockperiod-modal.component.less</v>
      </c>
      <c r="I74" s="28" t="str">
        <f>B.Frontend!N14</f>
        <v>physicalstockperiod.module.ts</v>
      </c>
      <c r="J74" s="28" t="str">
        <f>B.Frontend!O14</f>
        <v>physicalstockperiod-routing.module.ts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3">
      <c r="B75" s="57" t="s">
        <v>222</v>
      </c>
      <c r="C75" s="46" t="e">
        <f ca="1">B.Frontend!H10</f>
        <v>#NAME?</v>
      </c>
      <c r="D75" s="46" t="e">
        <f ca="1">B.Frontend!I10</f>
        <v>#NAME?</v>
      </c>
      <c r="E75" s="46" t="str">
        <f>B.Frontend!J10</f>
        <v>.input-search{
    width: 250px;
    border-radius: 10px;
    margin-left: 10px;
}
.btn-search{
    width: 50px;
    margin-left: 10px;
}</v>
      </c>
      <c r="F75" s="46" t="e">
        <f ca="1">B.Frontend!K10</f>
        <v>#NAME?</v>
      </c>
      <c r="G75" s="46" t="e">
        <f ca="1">B.Frontend!L10</f>
        <v>#NAME?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PhysicalStockPeriodRoutingModule } from './physicalstockperiod-routing.module';
import { PhysicalStockPeriodComponent } from './physicalstockperiod.component';
import { CreateOrEditPhysicalStockPeriodModalComponent } from './create-or-edit-physicalstockperiod-modal.component';
@NgModule({
    declarations: [
       PhysicalStockPeriodComponent, 
        CreateOrEditPhysicalStockPeriodModalComponent
    ],
    imports: [
        AppSharedModule, PhysicalStockPeriodRoutingModule]
})
export class PhysicalStockPeriodModule {}</v>
      </c>
      <c r="J75" s="46" t="str">
        <f>B.Frontend!O10</f>
        <v>import {NgModule} from '@angular/core';
import {RouterModule, Routes} from '@angular/router';
import { PhysicalStockPeriodComponent } from './physicalstockperiod.component';
const routes: Routes = [{
    path: '',
    component: PhysicalStockPeriodComponent,
    pathMatch: 'full'
}];
@NgModule({
    imports: [RouterModule.forChild(routes)],
    exports: [RouterModule],
})
export class PhysicalStockPeriodRoutingModule {}</v>
      </c>
      <c r="K75" s="46" t="str">
        <f>B.Frontend!P10</f>
        <v xml:space="preserve"> new AppMenuItem("PhysicalStockPeriod", "Pages.Inventory.CKD.PhysicalStockPeriod", "flaticon-book",   "/app/main/inventory/ckd/physicalstockperiod"),</v>
      </c>
      <c r="L75" s="47" t="str">
        <f>B.Frontend!Q10</f>
        <v>{
    path: 'inventory/ckd/physicalstockperiod',
    loadChildren: () =&gt; import('./inventory/ckd/physicalstockperiod/physicalstockperiod.module').then(m =&gt; m.PhysicalStockPeriodModule),
    data: { permission: 'Pages.Inventory.CKD.PhysicalStockPeriod' }
},</v>
      </c>
      <c r="M75" s="45" t="str">
        <f>B.Frontend!R10</f>
        <v>ApiServiceProxies.InvCkdPhysicalStockPeriodServiceProxy,</v>
      </c>
    </row>
    <row r="77" spans="2:14" x14ac:dyDescent="0.3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4"/>
  <sheetViews>
    <sheetView tabSelected="1" workbookViewId="0">
      <pane xSplit="1" topLeftCell="B1" activePane="topRight" state="frozen"/>
      <selection pane="topRight" activeCell="B5" sqref="B5"/>
    </sheetView>
  </sheetViews>
  <sheetFormatPr defaultColWidth="9.109375" defaultRowHeight="14.4" x14ac:dyDescent="0.3"/>
  <cols>
    <col min="1" max="1" width="20.88671875" style="7" customWidth="1"/>
    <col min="2" max="2" width="20.44140625" style="8" customWidth="1"/>
    <col min="3" max="3" width="19.44140625" style="7" customWidth="1"/>
    <col min="4" max="4" width="23.44140625" style="7" customWidth="1"/>
    <col min="5" max="5" width="14.44140625" style="7" customWidth="1"/>
    <col min="6" max="6" width="14.88671875" style="7" customWidth="1"/>
    <col min="7" max="7" width="17.33203125" style="7" bestFit="1" customWidth="1"/>
    <col min="8" max="8" width="15" style="7" customWidth="1"/>
    <col min="9" max="9" width="16" style="7" customWidth="1"/>
    <col min="10" max="10" width="15.88671875" style="7" customWidth="1"/>
    <col min="11" max="11" width="16" style="7" customWidth="1"/>
    <col min="12" max="12" width="16.6640625" style="7" customWidth="1"/>
    <col min="13" max="13" width="17.44140625" style="7" customWidth="1"/>
    <col min="14" max="14" width="16.109375" style="7" customWidth="1"/>
    <col min="15" max="15" width="14.6640625" style="7" customWidth="1"/>
    <col min="16" max="16" width="16" style="7" customWidth="1"/>
    <col min="17" max="17" width="15.6640625" style="7" customWidth="1"/>
    <col min="18" max="18" width="19.44140625" style="7" customWidth="1"/>
    <col min="19" max="19" width="20.44140625" style="7" customWidth="1"/>
    <col min="20" max="20" width="17" style="7" customWidth="1"/>
    <col min="21" max="21" width="14" style="7" customWidth="1"/>
    <col min="22" max="22" width="15.109375" style="7" customWidth="1"/>
    <col min="23" max="23" width="27.88671875" style="8" customWidth="1"/>
    <col min="24" max="16384" width="9.109375" style="7"/>
  </cols>
  <sheetData>
    <row r="1" spans="1:26" s="10" customFormat="1" ht="14.25" customHeight="1" x14ac:dyDescent="0.3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vovina.Inventory.CKD.Dto;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6" s="10" customFormat="1" x14ac:dyDescent="0.3">
      <c r="A2" s="1" t="s">
        <v>12</v>
      </c>
      <c r="B2" s="27" t="s">
        <v>348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6" s="10" customFormat="1" ht="33" customHeight="1" x14ac:dyDescent="0.3">
      <c r="A3" s="1" t="s">
        <v>5</v>
      </c>
      <c r="B3" s="27" t="s">
        <v>363</v>
      </c>
      <c r="C3" s="9" t="s">
        <v>41</v>
      </c>
      <c r="D3" s="9" t="s">
        <v>42</v>
      </c>
      <c r="E3" s="9" t="s">
        <v>37</v>
      </c>
      <c r="F3" s="10" t="str">
        <f>"J"&amp;COUNTA($A:$A)</f>
        <v>J12</v>
      </c>
      <c r="G3" s="4" t="s">
        <v>54</v>
      </c>
      <c r="H3" s="9" t="str">
        <f>"I"&amp;COUNTA($A:$A)</f>
        <v>I12</v>
      </c>
      <c r="I3" s="9" t="str">
        <f>REPT(CHAR(9),2)&amp;"[Required]"&amp;"
"</f>
        <v xml:space="preserve">		[Required]
</v>
      </c>
      <c r="J3" s="10" t="str">
        <f>"L"&amp;COUNTA($A:$A)</f>
        <v>L12</v>
      </c>
      <c r="K3" s="5" t="s">
        <v>53</v>
      </c>
      <c r="L3" s="10" t="str">
        <f>"M"&amp;COUNTA($A:$A)</f>
        <v>M12</v>
      </c>
      <c r="M3" s="10" t="str">
        <f>"N"&amp;COUNTA($A:$A)</f>
        <v>N12</v>
      </c>
      <c r="N3" s="10" t="str">
        <f>"O"&amp;COUNTA($A:$A)</f>
        <v>O12</v>
      </c>
      <c r="O3" s="10" t="str">
        <f>"P"&amp;COUNTA($A:$A)</f>
        <v>P12</v>
      </c>
      <c r="Q3" s="10" t="str">
        <f>RIGHT(B2,(LEN(B2)-FIND(".",B2,1)))</f>
        <v>CKD</v>
      </c>
      <c r="R3" s="29" t="str">
        <f>REPT(CHAR(9),1)&amp;"public class "&amp;B3&amp;"ExportInput"&amp;C3</f>
        <v xml:space="preserve">	public class InvCkdPhysicalStockPeriodExportInput{
</v>
      </c>
      <c r="S3" s="10" t="str">
        <f>"namespace "&amp;$B$6&amp;".Exporting
"&amp;$C$3</f>
        <v xml:space="preserve">namespace prod.Inventory.CKD.Exporting
{
</v>
      </c>
      <c r="T3" s="10" t="str">
        <f>"T"&amp;COUNTA($A:$A)</f>
        <v>T12</v>
      </c>
      <c r="V3" s="10" t="str">
        <f>"V"&amp;COUNTA($A:$A)</f>
        <v>V12</v>
      </c>
      <c r="W3" s="9" t="str">
        <f>"W"&amp;COUNTA($A:$A)</f>
        <v>W12</v>
      </c>
    </row>
    <row r="4" spans="1:26" s="10" customFormat="1" ht="33" customHeight="1" x14ac:dyDescent="0.3">
      <c r="A4" s="1" t="s">
        <v>233</v>
      </c>
      <c r="B4" s="60" t="s">
        <v>319</v>
      </c>
      <c r="C4" s="9"/>
      <c r="D4" s="9"/>
      <c r="E4" s="9"/>
      <c r="G4" s="4"/>
      <c r="H4" s="9"/>
      <c r="I4" s="9"/>
      <c r="K4" s="5"/>
      <c r="R4" s="29"/>
      <c r="W4" s="9"/>
    </row>
    <row r="5" spans="1:26" s="10" customFormat="1" ht="33" customHeight="1" x14ac:dyDescent="0.3">
      <c r="A5" s="1" t="s">
        <v>234</v>
      </c>
      <c r="B5" s="60" t="s">
        <v>364</v>
      </c>
      <c r="C5" s="9"/>
      <c r="D5" s="9"/>
      <c r="E5" s="9"/>
      <c r="G5" s="4"/>
      <c r="H5" s="9"/>
      <c r="I5" s="9"/>
      <c r="K5" s="5"/>
      <c r="R5" s="29"/>
      <c r="W5" s="9"/>
    </row>
    <row r="6" spans="1:26" customFormat="1" ht="24.9" customHeight="1" x14ac:dyDescent="0.3">
      <c r="A6" s="1" t="s">
        <v>6</v>
      </c>
      <c r="B6" s="9" t="str">
        <f>"prod."&amp;B2</f>
        <v>prod.Inventory.CKD</v>
      </c>
      <c r="C6" s="10" t="str">
        <f>"namespace "&amp;$B$6&amp;"
"&amp;$C$3</f>
        <v xml:space="preserve">namespace prod.Inventory.CKD
{
</v>
      </c>
      <c r="D6" s="10" t="str">
        <f>REPT(CHAR(9),1)&amp;"public class "&amp;B3&amp;G3&amp;REPT(CHAR(9),1)&amp;"
"&amp;REPT(CHAR(9),1)&amp;C3</f>
        <v xml:space="preserve">	public class InvCkdPhysicalStockPeriod: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InvCkdPhysicalStockPeriodConsts	
	{
</v>
      </c>
      <c r="F6" s="10" t="str">
        <f>REPT(CHAR(9),1)&amp;"public class "&amp;B3&amp;"Dto"&amp;K3&amp;REPT(CHAR(9),1)&amp;"
"&amp;REPT(CHAR(9),1)&amp;C3</f>
        <v xml:space="preserve">	public class InvCkdPhysicalStockPeriodDto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CreateOrEditInvCkdPhysicalStockPeriodDto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GetInvCkdPhysicalStockPeriodInput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6" customFormat="1" ht="24.9" customHeight="1" x14ac:dyDescent="0.3">
      <c r="A7" s="1" t="s">
        <v>13</v>
      </c>
      <c r="B7" s="9" t="str">
        <f>B3</f>
        <v>InvCkdPhysicalStockPeriod</v>
      </c>
      <c r="C7" s="10" t="str">
        <f>REPT(CHAR(9),1)&amp;"[Table("""&amp;B7&amp;""")]"&amp;"
"</f>
        <v xml:space="preserve">	[Table("InvCkdPhysicalStockPeriod")]
</v>
      </c>
      <c r="D7" s="10"/>
      <c r="E7" s="10"/>
      <c r="F7" s="10"/>
      <c r="G7" s="10"/>
      <c r="H7" s="10"/>
      <c r="I7" s="10"/>
      <c r="J7" t="e">
        <f ca="1">SUBSTITUTE(SUBSTITUTE((B1&amp;C6&amp;C7&amp;K14&amp;D6&amp;I14&amp;E3&amp;J14&amp;""&amp;REPT(CHAR(9),1)&amp;D3&amp;D3),"WorkingPattern",$Q$3),"Master",$B$4)</f>
        <v>#NAME?</v>
      </c>
      <c r="K7" t="str">
        <f>SUBSTITUTE(SUBSTITUTE(("public virtual DbSet&lt;"&amp;B3&amp;"&gt; "&amp;B3&amp;"s { get; set; }"),"WorkingPattern",$Q$3),"Master",$B$4)</f>
        <v>public virtual DbSet&lt;InvCkdPhysicalStockPeriod&gt; InvCkdPhysicalStockPeriods { get; set; }</v>
      </c>
      <c r="L7" t="e">
        <f ca="1">SUBSTITUTE(SUBSTITUTE((C6&amp;E6&amp;I14&amp;"
"&amp;REPT(CHAR(9),2)&amp;"// Define Store Name: Format SP_ + &lt;Store Name&gt; = &lt;Store Name&gt;
"&amp;E3&amp;REPT(CHAR(9),1)&amp;D3&amp;D3),"WorkingPattern",$Q$3),"Master",$B$4)</f>
        <v>#NAME?</v>
      </c>
      <c r="M7" t="e">
        <f ca="1">SUBSTITUTE(SUBSTITUTE((C1&amp;"namespace "&amp;B6&amp;".Dto"&amp;E3&amp;C3&amp;F6&amp;M14&amp;E3&amp;REPT(CHAR(9),1)&amp;D3&amp;G6&amp;N14&amp;REPT(CHAR(9),1)&amp;D3&amp;H6&amp;O14&amp;"
"&amp;REPT(CHAR(9),1)&amp;D3&amp;D3),"WorkingPattern",$Q$3),"Master",$B$4)</f>
        <v>#NAME?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perInvCkdPhysicalStockPeriod = PARENTS.CreateChildPermission(AppPermissions.Pages_Inventory_CKD_PhysicalStockPeriod, L( "InventoryCKDPhysicalStockPeriod"), multiTenancySides: MultiTenancySides.Tenant);
		perInvCkdPhysicalStockPeriod.CreateChildPermission(AppPermissions.Pages_Inventory_CKD_PhysicalStockPeriod_CreateEdit, L( "InventoryCKDPhysicalStockPeriodCreateEdit"), multiTenancySides: MultiTenancySides.Tenant);
		perInvCkdPhysicalStockPeriod.CreateChildPermission(AppPermissions.Pages_Inventory_CKD_PhysicalStockPeriod_Delete, L( "InventoryCKDPhysicalStockPeriodDelete"),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Pages_Inventory_CKD_PhysicalStockPeriod = "Pages.Inventory.CKD.PhysicalStockPeriod";
		public const string Pages_Inventory_CKD_PhysicalStockPeriod_CreateEdit = "Pages.Inventory.CKD.PhysicalStockPeriod.CreateEdit";
		public const string Pages_Inventory_CKD_PhysicalStockPeriod_Delete = "Pages.Inventory.CKD.PhysicalStockPeriod.Delete";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
{
	public interface IInvCkdPhysicalStockPeriodAppService : IApplicationService
	{
		Task&lt;PagedResultDto&lt;InvCkdPhysicalStockPeriodDto&gt;&gt; GetAll(GetInvCkdPhysicalStockPeriodInput input);
		Task CreateOrEdit(CreateOrEditInvCkdPhysicalStockPeriodDto input);
		Task Delete(EntityDto input);
	}
}
</v>
      </c>
      <c r="Q7" t="e">
        <f ca="1">SUBSTITUTE(SUBSTITUTE(SUBSTITUTE(SUBSTITUTE(SUBSTITUTE(SUBSTITUTE(E1,"MstWptCalendar",$B$3),"&lt;PROPERTIES&gt;",P14),"Calendar",$B$5),"WorkingPattern",$Q$3),"Master",$B$4),"&lt;PARAMS_SEARCH&gt;",$W$14)</f>
        <v>#NAME?</v>
      </c>
      <c r="R7" t="e">
        <f ca="1">SUBSTITUTE(SUBSTITUTE((C1&amp;"namespace "&amp;B6&amp;".Dto"&amp;E3&amp;C3&amp;R3&amp;M14&amp;E3&amp;REPT(CHAR(9),1)&amp;D3&amp;D3),"WorkingPattern",$Q$3),"Master",$B$4)</f>
        <v>#NAME?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IInvCkdPhysicalStockPeriodExcelExporter : IApplicationService
	{
		FileDto ExportToFile(List&lt;InvCkdPhysicalStockPeriodDto&gt; invckdphysicalstockperiod);
	}
}
</v>
      </c>
      <c r="T7" s="26" t="e">
        <f ca="1">SUBSTITUTE(SUBSTITUTE(SUBSTITUTE(SUBSTITUTE(SUBSTITUTE(SUBSTITUTE(SUBSTITUTE(T1,"MstWptCalendar",$B$3),"&lt;PROPERTIES1&gt;",V14),"&lt;PROPERTIES&gt;",T14),"Calendar",$B$5),"calendar",LOWER(B5)),"WorkingPattern",$Q$3),"Master",$B$4)</f>
        <v>#NAME?</v>
      </c>
      <c r="U7" s="26" t="str">
        <f>SUBSTITUTE(SUBSTITUTE(U1,"MstWptCalendar",$B$3),"Master",$B$4)</f>
        <v xml:space="preserve">  configuration.CreateMap&lt;InvCkdPhysicalStockPeriodDto, InvCkdPhysicalStockPeriod&gt;();
  configuration.CreateMap&lt;InvCkdPhysicalStockPeriod, InvCkdPhysicalStockPeriodDto&gt;();
  configuration.CreateMap&lt;CreateOrEditInvCkdPhysicalStockPeriodDto, InvCkdPhysicalStockPeriod&gt;();</v>
      </c>
      <c r="V7" s="26"/>
      <c r="W7" s="26"/>
    </row>
    <row r="8" spans="1:26" s="2" customFormat="1" x14ac:dyDescent="0.3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6" customFormat="1" ht="18.75" customHeight="1" x14ac:dyDescent="0.3">
      <c r="A9" t="s">
        <v>356</v>
      </c>
      <c r="B9" t="s">
        <v>357</v>
      </c>
      <c r="C9" t="s">
        <v>1</v>
      </c>
      <c r="D9" t="str">
        <f t="shared" ref="D9:D10" si="0">SUBSTITUTE(PROPER(A9),"_","")</f>
        <v>Description</v>
      </c>
      <c r="E9" t="str">
        <f t="shared" ref="E9:E10" si="1">IFERROR(LEFT(B9, FIND("(",B9)-1),B9)</f>
        <v>varchar</v>
      </c>
      <c r="F9" s="6"/>
      <c r="G9" t="str">
        <f t="shared" ref="G9:G10" si="2">IFERROR(MID(B9,FIND("(",B9) +1, FIND(")",B9) - FIND("(",B9) - 1),"")</f>
        <v>100</v>
      </c>
      <c r="H9" t="str">
        <f>+VLOOKUP(E9,'Data Type Mapping'!A:B,2,)</f>
        <v>string</v>
      </c>
      <c r="I9" t="str">
        <f t="shared" ref="I9:I10" si="3">IF(H9="string",REPT(CHAR(9),2)&amp;"public const int Max"&amp;D9&amp;"Length = "&amp;G9&amp;";"&amp;$E$3,"" )</f>
        <v xml:space="preserve">		public const int MaxDescriptionLength = 100;
</v>
      </c>
      <c r="J9" t="str">
        <f t="shared" ref="J9:J10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[StringLength(MaxDescriptionLength)]
		public virtual string Description { get; set; }
</v>
      </c>
      <c r="K9" s="6" t="s">
        <v>355</v>
      </c>
      <c r="L9" t="str">
        <f t="shared" ref="L9:L10" si="5">IF(K9="","",REPT(CHAR(9),1)&amp;"[Index(nameof("&amp;IF(D9="","",""&amp;D9)&amp;")"&amp;", Name="&amp;"""IX_"&amp;$B$7&amp;"_"&amp;D9&amp;""")]")</f>
        <v xml:space="preserve">	[Index(nameof(Description), Name="IX_InvCkdPhysicalStockPeriod_Description")]</v>
      </c>
      <c r="M9" t="str">
        <f t="shared" ref="M9:M10" si="6">REPT(CHAR(9),2)&amp;"public virtual "&amp;IF(OR(H9="DateTime",H9="TimeSpan"),H9&amp;"?",H9)&amp;IF(C9="?","? "," ")&amp;D9&amp;" { get; set; }" &amp; "
"</f>
        <v xml:space="preserve">		public virtual string Description { get; set; }
</v>
      </c>
      <c r="N9" t="str">
        <f t="shared" ref="N9:N10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[StringLength(InvCkdPhysicalStockPeriodConsts.MaxDescriptionLength)]
		public virtual string Description { get; set; }
</v>
      </c>
      <c r="O9" t="str">
        <f t="shared" ref="O9:O10" si="8">IF(OR(H9="string",H9="DateTime",H9="int"),REPT(CHAR(9),2)&amp;"public virtual "&amp;IF(OR(H9="DateTime",H9="TimeSpan"),H9&amp;"?",H9)&amp;IF(C9="?","? "," ")&amp;D9&amp;" { get; set; }"&amp;$E$3,"")</f>
        <v xml:space="preserve">		public virtual string Description { get; set; }
</v>
      </c>
      <c r="P9" t="str">
        <f t="shared" ref="P9:P10" si="9">REPT(CHAR(9),7)&amp;D9&amp;" = o." &amp;D9 &amp;","</f>
        <v xml:space="preserve">							Description = o.Description,</v>
      </c>
      <c r="T9" s="64" t="str">
        <f t="shared" ref="T9:T10" si="10">REPT(CHAR(9),8)&amp;"("""&amp;D9&amp;"""),"</f>
        <v xml:space="preserve">								("Description"),</v>
      </c>
      <c r="V9" s="65" t="str">
        <f t="shared" ref="V9:V10" si="11">REPT(CHAR(9),8)&amp;"_ =&gt; _."&amp;D9&amp;","</f>
        <v xml:space="preserve">								_ =&gt; _.Description,</v>
      </c>
      <c r="W9" s="64" t="str">
        <f t="shared" ref="W9:W10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.WhereIf(!string.IsNullOrWhiteSpace(input.Description), e =&gt; e.Description.Contains(input.Description))</v>
      </c>
      <c r="X9" t="str">
        <f>IF(E9="VARCHAR","Char",(IF(E9="DATE","Date","Number")))</f>
        <v>Char</v>
      </c>
      <c r="Y9" t="str">
        <f>IF(X9="Char","Left",IF(X9="Date","Center","Right"))</f>
        <v>Left</v>
      </c>
      <c r="Z9" t="str">
        <f>IF(X9="Char","",IF(X9="Date","DD/MM/YYYY",IF(H9="decimal?","#,###.####","#,###")))</f>
        <v/>
      </c>
    </row>
    <row r="10" spans="1:26" customFormat="1" ht="18.75" customHeight="1" x14ac:dyDescent="0.3">
      <c r="A10" t="s">
        <v>358</v>
      </c>
      <c r="B10" t="s">
        <v>361</v>
      </c>
      <c r="C10" t="s">
        <v>1</v>
      </c>
      <c r="D10" t="str">
        <f t="shared" si="0"/>
        <v>FromDate</v>
      </c>
      <c r="E10" t="str">
        <f t="shared" si="1"/>
        <v>DATETIME</v>
      </c>
      <c r="F10" s="6" t="s">
        <v>362</v>
      </c>
      <c r="G10" t="str">
        <f t="shared" si="2"/>
        <v/>
      </c>
      <c r="H10" t="str">
        <f>+VLOOKUP(E10,'Data Type Mapping'!A:B,2,)</f>
        <v>DateTime?</v>
      </c>
      <c r="I10" t="str">
        <f t="shared" si="3"/>
        <v/>
      </c>
      <c r="J10" t="str">
        <f t="shared" si="4"/>
        <v xml:space="preserve">		[Column(TypeName="DATE")]
		public virtual DateTime? FromDate { get; set; }
</v>
      </c>
      <c r="K10" s="6"/>
      <c r="L10" t="str">
        <f t="shared" si="5"/>
        <v/>
      </c>
      <c r="M10" t="str">
        <f t="shared" si="6"/>
        <v xml:space="preserve">		public virtual DateTime? FromDate { get; set; }
</v>
      </c>
      <c r="N10" t="str">
        <f t="shared" si="7"/>
        <v xml:space="preserve">		public virtual DateTime? FromDate { get; set; }
</v>
      </c>
      <c r="O10" t="str">
        <f t="shared" si="8"/>
        <v/>
      </c>
      <c r="P10" t="str">
        <f t="shared" si="9"/>
        <v xml:space="preserve">							FromDate = o.FromDate,</v>
      </c>
      <c r="T10" s="64" t="str">
        <f t="shared" si="10"/>
        <v xml:space="preserve">								("FromDate"),</v>
      </c>
      <c r="V10" s="65" t="str">
        <f t="shared" si="11"/>
        <v xml:space="preserve">								_ =&gt; _.FromDate,</v>
      </c>
      <c r="W10" s="64" t="str">
        <f t="shared" si="12"/>
        <v/>
      </c>
      <c r="X10" t="str">
        <f t="shared" ref="X10" si="13">IF(E10="VARCHAR","Char",(IF(E10="DATE","Date","Number")))</f>
        <v>Number</v>
      </c>
      <c r="Y10" t="str">
        <f t="shared" ref="Y10" si="14">IF(X10="Char","Left",IF(X10="Date","Center","Right"))</f>
        <v>Right</v>
      </c>
      <c r="Z10" t="str">
        <f t="shared" ref="Z10" si="15">IF(X10="Char","",IF(X10="Date","DD/MM/YYYY",IF(H10="decimal?","#,###.####","#,###")))</f>
        <v>#,###</v>
      </c>
    </row>
    <row r="11" spans="1:26" customFormat="1" ht="18.75" customHeight="1" x14ac:dyDescent="0.3">
      <c r="A11" t="s">
        <v>359</v>
      </c>
      <c r="B11" t="s">
        <v>361</v>
      </c>
      <c r="C11" t="s">
        <v>1</v>
      </c>
      <c r="D11" t="str">
        <f t="shared" ref="D11:D12" si="16">SUBSTITUTE(PROPER(A11),"_","")</f>
        <v>ToDate</v>
      </c>
      <c r="E11" t="str">
        <f t="shared" ref="E11:E12" si="17">IFERROR(LEFT(B11, FIND("(",B11)-1),B11)</f>
        <v>DATETIME</v>
      </c>
      <c r="F11" s="6" t="s">
        <v>362</v>
      </c>
      <c r="G11" t="str">
        <f t="shared" ref="G11:G12" si="18">IFERROR(MID(B11,FIND("(",B11) +1, FIND(")",B11) - FIND("(",B11) - 1),"")</f>
        <v/>
      </c>
      <c r="H11" t="str">
        <f>+VLOOKUP(E11,'Data Type Mapping'!A:B,2,)</f>
        <v>DateTime?</v>
      </c>
      <c r="I11" t="str">
        <f t="shared" ref="I11:I12" si="19">IF(H11="string",REPT(CHAR(9),2)&amp;"public const int Max"&amp;D11&amp;"Length = "&amp;G11&amp;";"&amp;$E$3,"" )</f>
        <v/>
      </c>
      <c r="J11" t="str">
        <f t="shared" ref="J11:J12" si="20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[Column(TypeName="DATE")]
		public virtual DateTime? ToDate { get; set; }
</v>
      </c>
      <c r="K11" s="6"/>
      <c r="L11" t="str">
        <f t="shared" ref="L11:L12" si="21">IF(K11="","",REPT(CHAR(9),1)&amp;"[Index(nameof("&amp;IF(D11="","",""&amp;D11)&amp;")"&amp;", Name="&amp;"""IX_"&amp;$B$7&amp;"_"&amp;D11&amp;""")]")</f>
        <v/>
      </c>
      <c r="M11" t="str">
        <f t="shared" ref="M11:M12" si="22">REPT(CHAR(9),2)&amp;"public virtual "&amp;IF(OR(H11="DateTime",H11="TimeSpan"),H11&amp;"?",H11)&amp;IF(C11="?","? "," ")&amp;D11&amp;" { get; set; }" &amp; "
"</f>
        <v xml:space="preserve">		public virtual DateTime? ToDate { get; set; }
</v>
      </c>
      <c r="N11" t="str">
        <f t="shared" ref="N11:N12" si="23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public virtual DateTime? ToDate { get; set; }
</v>
      </c>
      <c r="O11" t="str">
        <f t="shared" ref="O11:O12" si="24">IF(OR(H11="string",H11="DateTime",H11="int"),REPT(CHAR(9),2)&amp;"public virtual "&amp;IF(OR(H11="DateTime",H11="TimeSpan"),H11&amp;"?",H11)&amp;IF(C11="?","? "," ")&amp;D11&amp;" { get; set; }"&amp;$E$3,"")</f>
        <v/>
      </c>
      <c r="P11" t="str">
        <f t="shared" ref="P11:P12" si="25">REPT(CHAR(9),7)&amp;D11&amp;" = o." &amp;D11 &amp;","</f>
        <v xml:space="preserve">							ToDate = o.ToDate,</v>
      </c>
      <c r="T11" s="64" t="str">
        <f t="shared" ref="T11:T12" si="26">REPT(CHAR(9),8)&amp;"("""&amp;D11&amp;"""),"</f>
        <v xml:space="preserve">								("ToDate"),</v>
      </c>
      <c r="V11" s="65" t="str">
        <f t="shared" ref="V11:V12" si="27">REPT(CHAR(9),8)&amp;"_ =&gt; _."&amp;D11&amp;","</f>
        <v xml:space="preserve">								_ =&gt; _.ToDate,</v>
      </c>
      <c r="W11" s="64" t="str">
        <f t="shared" ref="W11:W12" si="28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/>
      </c>
      <c r="X11" t="str">
        <f t="shared" ref="X11:X12" si="29">IF(E11="VARCHAR","Char",(IF(E11="DATE","Date","Number")))</f>
        <v>Number</v>
      </c>
      <c r="Y11" t="str">
        <f t="shared" ref="Y11:Y12" si="30">IF(X11="Char","Left",IF(X11="Date","Center","Right"))</f>
        <v>Right</v>
      </c>
      <c r="Z11" t="str">
        <f t="shared" ref="Z11:Z12" si="31">IF(X11="Char","",IF(X11="Date","DD/MM/YYYY",IF(H11="decimal?","#,###.####","#,###")))</f>
        <v>#,###</v>
      </c>
    </row>
    <row r="12" spans="1:26" customFormat="1" ht="18.75" customHeight="1" x14ac:dyDescent="0.3">
      <c r="A12" t="s">
        <v>360</v>
      </c>
      <c r="B12" t="s">
        <v>4</v>
      </c>
      <c r="C12" t="s">
        <v>1</v>
      </c>
      <c r="D12" t="str">
        <f t="shared" si="16"/>
        <v>Status</v>
      </c>
      <c r="E12" t="str">
        <f t="shared" si="17"/>
        <v>int</v>
      </c>
      <c r="F12" s="6"/>
      <c r="G12" t="str">
        <f t="shared" si="18"/>
        <v/>
      </c>
      <c r="H12" t="str">
        <f>+VLOOKUP(E12,'Data Type Mapping'!A:B,2,)</f>
        <v>int?</v>
      </c>
      <c r="I12" t="str">
        <f t="shared" si="19"/>
        <v/>
      </c>
      <c r="J12" t="str">
        <f t="shared" si="20"/>
        <v xml:space="preserve">		public virtual int? Status { get; set; }
</v>
      </c>
      <c r="K12" s="6"/>
      <c r="L12" t="str">
        <f t="shared" si="21"/>
        <v/>
      </c>
      <c r="M12" t="str">
        <f t="shared" si="22"/>
        <v xml:space="preserve">		public virtual int? Status { get; set; }
</v>
      </c>
      <c r="N12" t="str">
        <f t="shared" si="23"/>
        <v xml:space="preserve">		public virtual int? Status { get; set; }
</v>
      </c>
      <c r="O12" t="str">
        <f t="shared" si="24"/>
        <v/>
      </c>
      <c r="P12" t="str">
        <f t="shared" si="25"/>
        <v xml:space="preserve">							Status = o.Status,</v>
      </c>
      <c r="T12" s="64" t="str">
        <f t="shared" si="26"/>
        <v xml:space="preserve">								("Status"),</v>
      </c>
      <c r="V12" s="65" t="str">
        <f t="shared" si="27"/>
        <v xml:space="preserve">								_ =&gt; _.Status,</v>
      </c>
      <c r="W12" s="64" t="str">
        <f t="shared" si="28"/>
        <v/>
      </c>
      <c r="X12" t="str">
        <f t="shared" si="29"/>
        <v>Number</v>
      </c>
      <c r="Y12" t="str">
        <f t="shared" si="30"/>
        <v>Right</v>
      </c>
      <c r="Z12" t="str">
        <f t="shared" si="31"/>
        <v>#,###</v>
      </c>
    </row>
    <row r="14" spans="1:26" ht="45.75" customHeight="1" x14ac:dyDescent="0.3">
      <c r="H14" s="11"/>
      <c r="I14" s="31" t="e">
        <f ca="1">TEXTJOIN2("
", TRUE,INDIRECT( $H$1):INDIRECT( $H$3))</f>
        <v>#NAME?</v>
      </c>
      <c r="J14" s="30" t="e">
        <f ca="1">TEXTJOIN2("
", TRUE,INDIRECT( $F$1):INDIRECT( $F$3))</f>
        <v>#NAME?</v>
      </c>
      <c r="K14" s="32" t="e">
        <f ca="1">TEXTJOIN2("
", TRUE,INDIRECT( $J$1):INDIRECT( $J$3))</f>
        <v>#NAME?</v>
      </c>
      <c r="L14" s="12" t="s">
        <v>57</v>
      </c>
      <c r="M14" s="33" t="e">
        <f ca="1">TEXTJOIN2("
",TRUE,INDIRECT( $L$1):INDIRECT($L$3))</f>
        <v>#NAME?</v>
      </c>
      <c r="N14" s="30" t="e">
        <f ca="1">TEXTJOIN2("
",TRUE,INDIRECT( $M$1):INDIRECT($M$3))</f>
        <v>#NAME?</v>
      </c>
      <c r="O14" s="30" t="e">
        <f ca="1">TEXTJOIN2("
",TRUE,INDIRECT( $N$1):INDIRECT($N$3))</f>
        <v>#NAME?</v>
      </c>
      <c r="P14" s="8" t="e">
        <f ca="1">TEXTJOIN2("
",TRUE,INDIRECT( $O$1):INDIRECT($O$3))</f>
        <v>#NAME?</v>
      </c>
      <c r="T14" s="8" t="e">
        <f ca="1">TEXTJOIN2("
",TRUE,INDIRECT( $T$2):INDIRECT($T$3))</f>
        <v>#NAME?</v>
      </c>
      <c r="V14" s="8" t="e">
        <f ca="1">TEXTJOIN2("
",TRUE,INDIRECT( $V$2):INDIRECT($V$3))</f>
        <v>#NAME?</v>
      </c>
      <c r="W14" s="8" t="e">
        <f ca="1">TEXTJOIN2("
",TRUE,INDIRECT( $W$2):INDIRECT($W$3))</f>
        <v>#NAME?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0"/>
  <sheetViews>
    <sheetView workbookViewId="0">
      <selection activeCell="B6" sqref="B6"/>
    </sheetView>
  </sheetViews>
  <sheetFormatPr defaultColWidth="8.88671875" defaultRowHeight="14.4" x14ac:dyDescent="0.3"/>
  <cols>
    <col min="1" max="1" width="17.6640625" customWidth="1"/>
    <col min="2" max="2" width="15.44140625" customWidth="1"/>
    <col min="3" max="3" width="16.88671875" customWidth="1"/>
    <col min="4" max="7" width="15.109375" customWidth="1"/>
    <col min="8" max="8" width="24.44140625" customWidth="1"/>
    <col min="9" max="9" width="26.109375" customWidth="1"/>
    <col min="10" max="10" width="22.33203125" customWidth="1"/>
    <col min="11" max="11" width="25.88671875" customWidth="1"/>
    <col min="12" max="12" width="23.6640625" customWidth="1"/>
    <col min="13" max="13" width="23.44140625" customWidth="1"/>
    <col min="14" max="15" width="20.44140625" customWidth="1"/>
    <col min="16" max="16" width="25.88671875" customWidth="1"/>
    <col min="17" max="18" width="25.44140625" customWidth="1"/>
    <col min="19" max="19" width="24" customWidth="1"/>
    <col min="20" max="20" width="19.109375" customWidth="1"/>
    <col min="21" max="21" width="19.88671875" customWidth="1"/>
    <col min="22" max="22" width="13.6640625" customWidth="1"/>
  </cols>
  <sheetData>
    <row r="1" spans="1:22" ht="28.8" x14ac:dyDescent="0.3">
      <c r="A1" s="38" t="s">
        <v>208</v>
      </c>
      <c r="B1" s="39" t="s">
        <v>365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3">
      <c r="A2" s="38" t="s">
        <v>233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3">
      <c r="A3" s="38" t="s">
        <v>233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3">
      <c r="A4" s="38" t="s">
        <v>210</v>
      </c>
      <c r="B4" s="40" t="str">
        <f>A.Backend!Q3</f>
        <v>CKD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3">
      <c r="A5" s="38" t="s">
        <v>210</v>
      </c>
      <c r="B5" s="40" t="str">
        <f>LOWER(B4)</f>
        <v>ckd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3">
      <c r="A6" s="38" t="s">
        <v>220</v>
      </c>
      <c r="B6" s="41" t="str">
        <f>A.Backend!B3</f>
        <v>InvCkdPhysicalStockPeriod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3">
      <c r="A7" s="38" t="s">
        <v>211</v>
      </c>
      <c r="B7" s="40" t="str">
        <f>A.Backend!B5</f>
        <v>PhysicalStockPeriod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3">
      <c r="A8" s="38" t="s">
        <v>209</v>
      </c>
      <c r="B8" s="40" t="str">
        <f>LOWER(B7)</f>
        <v>physicalstockperiod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3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3">
      <c r="A10" s="52" t="s">
        <v>213</v>
      </c>
      <c r="B10" s="53"/>
      <c r="C10" s="46"/>
      <c r="D10" s="46"/>
      <c r="E10" s="46"/>
      <c r="F10" s="46"/>
      <c r="G10" s="46"/>
      <c r="H10" s="45" t="e">
        <f ca="1">SUBSTITUTE(SUBSTITUTE(SUBSTITUTE(SUBSTITUTE(SUBSTITUTE(SUBSTITUTE(SUBSTITUTE(H9,"MstWptCalendar",$B$6),"Calendar",$B$7),"calendar",$B$8),"&lt;PROPERTIES&gt;",H13),"&lt;DECLARE&gt;",S13),"&lt;PARAMS&gt;",T13),"&lt;CLEARPARAMS&gt;",U13)</f>
        <v>#NAME?</v>
      </c>
      <c r="I10" s="45" t="e">
        <f ca="1">SUBSTITUTE(SUBSTITUTE(SUBSTITUTE(SUBSTITUTE(SUBSTITUTE(I9,"MstWptCalendar",$B$6),"Calendar",$B$7),"calendar",$B$8),"&lt;PROPERTIES&gt;",I13),"&lt;FULL_TITLE&gt;",B1)</f>
        <v>#NAME?</v>
      </c>
      <c r="J10" s="45" t="str">
        <f>J9</f>
        <v>.input-search{
    width: 250px;
    border-radius: 10px;
    margin-left: 10px;
}
.btn-search{
    width: 50px;
    margin-left: 10px;
}</v>
      </c>
      <c r="K10" s="45" t="e">
        <f ca="1">SUBSTITUTE(SUBSTITUTE(SUBSTITUTE(SUBSTITUTE(K9,"MstWptCalendar",$B$6),"Calendar",$B$7),"calendar",$B$8),"&lt;PROPERTIES&gt;",K13)</f>
        <v>#NAME?</v>
      </c>
      <c r="L10" s="45" t="e">
        <f ca="1">SUBSTITUTE(SUBSTITUTE(SUBSTITUTE(SUBSTITUTE(SUBSTITUTE(L9,"MstWptCalendar",$B$6),"Calendar",$B$7),"calendar",$B$8),"&lt;VIEWDATETIME&gt;",$L$13),"isActive",$V$13)</f>
        <v>#NAME?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PhysicalStockPeriodRoutingModule } from './physicalstockperiod-routing.module';
import { PhysicalStockPeriodComponent } from './physicalstockperiod.component';
import { CreateOrEditPhysicalStockPeriodModalComponent } from './create-or-edit-physicalstockperiod-modal.component';
@NgModule({
    declarations: [
       PhysicalStockPeriodComponent, 
        CreateOrEditPhysicalStockPeriodModalComponent
    ],
    imports: [
        AppSharedModule, PhysicalStockPeriodRoutingModule]
})
export class PhysicalStockPeriodModule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PhysicalStockPeriodComponent } from './physicalstockperiod.component';
const routes: Routes = [{
    path: '',
    component: PhysicalStockPeriodComponent,
    pathMatch: 'full'
}];
@NgModule({
    imports: [RouterModule.forChild(routes)],
    exports: [RouterModule],
})
export class PhysicalStockPeriodRoutingModule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AppMenuItem("PhysicalStockPeriod", "Pages.Inventory.CKD.PhysicalStockPeriod", "flaticon-book",   "/app/main/inventory/ckd/physicalstockperiod"),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'inventory/ckd/physicalstockperiod',
    loadChildren: () =&gt; import('./inventory/ckd/physicalstockperiod/physicalstockperiod.module').then(m =&gt; m.PhysicalStockPeriodModule),
    data: { permission: 'Pages.Inventory.CKD.PhysicalStockPeriod' }
},</v>
      </c>
      <c r="R10" s="47" t="str">
        <f>SUBSTITUTE(R9,"MstWptCalendar",$B$6)</f>
        <v>ApiServiceProxies.InvCkdPhysicalStockPeriodServiceProxy,</v>
      </c>
      <c r="S10" s="28"/>
      <c r="T10" s="28"/>
      <c r="U10" s="28"/>
      <c r="V10" s="28"/>
    </row>
    <row r="11" spans="1:22" x14ac:dyDescent="0.3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3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H18</v>
      </c>
      <c r="I12" s="28" t="str">
        <f>"I"&amp;COUNTA($A:$A)</f>
        <v>I18</v>
      </c>
      <c r="J12" s="28"/>
      <c r="K12" s="28" t="str">
        <f>"K"&amp;COUNTA($A:$A)</f>
        <v>K18</v>
      </c>
      <c r="L12" s="28" t="str">
        <f>"L"&amp;COUNTA($A:$A)</f>
        <v>L18</v>
      </c>
      <c r="M12" s="28"/>
      <c r="N12" s="28"/>
      <c r="O12" s="28"/>
      <c r="P12" s="28"/>
      <c r="Q12" s="28"/>
      <c r="R12" s="28"/>
      <c r="S12" s="28" t="str">
        <f>"S"&amp;COUNTA($A:$A)</f>
        <v>S18</v>
      </c>
      <c r="T12" s="28" t="str">
        <f>"T"&amp;COUNTA($A:$A)</f>
        <v>T18</v>
      </c>
      <c r="U12" s="28" t="str">
        <f>"U"&amp;COUNTA($A:$A)</f>
        <v>U18</v>
      </c>
      <c r="V12" s="28" t="str">
        <f>"V"&amp;COUNTA($A:$A)</f>
        <v>V18</v>
      </c>
    </row>
    <row r="13" spans="1:22" ht="17.25" customHeight="1" x14ac:dyDescent="0.3">
      <c r="A13" s="54">
        <v>3</v>
      </c>
      <c r="B13" s="28"/>
      <c r="C13" s="28"/>
      <c r="D13" s="28"/>
      <c r="E13" s="28"/>
      <c r="F13" s="28"/>
      <c r="G13" s="28"/>
      <c r="H13" s="35" t="e">
        <f ca="1">TEXTJOIN2("
",TRUE,INDIRECT(H11):INDIRECT(H12))</f>
        <v>#NAME?</v>
      </c>
      <c r="I13" s="35" t="e">
        <f ca="1">TEXTJOIN2("
",TRUE,INDIRECT(I11):INDIRECT(I12))</f>
        <v>#NAME?</v>
      </c>
      <c r="J13" s="28"/>
      <c r="K13" s="35" t="e">
        <f ca="1">TEXTJOIN2("
",TRUE,INDIRECT(K11):INDIRECT(K12))</f>
        <v>#NAME?</v>
      </c>
      <c r="L13" s="56" t="e">
        <f ca="1">TEXTJOIN2("
",TRUE,INDIRECT(L11):INDIRECT(L12))</f>
        <v>#NAME?</v>
      </c>
      <c r="M13" s="28"/>
      <c r="N13" s="28"/>
      <c r="O13" s="28"/>
      <c r="P13" s="28"/>
      <c r="Q13" s="28"/>
      <c r="R13" s="28"/>
      <c r="S13" s="63" t="e">
        <f ca="1">TEXTJOIN2("
",TRUE,INDIRECT(S11):INDIRECT(S12))</f>
        <v>#NAME?</v>
      </c>
      <c r="T13" s="63" t="e">
        <f ca="1">TEXTJOIN2("
",TRUE,INDIRECT(T11):INDIRECT(T12))</f>
        <v>#NAME?</v>
      </c>
      <c r="U13" s="63" t="e">
        <f ca="1">TEXTJOIN2("
",TRUE,INDIRECT(U11):INDIRECT(U12))</f>
        <v>#NAME?</v>
      </c>
      <c r="V13" s="28" t="e">
        <f ca="1">TEXTJOIN2("
",TRUE,INDIRECT(V11):INDIRECT(V12))</f>
        <v>#NAME?</v>
      </c>
    </row>
    <row r="14" spans="1:22" x14ac:dyDescent="0.3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physicalstockperiod.component.ts</v>
      </c>
      <c r="I14" s="37" t="str">
        <f>B8&amp;".component.html"</f>
        <v>physicalstockperiod.component.html</v>
      </c>
      <c r="J14" s="36" t="str">
        <f>B8&amp;".component.less"</f>
        <v>physicalstockperiod.component.less</v>
      </c>
      <c r="K14" s="37" t="str">
        <f>"create-or-edit-"&amp;B8&amp;"-modal.component.html"</f>
        <v>create-or-edit-physicalstockperiod-modal.component.html</v>
      </c>
      <c r="L14" s="37" t="str">
        <f>"create-or-edit-"&amp;B8&amp;"-modal.component.ts"</f>
        <v>create-or-edit-physicalstockperiod-modal.component.ts</v>
      </c>
      <c r="M14" s="37" t="str">
        <f>"create-or-edit-"&amp;B8&amp;"-modal.component.less"</f>
        <v>create-or-edit-physicalstockperiod-modal.component.less</v>
      </c>
      <c r="N14" s="37" t="str">
        <f>B8&amp;".module.ts"</f>
        <v>physicalstockperiod.module.ts</v>
      </c>
      <c r="O14" s="37" t="str">
        <f>B8&amp;"-routing.module.ts"</f>
        <v>physicalstockperiod-routing.module.ts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3">
      <c r="A15" t="s">
        <v>356</v>
      </c>
      <c r="B15" s="28" t="str">
        <f t="shared" ref="B15" si="0">SUBSTITUTE(PROPER(A15),"_","")</f>
        <v>Description</v>
      </c>
      <c r="C15" s="28" t="str">
        <f t="shared" ref="C15" si="1">SUBSTITUTE(PROPER(A15),"_"," ")</f>
        <v>Description</v>
      </c>
      <c r="D15" s="28" t="str">
        <f t="shared" ref="D15:D17" si="2">LOWER(LEFT(B15,1))&amp;RIGHT(B15,LEN(B15) - 1)</f>
        <v>description</v>
      </c>
      <c r="E15" s="28" t="str">
        <f>A.Backend!H9</f>
        <v>string</v>
      </c>
      <c r="F15" s="28" t="str">
        <f>A.Backend!G9</f>
        <v>100</v>
      </c>
      <c r="G15" s="28" t="str">
        <f t="shared" ref="G15:G17" si="3">IF(E15="string"," : string = '' ; ",IF(OR(E15="DateTime",E15="TimeSpan")," : any ;",IF(E15="int"," : number = 0 ;","")))</f>
        <v xml:space="preserve"> : string = '' ; </v>
      </c>
      <c r="H15" s="35" t="str">
        <f t="shared" ref="H15:H17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this.l('Description'),headerTooltip: this.l('Description'),field: 'description',flex: 1},</v>
      </c>
      <c r="I15" s="35" t="str">
        <f t="shared" ref="I15:I17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[(ngModel)]='description' name='description'
									class='form-control' [placeholder]="l('Description')"
									type='text' (keyup.enter)='searchDatas()'&gt;
								&lt;/div&gt;</v>
      </c>
      <c r="J15" s="28"/>
      <c r="K15" s="35" t="str">
        <f t="shared" ref="K15:K17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title'&gt;Description&lt;/label&gt;
						&lt;input type='text' class='col-md-10 form-control input-text' name='Description' [(ngModel)]='rowdata.description'&gt;
					&lt;/div&gt;</v>
      </c>
      <c r="L15" s="56" t="str">
        <f t="shared" ref="L15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description : string = '' ; </v>
      </c>
      <c r="T15" s="28" t="str">
        <f>REPT(CHAR(9),3)&amp;"this."&amp;D15&amp;","</f>
        <v xml:space="preserve">			this.description,</v>
      </c>
      <c r="U15" s="28" t="str">
        <f>IF(E15="int",REPT(CHAR(9),2)&amp;"this."&amp;D15&amp;" = 0,",REPT(CHAR(9),2)&amp;"this."&amp;D15&amp;" = '',")</f>
        <v xml:space="preserve">		this.description = '',</v>
      </c>
      <c r="V15" s="28" t="str">
        <f t="shared" ref="V15" si="8">IF(AND(E15="string",F15="1"),D15,"")</f>
        <v/>
      </c>
    </row>
    <row r="16" spans="1:22" ht="18" customHeight="1" x14ac:dyDescent="0.3">
      <c r="A16" t="s">
        <v>358</v>
      </c>
      <c r="B16" s="28" t="str">
        <f t="shared" ref="B16" si="9">SUBSTITUTE(PROPER(A16),"_","")</f>
        <v>FromDate</v>
      </c>
      <c r="C16" s="28" t="str">
        <f t="shared" ref="C16" si="10">SUBSTITUTE(PROPER(A16),"_"," ")</f>
        <v>From Date</v>
      </c>
      <c r="D16" s="28" t="str">
        <f t="shared" si="2"/>
        <v>fromDate</v>
      </c>
      <c r="E16" s="28" t="str">
        <f>A.Backend!H10</f>
        <v>DateTime?</v>
      </c>
      <c r="F16" s="28" t="str">
        <f>A.Backend!G10</f>
        <v/>
      </c>
      <c r="G16" s="28" t="str">
        <f t="shared" si="3"/>
        <v/>
      </c>
      <c r="H16" s="35" t="str">
        <f t="shared" si="4"/>
        <v xml:space="preserve">			{headerName: this.l('From Date'),headerTooltip: this.l('From Date'),field: 'fromDate',flex: 1},</v>
      </c>
      <c r="I16" s="35" t="str">
        <f t="shared" si="5"/>
        <v/>
      </c>
      <c r="J16" s="28"/>
      <c r="K16" s="35" t="str">
        <f t="shared" si="6"/>
        <v/>
      </c>
      <c r="L16" s="56" t="str">
        <f t="shared" ref="L16" si="11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17" si="12">REPT(CHAR(9),1)&amp;D16&amp;G16</f>
        <v xml:space="preserve">	fromDate</v>
      </c>
      <c r="T16" s="28" t="str">
        <f t="shared" ref="T16:T17" si="13">REPT(CHAR(9),3)&amp;"this."&amp;D16&amp;","</f>
        <v xml:space="preserve">			this.fromDate,</v>
      </c>
      <c r="U16" s="28" t="str">
        <f t="shared" ref="U16:U17" si="14">IF(E16="int",REPT(CHAR(9),2)&amp;"this."&amp;D16&amp;" = 0,",REPT(CHAR(9),2)&amp;"this."&amp;D16&amp;" = '',")</f>
        <v xml:space="preserve">		this.fromDate = '',</v>
      </c>
      <c r="V16" s="28" t="str">
        <f t="shared" ref="V16" si="15">IF(AND(E16="string",F16="1"),D16,"")</f>
        <v/>
      </c>
    </row>
    <row r="17" spans="1:22" ht="18" customHeight="1" x14ac:dyDescent="0.3">
      <c r="A17" t="s">
        <v>359</v>
      </c>
      <c r="B17" s="28" t="str">
        <f>SUBSTITUTE(PROPER(A17),"_","")</f>
        <v>ToDate</v>
      </c>
      <c r="C17" s="28" t="str">
        <f>SUBSTITUTE(PROPER(A17),"_"," ")</f>
        <v>To Date</v>
      </c>
      <c r="D17" s="28" t="str">
        <f t="shared" si="2"/>
        <v>toDate</v>
      </c>
      <c r="E17" s="28" t="str">
        <f>A.Backend!H11</f>
        <v>DateTime?</v>
      </c>
      <c r="F17" s="28" t="str">
        <f>A.Backend!G11</f>
        <v/>
      </c>
      <c r="G17" s="28" t="str">
        <f t="shared" si="3"/>
        <v/>
      </c>
      <c r="H17" s="35" t="str">
        <f t="shared" si="4"/>
        <v xml:space="preserve">			{headerName: this.l('To Date'),headerTooltip: this.l('To Date'),field: 'toDate',flex: 1},</v>
      </c>
      <c r="I17" s="35" t="str">
        <f t="shared" si="5"/>
        <v/>
      </c>
      <c r="J17" s="28"/>
      <c r="K17" s="35" t="str">
        <f t="shared" si="6"/>
        <v/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2"/>
        <v xml:space="preserve">	toDate</v>
      </c>
      <c r="T17" s="28" t="str">
        <f t="shared" si="13"/>
        <v xml:space="preserve">			this.toDate,</v>
      </c>
      <c r="U17" s="28" t="str">
        <f t="shared" si="14"/>
        <v xml:space="preserve">		this.toDate = '',</v>
      </c>
      <c r="V17" s="28" t="str">
        <f>IF(AND(E17="string",F17="1"),D17,"")</f>
        <v/>
      </c>
    </row>
    <row r="18" spans="1:22" ht="15" customHeight="1" x14ac:dyDescent="0.3">
      <c r="A18" t="s">
        <v>360</v>
      </c>
      <c r="B18" s="28" t="str">
        <f t="shared" ref="B18" si="16">SUBSTITUTE(PROPER(A18),"_","")</f>
        <v>Status</v>
      </c>
      <c r="C18" s="28" t="str">
        <f t="shared" ref="C18" si="17">SUBSTITUTE(PROPER(A18),"_"," ")</f>
        <v>Status</v>
      </c>
      <c r="D18" s="28" t="str">
        <f t="shared" ref="D18" si="18">LOWER(LEFT(B18,1))&amp;RIGHT(B18,LEN(B18) - 1)</f>
        <v>status</v>
      </c>
      <c r="E18" s="28" t="str">
        <f>A.Backend!H12</f>
        <v>int?</v>
      </c>
      <c r="F18" s="28" t="str">
        <f>A.Backend!G12</f>
        <v/>
      </c>
      <c r="G18" s="28" t="str">
        <f t="shared" ref="G18" si="19">IF(E18="string"," : string = '' ; ",IF(OR(E18="DateTime",E18="TimeSpan")," : any ;",IF(E18="int"," : number = 0 ;","")))</f>
        <v/>
      </c>
      <c r="H18" s="35" t="str">
        <f t="shared" ref="H18" si="20">IF(E18="DateTime",
REPT(CHAR(9),3)&amp;"{headerName: this.l('"&amp;C18&amp;"'),headerTooltip: this.l('"&amp;C18&amp;"'),field: '"&amp;D18&amp;"',valueGetter: (params) =&gt; this.pipe.transform(params.data?."&amp;D18&amp;", 'dd/MM/yyyy'),flex: 1},",
IF(AND(E18="string",F18="1"),
REPT(CHAR(9),3)&amp;"{headerName: this.l('"&amp;C18&amp;"'),headerTooltip: this.l('"&amp;C18&amp;"'),field:  '"&amp;D18&amp;"', cellClass: ['text-center'], width: 120, cellRenderer: 'agCellButtonComponent',
buttonDefTwo: { text: params =&gt; (params.data?.'"&amp;D18&amp;"' == 'Y') ? 'Active' : 'Inactive',iconName: 'fa fa-circle',className: params =&gt; (params.data?.'"&amp;D18&amp;"' == 'Y') ? 'btnActive' : 'btnInActive',},}",
REPT(CHAR(9),3)&amp;"{headerName: this.l('"&amp;C18&amp;"'),headerTooltip: this.l('"&amp;C18&amp;"'),field: '"&amp;D18&amp;"',flex: 1},"))</f>
        <v xml:space="preserve">			{headerName: this.l('Status'),headerTooltip: this.l('Status'),field: 'status',flex: 1},</v>
      </c>
      <c r="I18" s="35" t="str">
        <f t="shared" ref="I18" si="21">IF(E18="DateTime",
REPT(CHAR(9),8)&amp;"&lt;div class='input-search'&gt;
"&amp;REPT(CHAR(9),9)&amp;"&lt;input type='text' [placeholder]=""l('"&amp;C18&amp;"')"" [(ngModel)]='"&amp;D18&amp;"' 
"&amp;REPT(CHAR(9),9)&amp;"name='"&amp;D18&amp;"'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IF(E18="string",
REPT(CHAR(9),8)&amp;"&lt;div class='input-search'&gt;
"&amp;REPT(CHAR(9),9)&amp;"&lt;input [(ngModel)]='"&amp;D18&amp;"' name='"&amp;D18&amp;"'
"&amp;REPT(CHAR(9),9)&amp;"class='form-control' [placeholder]=""l('"&amp;C18&amp;"')""
"&amp;REPT(CHAR(9),9)&amp;"type='text' (keyup.enter)='searchDatas()'&gt;
"&amp;REPT(CHAR(9),8)&amp;"&lt;/div&gt;",""))</f>
        <v/>
      </c>
      <c r="J18" s="28"/>
      <c r="K18" s="35" t="str">
        <f t="shared" ref="K18" si="22">IF(OR(E18="DateTime",E18="TimeSpan"),
REPT(CHAR(9),5)&amp;"&lt;div class='col-md-12 form-group row'&gt;
"&amp;REPT(CHAR(9),6)&amp;"&lt;label class='col-md-2 form-control title'&gt;"&amp;C18&amp;"&lt;/label&gt;
"&amp;REPT(CHAR(9),6)&amp;"&lt;input type='text' class='col-md-10 form-control input-text' name='"&amp;D18&amp;"' 
"&amp;REPT(CHAR(9),6)&amp;"#datepicker='bsDatepicker' [(ngModel)]='rowdata."&amp;D18&amp;"'  bsDatepicker &gt;
"&amp;REPT(CHAR(9),5)&amp;"&lt;/div&gt;",
IF(AND(E18="string",F18="1"),
REPT(CHAR(9),5)&amp;"&lt;div class='col-md-12 form-group row'&gt;
"&amp;REPT(CHAR(9),6)&amp;"&lt;label class='col-md-2 form-control title'&gt;"&amp;C18&amp;"&lt;/label&gt;
"&amp;REPT(CHAR(9),6)&amp;"&lt;new-checkbox [(ngModel)]='_"&amp;D18&amp;"' name='"&amp;D18&amp;"' className='col-md-10' &gt; &lt;/new-checkbox&gt;
"&amp;REPT(CHAR(9),5)&amp;"&lt;/div&gt;",
IF(E18="string",
REPT(CHAR(9),5)&amp;"&lt;div class='col-md-12 form-group row'&gt;
"&amp;REPT(CHAR(9),6)&amp;"&lt;label class='col-md-2 form-control title'&gt;"&amp;C18&amp;"&lt;/label&gt;
"&amp;REPT(CHAR(9),6)&amp;"&lt;input type='text' class='col-md-10 form-control input-text' name='"&amp;B18&amp;"' [(ngModel)]='rowdata."&amp;D18&amp;"'&gt;
"&amp;REPT(CHAR(9),5)&amp;"&lt;/div&gt;",
IF(E18="int",
REPT(CHAR(9),5)&amp;"&lt;div class='col-md-12 form-group row'&gt;
"&amp;REPT(CHAR(9),6)&amp;"&lt;label class='col-md-2 form-control title'&gt;"&amp;C18&amp;"&lt;/label&gt;
"&amp;REPT(CHAR(9),6)&amp;"&lt;input type='number' class='col-md-10 form-control input-text' name='"&amp;B18&amp;"' [(ngModel)]='rowdata."&amp;D18&amp;"'&gt;
"&amp;REPT(CHAR(9),5)&amp;"&lt;/div&gt;",""))))</f>
        <v/>
      </c>
      <c r="L18" s="56" t="str">
        <f t="shared" ref="L18" si="23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ref="S18" si="24">REPT(CHAR(9),1)&amp;D18&amp;G18</f>
        <v xml:space="preserve">	status</v>
      </c>
      <c r="T18" s="28" t="str">
        <f t="shared" ref="T18" si="25">REPT(CHAR(9),3)&amp;"this."&amp;D18&amp;","</f>
        <v xml:space="preserve">			this.status,</v>
      </c>
      <c r="U18" s="28" t="str">
        <f t="shared" ref="U18" si="26">IF(E18="int",REPT(CHAR(9),2)&amp;"this."&amp;D18&amp;" = 0,",REPT(CHAR(9),2)&amp;"this."&amp;D18&amp;" = '',")</f>
        <v xml:space="preserve">		this.status = '',</v>
      </c>
      <c r="V18" s="28" t="str">
        <f t="shared" ref="V18" si="27">IF(AND(E18="string",F18="1"),D18,"")</f>
        <v/>
      </c>
    </row>
    <row r="20" spans="1:22" ht="17.25" customHeight="1" x14ac:dyDescent="0.3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B24" sqref="B24"/>
    </sheetView>
  </sheetViews>
  <sheetFormatPr defaultColWidth="8.88671875" defaultRowHeight="14.4" x14ac:dyDescent="0.3"/>
  <cols>
    <col min="1" max="1" width="22.44140625" bestFit="1" customWidth="1"/>
    <col min="2" max="2" width="29.88671875" bestFit="1" customWidth="1"/>
  </cols>
  <sheetData>
    <row r="1" spans="1:2" x14ac:dyDescent="0.3">
      <c r="A1" s="1" t="s">
        <v>16</v>
      </c>
      <c r="B1" s="1" t="s">
        <v>17</v>
      </c>
    </row>
    <row r="2" spans="1:2" x14ac:dyDescent="0.3">
      <c r="A2" t="s">
        <v>19</v>
      </c>
      <c r="B2" t="s">
        <v>32</v>
      </c>
    </row>
    <row r="3" spans="1:2" x14ac:dyDescent="0.3">
      <c r="A3" t="s">
        <v>18</v>
      </c>
      <c r="B3" t="s">
        <v>32</v>
      </c>
    </row>
    <row r="4" spans="1:2" x14ac:dyDescent="0.3">
      <c r="A4" t="s">
        <v>20</v>
      </c>
      <c r="B4" t="s">
        <v>21</v>
      </c>
    </row>
    <row r="5" spans="1:2" x14ac:dyDescent="0.3">
      <c r="A5" t="s">
        <v>22</v>
      </c>
      <c r="B5" t="s">
        <v>34</v>
      </c>
    </row>
    <row r="6" spans="1:2" x14ac:dyDescent="0.3">
      <c r="A6" t="s">
        <v>23</v>
      </c>
      <c r="B6" t="s">
        <v>354</v>
      </c>
    </row>
    <row r="7" spans="1:2" x14ac:dyDescent="0.3">
      <c r="A7" t="s">
        <v>24</v>
      </c>
      <c r="B7" t="s">
        <v>349</v>
      </c>
    </row>
    <row r="8" spans="1:2" x14ac:dyDescent="0.3">
      <c r="A8" t="s">
        <v>4</v>
      </c>
      <c r="B8" t="s">
        <v>349</v>
      </c>
    </row>
    <row r="9" spans="1:2" x14ac:dyDescent="0.3">
      <c r="A9" t="s">
        <v>0</v>
      </c>
      <c r="B9" t="s">
        <v>350</v>
      </c>
    </row>
    <row r="10" spans="1:2" x14ac:dyDescent="0.3">
      <c r="A10" t="s">
        <v>25</v>
      </c>
      <c r="B10" t="s">
        <v>353</v>
      </c>
    </row>
    <row r="11" spans="1:2" x14ac:dyDescent="0.3">
      <c r="A11" t="s">
        <v>26</v>
      </c>
      <c r="B11" t="s">
        <v>353</v>
      </c>
    </row>
    <row r="12" spans="1:2" x14ac:dyDescent="0.3">
      <c r="A12" t="s">
        <v>27</v>
      </c>
      <c r="B12" t="s">
        <v>353</v>
      </c>
    </row>
    <row r="13" spans="1:2" x14ac:dyDescent="0.3">
      <c r="A13" t="s">
        <v>28</v>
      </c>
      <c r="B13" t="s">
        <v>353</v>
      </c>
    </row>
    <row r="14" spans="1:2" x14ac:dyDescent="0.3">
      <c r="A14" t="s">
        <v>29</v>
      </c>
      <c r="B14" t="s">
        <v>353</v>
      </c>
    </row>
    <row r="15" spans="1:2" x14ac:dyDescent="0.3">
      <c r="A15" t="s">
        <v>30</v>
      </c>
      <c r="B15" t="s">
        <v>353</v>
      </c>
    </row>
    <row r="16" spans="1:2" x14ac:dyDescent="0.3">
      <c r="A16" t="s">
        <v>31</v>
      </c>
      <c r="B16" t="s">
        <v>351</v>
      </c>
    </row>
    <row r="17" spans="1:2" x14ac:dyDescent="0.3">
      <c r="A17" t="s">
        <v>3</v>
      </c>
      <c r="B17" t="s">
        <v>351</v>
      </c>
    </row>
    <row r="18" spans="1:2" x14ac:dyDescent="0.3">
      <c r="A18" t="s">
        <v>33</v>
      </c>
      <c r="B18" t="s">
        <v>351</v>
      </c>
    </row>
    <row r="19" spans="1:2" x14ac:dyDescent="0.3">
      <c r="A19" t="s">
        <v>2</v>
      </c>
      <c r="B19" t="s">
        <v>351</v>
      </c>
    </row>
    <row r="20" spans="1:2" x14ac:dyDescent="0.3">
      <c r="A20" t="s">
        <v>263</v>
      </c>
      <c r="B20" t="s">
        <v>352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8671875" defaultRowHeight="15.6" x14ac:dyDescent="0.3"/>
  <cols>
    <col min="1" max="1" width="14.33203125" customWidth="1"/>
    <col min="2" max="2" width="71.6640625" style="20" customWidth="1"/>
  </cols>
  <sheetData>
    <row r="2" spans="1:2" x14ac:dyDescent="0.3">
      <c r="A2" s="22" t="s">
        <v>190</v>
      </c>
      <c r="B2" s="23" t="s">
        <v>187</v>
      </c>
    </row>
    <row r="3" spans="1:2" x14ac:dyDescent="0.3">
      <c r="B3" s="20" t="s">
        <v>112</v>
      </c>
    </row>
    <row r="4" spans="1:2" x14ac:dyDescent="0.3">
      <c r="B4" s="20" t="s">
        <v>113</v>
      </c>
    </row>
    <row r="5" spans="1:2" x14ac:dyDescent="0.3">
      <c r="B5" s="20" t="s">
        <v>114</v>
      </c>
    </row>
    <row r="6" spans="1:2" x14ac:dyDescent="0.3">
      <c r="B6" s="20" t="s">
        <v>115</v>
      </c>
    </row>
    <row r="7" spans="1:2" x14ac:dyDescent="0.3">
      <c r="B7" s="20" t="s">
        <v>116</v>
      </c>
    </row>
    <row r="8" spans="1:2" x14ac:dyDescent="0.3">
      <c r="B8" s="20" t="s">
        <v>117</v>
      </c>
    </row>
    <row r="9" spans="1:2" x14ac:dyDescent="0.3">
      <c r="B9" s="20" t="s">
        <v>118</v>
      </c>
    </row>
    <row r="10" spans="1:2" x14ac:dyDescent="0.3">
      <c r="B10" s="20" t="s">
        <v>119</v>
      </c>
    </row>
    <row r="11" spans="1:2" x14ac:dyDescent="0.3">
      <c r="B11" s="20" t="s">
        <v>120</v>
      </c>
    </row>
    <row r="12" spans="1:2" x14ac:dyDescent="0.3">
      <c r="B12" s="20" t="s">
        <v>121</v>
      </c>
    </row>
    <row r="13" spans="1:2" x14ac:dyDescent="0.3">
      <c r="B13" s="20" t="s">
        <v>122</v>
      </c>
    </row>
    <row r="14" spans="1:2" x14ac:dyDescent="0.3">
      <c r="B14" s="20" t="s">
        <v>123</v>
      </c>
    </row>
    <row r="15" spans="1:2" x14ac:dyDescent="0.3">
      <c r="B15" s="20" t="s">
        <v>124</v>
      </c>
    </row>
    <row r="16" spans="1:2" x14ac:dyDescent="0.3">
      <c r="B16" s="20" t="s">
        <v>125</v>
      </c>
    </row>
    <row r="17" spans="1:3" x14ac:dyDescent="0.3">
      <c r="B17" s="20" t="s">
        <v>126</v>
      </c>
    </row>
    <row r="18" spans="1:3" x14ac:dyDescent="0.3">
      <c r="B18" s="20" t="s">
        <v>127</v>
      </c>
      <c r="C18" t="s">
        <v>189</v>
      </c>
    </row>
    <row r="19" spans="1:3" x14ac:dyDescent="0.3">
      <c r="B19" s="20" t="s">
        <v>128</v>
      </c>
    </row>
    <row r="20" spans="1:3" x14ac:dyDescent="0.3">
      <c r="B20" s="20" t="s">
        <v>129</v>
      </c>
    </row>
    <row r="21" spans="1:3" x14ac:dyDescent="0.3">
      <c r="B21" s="20" t="s">
        <v>130</v>
      </c>
    </row>
    <row r="22" spans="1:3" x14ac:dyDescent="0.3">
      <c r="B22" s="20" t="s">
        <v>131</v>
      </c>
      <c r="C22" t="s">
        <v>194</v>
      </c>
    </row>
    <row r="23" spans="1:3" x14ac:dyDescent="0.3">
      <c r="B23" s="20" t="s">
        <v>132</v>
      </c>
    </row>
    <row r="24" spans="1:3" x14ac:dyDescent="0.3">
      <c r="B24" s="20" t="s">
        <v>133</v>
      </c>
    </row>
    <row r="25" spans="1:3" x14ac:dyDescent="0.3">
      <c r="B25" s="20" t="s">
        <v>134</v>
      </c>
    </row>
    <row r="26" spans="1:3" x14ac:dyDescent="0.3">
      <c r="A26" s="22" t="s">
        <v>191</v>
      </c>
      <c r="B26" s="23" t="s">
        <v>188</v>
      </c>
    </row>
    <row r="27" spans="1:3" x14ac:dyDescent="0.3">
      <c r="B27" s="20" t="s">
        <v>135</v>
      </c>
    </row>
    <row r="28" spans="1:3" x14ac:dyDescent="0.3">
      <c r="B28" s="21" t="s">
        <v>136</v>
      </c>
    </row>
    <row r="29" spans="1:3" x14ac:dyDescent="0.3">
      <c r="B29" s="20" t="s">
        <v>137</v>
      </c>
    </row>
    <row r="30" spans="1:3" x14ac:dyDescent="0.3">
      <c r="B30" s="20" t="s">
        <v>138</v>
      </c>
    </row>
    <row r="31" spans="1:3" x14ac:dyDescent="0.3">
      <c r="B31" s="20" t="s">
        <v>139</v>
      </c>
    </row>
    <row r="32" spans="1:3" x14ac:dyDescent="0.3">
      <c r="B32" s="20" t="s">
        <v>140</v>
      </c>
    </row>
    <row r="33" spans="2:2" x14ac:dyDescent="0.3">
      <c r="B33" s="20" t="s">
        <v>141</v>
      </c>
    </row>
    <row r="34" spans="2:2" x14ac:dyDescent="0.3">
      <c r="B34" s="20" t="s">
        <v>142</v>
      </c>
    </row>
    <row r="35" spans="2:2" x14ac:dyDescent="0.3">
      <c r="B35" s="20" t="s">
        <v>143</v>
      </c>
    </row>
    <row r="36" spans="2:2" x14ac:dyDescent="0.3">
      <c r="B36" s="20" t="s">
        <v>144</v>
      </c>
    </row>
    <row r="37" spans="2:2" x14ac:dyDescent="0.3">
      <c r="B37" s="20" t="s">
        <v>145</v>
      </c>
    </row>
    <row r="38" spans="2:2" x14ac:dyDescent="0.3">
      <c r="B38" s="20" t="s">
        <v>146</v>
      </c>
    </row>
    <row r="39" spans="2:2" x14ac:dyDescent="0.3">
      <c r="B39" s="20" t="s">
        <v>147</v>
      </c>
    </row>
    <row r="40" spans="2:2" x14ac:dyDescent="0.3">
      <c r="B40" s="20" t="s">
        <v>148</v>
      </c>
    </row>
    <row r="41" spans="2:2" x14ac:dyDescent="0.3">
      <c r="B41" s="20" t="s">
        <v>149</v>
      </c>
    </row>
    <row r="42" spans="2:2" x14ac:dyDescent="0.3">
      <c r="B42" s="20" t="s">
        <v>150</v>
      </c>
    </row>
    <row r="43" spans="2:2" x14ac:dyDescent="0.3">
      <c r="B43" s="21" t="s">
        <v>151</v>
      </c>
    </row>
    <row r="44" spans="2:2" x14ac:dyDescent="0.3">
      <c r="B44" s="20" t="s">
        <v>137</v>
      </c>
    </row>
    <row r="45" spans="2:2" x14ac:dyDescent="0.3">
      <c r="B45" s="20" t="s">
        <v>152</v>
      </c>
    </row>
    <row r="46" spans="2:2" x14ac:dyDescent="0.3">
      <c r="B46" s="20" t="s">
        <v>153</v>
      </c>
    </row>
    <row r="47" spans="2:2" x14ac:dyDescent="0.3">
      <c r="B47" s="20" t="s">
        <v>154</v>
      </c>
    </row>
    <row r="48" spans="2:2" x14ac:dyDescent="0.3">
      <c r="B48" s="20" t="s">
        <v>155</v>
      </c>
    </row>
    <row r="49" spans="2:2" x14ac:dyDescent="0.3">
      <c r="B49" s="20" t="s">
        <v>138</v>
      </c>
    </row>
    <row r="50" spans="2:2" x14ac:dyDescent="0.3">
      <c r="B50" s="20" t="s">
        <v>139</v>
      </c>
    </row>
    <row r="51" spans="2:2" x14ac:dyDescent="0.3">
      <c r="B51" s="20" t="s">
        <v>140</v>
      </c>
    </row>
    <row r="52" spans="2:2" x14ac:dyDescent="0.3">
      <c r="B52" s="20" t="s">
        <v>141</v>
      </c>
    </row>
    <row r="53" spans="2:2" x14ac:dyDescent="0.3">
      <c r="B53" s="20" t="s">
        <v>142</v>
      </c>
    </row>
    <row r="54" spans="2:2" x14ac:dyDescent="0.3">
      <c r="B54" s="20" t="s">
        <v>143</v>
      </c>
    </row>
    <row r="55" spans="2:2" x14ac:dyDescent="0.3">
      <c r="B55" s="20" t="s">
        <v>144</v>
      </c>
    </row>
    <row r="56" spans="2:2" x14ac:dyDescent="0.3">
      <c r="B56" s="20" t="s">
        <v>156</v>
      </c>
    </row>
    <row r="57" spans="2:2" x14ac:dyDescent="0.3">
      <c r="B57" s="20" t="s">
        <v>157</v>
      </c>
    </row>
    <row r="58" spans="2:2" x14ac:dyDescent="0.3">
      <c r="B58" s="20" t="s">
        <v>145</v>
      </c>
    </row>
    <row r="59" spans="2:2" x14ac:dyDescent="0.3">
      <c r="B59" s="20" t="s">
        <v>146</v>
      </c>
    </row>
    <row r="60" spans="2:2" x14ac:dyDescent="0.3">
      <c r="B60" s="20" t="s">
        <v>158</v>
      </c>
    </row>
    <row r="61" spans="2:2" x14ac:dyDescent="0.3">
      <c r="B61" s="20" t="s">
        <v>159</v>
      </c>
    </row>
    <row r="62" spans="2:2" x14ac:dyDescent="0.3">
      <c r="B62" s="20" t="s">
        <v>160</v>
      </c>
    </row>
    <row r="63" spans="2:2" x14ac:dyDescent="0.3">
      <c r="B63" s="20" t="s">
        <v>155</v>
      </c>
    </row>
    <row r="64" spans="2:2" x14ac:dyDescent="0.3">
      <c r="B64" s="20" t="s">
        <v>147</v>
      </c>
    </row>
    <row r="65" spans="2:2" x14ac:dyDescent="0.3">
      <c r="B65" s="20" t="s">
        <v>148</v>
      </c>
    </row>
    <row r="66" spans="2:2" x14ac:dyDescent="0.3">
      <c r="B66" s="20" t="s">
        <v>161</v>
      </c>
    </row>
    <row r="67" spans="2:2" x14ac:dyDescent="0.3">
      <c r="B67" s="20" t="s">
        <v>155</v>
      </c>
    </row>
    <row r="68" spans="2:2" x14ac:dyDescent="0.3">
      <c r="B68" s="20" t="s">
        <v>149</v>
      </c>
    </row>
    <row r="69" spans="2:2" x14ac:dyDescent="0.3">
      <c r="B69" s="20" t="s">
        <v>162</v>
      </c>
    </row>
    <row r="70" spans="2:2" x14ac:dyDescent="0.3">
      <c r="B70" s="21" t="s">
        <v>163</v>
      </c>
    </row>
    <row r="71" spans="2:2" x14ac:dyDescent="0.3">
      <c r="B71" s="20" t="s">
        <v>137</v>
      </c>
    </row>
    <row r="72" spans="2:2" x14ac:dyDescent="0.3">
      <c r="B72" s="20" t="s">
        <v>138</v>
      </c>
    </row>
    <row r="73" spans="2:2" x14ac:dyDescent="0.3">
      <c r="B73" s="20" t="s">
        <v>139</v>
      </c>
    </row>
    <row r="74" spans="2:2" x14ac:dyDescent="0.3">
      <c r="B74" s="20" t="s">
        <v>140</v>
      </c>
    </row>
    <row r="75" spans="2:2" x14ac:dyDescent="0.3">
      <c r="B75" s="20" t="s">
        <v>144</v>
      </c>
    </row>
    <row r="76" spans="2:2" x14ac:dyDescent="0.3">
      <c r="B76" s="20" t="s">
        <v>146</v>
      </c>
    </row>
    <row r="77" spans="2:2" x14ac:dyDescent="0.3">
      <c r="B77" s="20" t="s">
        <v>147</v>
      </c>
    </row>
    <row r="78" spans="2:2" x14ac:dyDescent="0.3">
      <c r="B78" s="20" t="s">
        <v>148</v>
      </c>
    </row>
    <row r="79" spans="2:2" x14ac:dyDescent="0.3">
      <c r="B79" s="20" t="s">
        <v>149</v>
      </c>
    </row>
    <row r="80" spans="2:2" x14ac:dyDescent="0.3">
      <c r="B80" s="20" t="s">
        <v>162</v>
      </c>
    </row>
    <row r="81" spans="1:2" x14ac:dyDescent="0.3">
      <c r="B81" s="21" t="s">
        <v>164</v>
      </c>
    </row>
    <row r="82" spans="1:2" x14ac:dyDescent="0.3">
      <c r="B82" s="21" t="s">
        <v>165</v>
      </c>
    </row>
    <row r="83" spans="1:2" x14ac:dyDescent="0.3">
      <c r="B83" s="21" t="s">
        <v>166</v>
      </c>
    </row>
    <row r="84" spans="1:2" x14ac:dyDescent="0.3">
      <c r="B84" s="21" t="s">
        <v>167</v>
      </c>
    </row>
    <row r="85" spans="1:2" x14ac:dyDescent="0.3">
      <c r="B85" s="21" t="s">
        <v>168</v>
      </c>
    </row>
    <row r="86" spans="1:2" x14ac:dyDescent="0.3">
      <c r="B86" s="21" t="s">
        <v>169</v>
      </c>
    </row>
    <row r="87" spans="1:2" x14ac:dyDescent="0.3">
      <c r="B87" s="21" t="s">
        <v>170</v>
      </c>
    </row>
    <row r="88" spans="1:2" x14ac:dyDescent="0.3">
      <c r="A88" s="22" t="s">
        <v>192</v>
      </c>
      <c r="B88" s="24" t="s">
        <v>171</v>
      </c>
    </row>
    <row r="89" spans="1:2" x14ac:dyDescent="0.3">
      <c r="B89" s="20" t="s">
        <v>172</v>
      </c>
    </row>
    <row r="90" spans="1:2" x14ac:dyDescent="0.3">
      <c r="B90" s="20" t="s">
        <v>173</v>
      </c>
    </row>
    <row r="91" spans="1:2" x14ac:dyDescent="0.3">
      <c r="B91" s="20" t="s">
        <v>174</v>
      </c>
    </row>
    <row r="92" spans="1:2" x14ac:dyDescent="0.3">
      <c r="B92" s="20" t="s">
        <v>175</v>
      </c>
    </row>
    <row r="93" spans="1:2" x14ac:dyDescent="0.3">
      <c r="B93" s="20" t="s">
        <v>176</v>
      </c>
    </row>
    <row r="94" spans="1:2" x14ac:dyDescent="0.3">
      <c r="B94" s="20" t="s">
        <v>177</v>
      </c>
    </row>
    <row r="95" spans="1:2" x14ac:dyDescent="0.3">
      <c r="B95" s="20" t="s">
        <v>178</v>
      </c>
    </row>
    <row r="96" spans="1:2" x14ac:dyDescent="0.3">
      <c r="B96" s="20" t="s">
        <v>179</v>
      </c>
    </row>
    <row r="97" spans="2:2" x14ac:dyDescent="0.3">
      <c r="B97" s="20" t="s">
        <v>180</v>
      </c>
    </row>
    <row r="98" spans="2:2" x14ac:dyDescent="0.3">
      <c r="B98" s="20" t="s">
        <v>181</v>
      </c>
    </row>
    <row r="99" spans="2:2" x14ac:dyDescent="0.3">
      <c r="B99" s="20" t="s">
        <v>182</v>
      </c>
    </row>
    <row r="100" spans="2:2" x14ac:dyDescent="0.3">
      <c r="B100" s="20" t="s">
        <v>183</v>
      </c>
    </row>
    <row r="101" spans="2:2" x14ac:dyDescent="0.3">
      <c r="B101" s="20" t="s">
        <v>184</v>
      </c>
    </row>
    <row r="102" spans="2:2" x14ac:dyDescent="0.3">
      <c r="B102" s="20" t="s">
        <v>185</v>
      </c>
    </row>
    <row r="103" spans="2:2" x14ac:dyDescent="0.3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2023-06-22T02:11:04Z</dcterms:modified>
</cp:coreProperties>
</file>
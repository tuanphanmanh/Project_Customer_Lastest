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6" i="5" l="1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C27" i="5"/>
  <c r="B27" i="5"/>
  <c r="D27" i="5" s="1"/>
  <c r="C26" i="5"/>
  <c r="B26" i="5"/>
  <c r="D26" i="5" s="1"/>
  <c r="C25" i="5"/>
  <c r="B25" i="5"/>
  <c r="D25" i="5" s="1"/>
  <c r="D24" i="5"/>
  <c r="C24" i="5"/>
  <c r="B24" i="5"/>
  <c r="C23" i="5"/>
  <c r="B23" i="5"/>
  <c r="D23" i="5" s="1"/>
  <c r="C22" i="5"/>
  <c r="B22" i="5"/>
  <c r="D22" i="5" s="1"/>
  <c r="L23" i="1"/>
  <c r="G23" i="1"/>
  <c r="E23" i="1"/>
  <c r="H23" i="1" s="1"/>
  <c r="O23" i="1" s="1"/>
  <c r="D23" i="1"/>
  <c r="P23" i="1" s="1"/>
  <c r="L17" i="1"/>
  <c r="G17" i="1"/>
  <c r="E17" i="1"/>
  <c r="H17" i="1" s="1"/>
  <c r="D17" i="1"/>
  <c r="V17" i="1" s="1"/>
  <c r="L16" i="1"/>
  <c r="G16" i="1"/>
  <c r="E16" i="1"/>
  <c r="H16" i="1" s="1"/>
  <c r="D16" i="1"/>
  <c r="V16" i="1" s="1"/>
  <c r="L12" i="1"/>
  <c r="G12" i="1"/>
  <c r="E12" i="1"/>
  <c r="H12" i="1" s="1"/>
  <c r="D12" i="1"/>
  <c r="T12" i="1" s="1"/>
  <c r="L11" i="1"/>
  <c r="G11" i="1"/>
  <c r="E11" i="1"/>
  <c r="H11" i="1" s="1"/>
  <c r="O11" i="1" s="1"/>
  <c r="D11" i="1"/>
  <c r="T11" i="1" s="1"/>
  <c r="L10" i="1"/>
  <c r="G10" i="1"/>
  <c r="E10" i="1"/>
  <c r="H10" i="1" s="1"/>
  <c r="D10" i="1"/>
  <c r="V10" i="1" s="1"/>
  <c r="V23" i="5" l="1"/>
  <c r="V22" i="5"/>
  <c r="V26" i="5"/>
  <c r="T23" i="1"/>
  <c r="V23" i="1"/>
  <c r="J23" i="1"/>
  <c r="W23" i="1"/>
  <c r="M23" i="1"/>
  <c r="I23" i="1"/>
  <c r="N23" i="1"/>
  <c r="M17" i="1"/>
  <c r="W17" i="1"/>
  <c r="J17" i="1"/>
  <c r="I17" i="1"/>
  <c r="O17" i="1"/>
  <c r="N17" i="1"/>
  <c r="W16" i="1"/>
  <c r="J16" i="1"/>
  <c r="I16" i="1"/>
  <c r="O16" i="1"/>
  <c r="N16" i="1"/>
  <c r="M16" i="1"/>
  <c r="P17" i="1"/>
  <c r="T17" i="1"/>
  <c r="P16" i="1"/>
  <c r="T16" i="1"/>
  <c r="V12" i="1"/>
  <c r="P12" i="1"/>
  <c r="P11" i="1"/>
  <c r="M10" i="1"/>
  <c r="W10" i="1"/>
  <c r="J10" i="1"/>
  <c r="I10" i="1"/>
  <c r="O10" i="1"/>
  <c r="N10" i="1"/>
  <c r="O12" i="1"/>
  <c r="N12" i="1"/>
  <c r="W12" i="1"/>
  <c r="J12" i="1"/>
  <c r="M12" i="1"/>
  <c r="I12" i="1"/>
  <c r="P10" i="1"/>
  <c r="I11" i="1"/>
  <c r="V11" i="1"/>
  <c r="T10" i="1"/>
  <c r="J11" i="1"/>
  <c r="W11" i="1"/>
  <c r="M11" i="1"/>
  <c r="N11" i="1"/>
  <c r="B7" i="5" l="1"/>
  <c r="B6" i="5"/>
  <c r="B2" i="5"/>
  <c r="B8" i="5" l="1"/>
  <c r="B3" i="5"/>
  <c r="C29" i="5"/>
  <c r="B29" i="5"/>
  <c r="D29" i="5" s="1"/>
  <c r="C28" i="5"/>
  <c r="B28" i="5"/>
  <c r="D28" i="5" s="1"/>
  <c r="C21" i="5"/>
  <c r="B21" i="5"/>
  <c r="D21" i="5" s="1"/>
  <c r="C20" i="5"/>
  <c r="B20" i="5"/>
  <c r="D20" i="5" s="1"/>
  <c r="L22" i="1"/>
  <c r="G22" i="1"/>
  <c r="E22" i="1"/>
  <c r="H22" i="1" s="1"/>
  <c r="D22" i="1"/>
  <c r="T22" i="1" s="1"/>
  <c r="L21" i="1"/>
  <c r="G21" i="1"/>
  <c r="E21" i="1"/>
  <c r="H21" i="1" s="1"/>
  <c r="D21" i="1"/>
  <c r="V21" i="1" s="1"/>
  <c r="G20" i="1"/>
  <c r="E20" i="1"/>
  <c r="H20" i="1" s="1"/>
  <c r="D20" i="1"/>
  <c r="T20" i="1" s="1"/>
  <c r="L19" i="1"/>
  <c r="G19" i="1"/>
  <c r="E19" i="1"/>
  <c r="H19" i="1" s="1"/>
  <c r="D19" i="1"/>
  <c r="V19" i="1" s="1"/>
  <c r="G18" i="1"/>
  <c r="E18" i="1"/>
  <c r="H18" i="1" s="1"/>
  <c r="D18" i="1"/>
  <c r="T18" i="1" s="1"/>
  <c r="I22" i="1" l="1"/>
  <c r="I18" i="1"/>
  <c r="M20" i="1"/>
  <c r="I20" i="1"/>
  <c r="P19" i="1"/>
  <c r="W19" i="1"/>
  <c r="P21" i="1"/>
  <c r="M22" i="1"/>
  <c r="W21" i="1"/>
  <c r="O21" i="1"/>
  <c r="J21" i="1"/>
  <c r="N21" i="1"/>
  <c r="I21" i="1"/>
  <c r="M21" i="1"/>
  <c r="N20" i="1"/>
  <c r="V20" i="1"/>
  <c r="N22" i="1"/>
  <c r="V22" i="1"/>
  <c r="J20" i="1"/>
  <c r="O20" i="1"/>
  <c r="W20" i="1"/>
  <c r="T21" i="1"/>
  <c r="J22" i="1"/>
  <c r="O22" i="1"/>
  <c r="W22" i="1"/>
  <c r="P20" i="1"/>
  <c r="P22" i="1"/>
  <c r="M18" i="1"/>
  <c r="N18" i="1"/>
  <c r="M19" i="1"/>
  <c r="T19" i="1"/>
  <c r="V18" i="1"/>
  <c r="I19" i="1"/>
  <c r="N19" i="1"/>
  <c r="P18" i="1"/>
  <c r="J19" i="1"/>
  <c r="O19" i="1"/>
  <c r="C18" i="5"/>
  <c r="B18" i="5"/>
  <c r="D18" i="5" s="1"/>
  <c r="C17" i="5"/>
  <c r="B17" i="5"/>
  <c r="D17" i="5" s="1"/>
  <c r="C16" i="5"/>
  <c r="B16" i="5"/>
  <c r="D16" i="5" s="1"/>
  <c r="V27" i="5" l="1"/>
  <c r="V21" i="5"/>
  <c r="V28" i="5"/>
  <c r="J18" i="1"/>
  <c r="O18" i="1"/>
  <c r="W18" i="1"/>
  <c r="B6" i="1"/>
  <c r="V20" i="5" l="1"/>
  <c r="V29" i="5"/>
  <c r="C19" i="5"/>
  <c r="B19" i="5"/>
  <c r="D19" i="5" s="1"/>
  <c r="C15" i="5"/>
  <c r="B15" i="5"/>
  <c r="D15" i="5" s="1"/>
  <c r="T15" i="5" s="1"/>
  <c r="L15" i="1"/>
  <c r="G15" i="1"/>
  <c r="E15" i="1"/>
  <c r="H15" i="1" s="1"/>
  <c r="D15" i="1"/>
  <c r="V15" i="1" s="1"/>
  <c r="G14" i="1"/>
  <c r="E14" i="1"/>
  <c r="H14" i="1" s="1"/>
  <c r="D14" i="1"/>
  <c r="T14" i="1" s="1"/>
  <c r="V24" i="5" l="1"/>
  <c r="V25" i="5"/>
  <c r="M14" i="1"/>
  <c r="L14" i="1"/>
  <c r="P14" i="1"/>
  <c r="O15" i="1"/>
  <c r="J15" i="1"/>
  <c r="I15" i="1"/>
  <c r="M15" i="1"/>
  <c r="I14" i="1"/>
  <c r="N14" i="1"/>
  <c r="V14" i="1"/>
  <c r="P15" i="1"/>
  <c r="J14" i="1"/>
  <c r="O14" i="1"/>
  <c r="T15" i="1"/>
  <c r="V18" i="5" l="1"/>
  <c r="W15" i="1"/>
  <c r="W14" i="1"/>
  <c r="N15" i="1"/>
  <c r="C30" i="5"/>
  <c r="B30" i="5"/>
  <c r="D30" i="5" s="1"/>
  <c r="G24" i="1"/>
  <c r="E24" i="1"/>
  <c r="H24" i="1" s="1"/>
  <c r="D24" i="1"/>
  <c r="V24" i="1" s="1"/>
  <c r="V17" i="5" l="1"/>
  <c r="W24" i="1"/>
  <c r="J24" i="1"/>
  <c r="I24" i="1"/>
  <c r="O24" i="1"/>
  <c r="N24" i="1"/>
  <c r="M24" i="1"/>
  <c r="P24" i="1"/>
  <c r="T24" i="1"/>
  <c r="G9" i="1"/>
  <c r="F15" i="5" s="1"/>
  <c r="E9" i="1"/>
  <c r="H9" i="1" s="1"/>
  <c r="E15" i="5" s="1"/>
  <c r="D9" i="1"/>
  <c r="V9" i="1" s="1"/>
  <c r="V30" i="5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3" i="1" l="1"/>
  <c r="E13" i="1"/>
  <c r="H13" i="1" s="1"/>
  <c r="D13" i="1"/>
  <c r="T13" i="1" s="1"/>
  <c r="V19" i="5" l="1"/>
  <c r="P13" i="1"/>
  <c r="V13" i="1"/>
  <c r="W13" i="1"/>
  <c r="J13" i="1"/>
  <c r="I13" i="1"/>
  <c r="O13" i="1"/>
  <c r="N13" i="1"/>
  <c r="M13" i="1"/>
  <c r="V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6" i="1"/>
  <c r="T7" i="1" l="1"/>
  <c r="W26" i="1"/>
  <c r="G6" i="1" l="1"/>
  <c r="H13" i="5"/>
  <c r="I13" i="5"/>
  <c r="U13" i="5"/>
  <c r="V13" i="5"/>
  <c r="L13" i="5"/>
  <c r="S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0" i="1" l="1"/>
  <c r="L24" i="1"/>
  <c r="L18" i="1"/>
  <c r="L9" i="1"/>
  <c r="L13" i="1"/>
  <c r="C7" i="1"/>
  <c r="N26" i="1"/>
  <c r="J26" i="1"/>
  <c r="I26" i="1"/>
  <c r="P26" i="1"/>
  <c r="O26" i="1"/>
  <c r="Q7" i="1" l="1"/>
  <c r="M68" i="3" s="1"/>
  <c r="L7" i="1"/>
  <c r="G68" i="3" s="1"/>
  <c r="K68" i="3"/>
  <c r="J68" i="3"/>
  <c r="M26" i="1"/>
  <c r="K2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<sst xmlns="http://schemas.openxmlformats.org/spreadsheetml/2006/main" count="499" uniqueCount="381">
  <si>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</si>
  <si>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</si>
  <si>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</si>
  <si>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</si>
  <si>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</si>
  <si>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</si>
  <si>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</si>
  <si>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</si>
  <si>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</si>
  <si>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</si>
  <si>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</si>
  <si>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</si>
  <si>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</si>
  <si>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</si>
  <si>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</si>
  <si>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</si>
  <si>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</si>
  <si>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</si>
  <si>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</si>
  <si>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</si>
  <si>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</si>
  <si>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</si>
  <si>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</si>
  <si>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</si>
  <si>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</si>
  <si>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</si>
  <si>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</si>
  <si>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</si>
  <si>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</si>
  <si>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</si>
  <si>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</si>
  <si>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</si>
  <si>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</si>
  <si>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</si>
  <si>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</si>
  <si>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</si>
  <si>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</si>
  <si>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</si>
  <si>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</si>
  <si>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</si>
  <si>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</si>
  <si>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</si>
  <si>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</si>
  <si>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</si>
  <si>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</si>
  <si>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</si>
  <si>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</si>
  <si>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</si>
  <si>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</si>
  <si>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</si>
  <si>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</si>
  <si>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</si>
  <si>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</si>
  <si>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</si>
  <si>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</si>
  <si>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</si>
  <si>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</si>
  <si>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</si>
  <si>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</si>
  <si>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</si>
  <si>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</si>
  <si>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</si>
  <si>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</si>
  <si>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</si>
  <si>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</si>
  <si>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</si>
  <si>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</si>
  <si>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</si>
  <si>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</si>
  <si>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</si>
  <si>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</si>
  <si>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</si>
  <si>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</si>
  <si>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</si>
  <si>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</si>
  <si>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</si>
  <si>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</si>
  <si>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</si>
  <si>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</si>
  <si>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</si>
  <si>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</si>
  <si>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</si>
  <si>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</si>
  <si>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</si>
  <si>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</si>
  <si>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</si>
  <si>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</si>
  <si>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</si>
  <si>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</si>
  <si>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</si>
  <si>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</si>
  <si>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</si>
  <si>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</si>
  <si>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</si>
  <si>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</si>
  <si>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</si>
  <si>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</si>
  <si>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</si>
  <si>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</si>
  <si>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</si>
  <si>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</si>
  <si>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</si>
  <si>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</si>
  <si>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</si>
  <si>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</si>
  <si>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</si>
  <si>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</si>
  <si>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</si>
  <si>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</si>
  <si>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</si>
  <si>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</si>
  <si>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</si>
  <si>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</si>
  <si>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</si>
  <si>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</si>
  <si>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</si>
  <si>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</si>
  <si>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</si>
  <si>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</si>
  <si>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</si>
  <si>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</si>
  <si>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</si>
  <si>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</si>
  <si>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</si>
  <si>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</si>
  <si>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</si>
  <si>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</si>
  <si>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</si>
  <si>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</si>
  <si>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</si>
  <si>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</si>
  <si>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</si>
  <si>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</si>
  <si>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</si>
  <si>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</si>
  <si>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</si>
  <si>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</si>
  <si>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</si>
  <si>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</si>
  <si>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</si>
  <si>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</si>
  <si>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</si>
  <si>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</si>
  <si>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</si>
  <si>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</si>
  <si>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</si>
  <si>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</si>
  <si>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</si>
  <si>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</si>
  <si>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</si>
  <si>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</si>
  <si>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</si>
  <si>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</si>
  <si>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</si>
  <si>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</si>
  <si>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</si>
  <si>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</si>
  <si>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</si>
  <si>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</si>
  <si>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</si>
  <si>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</si>
  <si>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</si>
  <si>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</si>
  <si>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</si>
  <si>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</si>
  <si>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</si>
  <si>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</si>
  <si>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</si>
  <si>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</si>
  <si>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</si>
  <si>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</si>
  <si>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</si>
  <si>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</si>
  <si>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</si>
  <si>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</si>
  <si>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</si>
  <si>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</si>
  <si>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</si>
  <si>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</si>
  <si>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</si>
  <si>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</si>
  <si>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</si>
  <si>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</si>
  <si>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</si>
  <si>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</si>
  <si>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</si>
  <si>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</si>
  <si>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</si>
  <si>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</si>
  <si>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</si>
  <si>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</si>
  <si>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</si>
  <si>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</si>
  <si>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</si>
  <si>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</si>
  <si>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</si>
  <si>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</si>
  <si>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</si>
  <si>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</si>
  <si>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</si>
  <si>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</si>
  <si>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</si>
  <si>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</si>
  <si>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</si>
  <si>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</si>
  <si>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</si>
  <si>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</si>
  <si>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</si>
  <si>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</si>
  <si>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</si>
  <si>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</si>
  <si>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</si>
  <si>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</si>
  <si>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</si>
  <si>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</si>
  <si>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</si>
  <si>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</si>
  <si>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</si>
  <si>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</si>
  <si>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</si>
  <si>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</si>
  <si>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</si>
  <si>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</si>
  <si>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</si>
  <si>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</si>
  <si>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</si>
  <si>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</si>
  <si>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</si>
  <si>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</si>
  <si>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</si>
  <si>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</si>
  <si>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</si>
  <si>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</si>
  <si>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</si>
  <si>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</si>
  <si>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</si>
  <si>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</si>
  <si>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</si>
  <si>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</si>
  <si>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</si>
  <si>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</si>
  <si>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</si>
  <si>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</si>
  <si>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</si>
  <si>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</si>
  <si>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</si>
  <si>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</si>
  <si>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</si>
  <si>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</si>
  <si>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</si>
  <si>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</si>
  <si>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</si>
  <si>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</si>
  <si>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</si>
  <si>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</si>
  <si>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</si>
  <si>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</si>
  <si>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</si>
  <si>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</si>
  <si>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</si>
  <si>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</si>
  <si>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</si>
  <si>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</si>
  <si>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</si>
  <si>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</si>
  <si>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</si>
  <si>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</si>
  <si>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</si>
  <si>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</si>
  <si>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</si>
  <si>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</si>
  <si>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</si>
  <si>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</si>
  <si>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</si>
  <si>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</si>
  <si>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</si>
  <si>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</si>
  <si>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</si>
  <si>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</si>
  <si>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</si>
  <si>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</si>
  <si>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</si>
  <si>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</si>
  <si>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</si>
  <si>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</si>
  <si>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</si>
  <si>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</si>
  <si>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</si>
  <si>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</si>
  <si>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</si>
  <si>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</si>
  <si>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</si>
  <si>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</si>
  <si>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</si>
  <si>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</si>
  <si>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</si>
  <si>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</si>
  <si>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</si>
  <si>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</si>
  <si>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</si>
  <si>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</si>
  <si>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</si>
  <si>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</si>
  <si>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</si>
  <si>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</si>
  <si>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</si>
  <si>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</si>
  <si>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</si>
  <si>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</si>
  <si>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</si>
  <si>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</si>
  <si>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</si>
  <si>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</si>
  <si>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</si>
  <si>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</si>
  <si>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</si>
  <si>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</si>
  <si>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</si>
  <si>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</si>
  <si>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</si>
  <si>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</si>
  <si>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</si>
  <si>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</si>
  <si>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</si>
  <si>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</si>
  <si>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</si>
  <si>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</si>
  <si>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</si>
  <si>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</si>
  <si>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</si>
  <si>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</si>
  <si>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</si>
  <si>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</si>
  <si>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</si>
  <si>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</si>
  <si>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</si>
  <si>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</si>
  <si>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</si>
  <si>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</si>
  <si>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</si>
  <si>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</si>
  <si>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</si>
  <si>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</si>
  <si>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</si>
  <si>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</si>
  <si>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</si>
  <si>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</si>
  <si>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</si>
  <si>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</si>
  <si>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</si>
  <si>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</si>
  <si>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REMARKS</t>
  </si>
  <si>
    <t>int?</t>
  </si>
  <si>
    <t>long?</t>
  </si>
  <si>
    <t>DateTime?</t>
  </si>
  <si>
    <t>TimeSpan?</t>
  </si>
  <si>
    <t>decimal?</t>
  </si>
  <si>
    <t>byte?</t>
  </si>
  <si>
    <t>CKD_REQ_ID</t>
  </si>
  <si>
    <t>UP_PLAN_DATE</t>
  </si>
  <si>
    <t>UP_PLAN_TIME</t>
  </si>
  <si>
    <t>UP_ACTUAL_DATE</t>
  </si>
  <si>
    <t>UP_ACTUAL_TIME</t>
  </si>
  <si>
    <t>TIME_REQUEST</t>
  </si>
  <si>
    <t>varchar(50)</t>
  </si>
  <si>
    <t>DateTime</t>
  </si>
  <si>
    <t>Date</t>
  </si>
  <si>
    <t>InvCkdRequestContentByPxP</t>
  </si>
  <si>
    <t>RequestContentByPxP</t>
  </si>
  <si>
    <t>Request Content By PxP</t>
  </si>
  <si>
    <t>MODEL</t>
  </si>
  <si>
    <t>SOURCE</t>
  </si>
  <si>
    <t>PART_NO</t>
  </si>
  <si>
    <t>PART_NAME</t>
  </si>
  <si>
    <t>BALANCE</t>
  </si>
  <si>
    <t>REQ_QUANTITY</t>
  </si>
  <si>
    <t>MINSTOCK_AT_TMV</t>
  </si>
  <si>
    <t>STOCKENDOF_REQ_DATE</t>
  </si>
  <si>
    <t>varchar(12)</t>
  </si>
  <si>
    <t>varchar(300)</t>
  </si>
  <si>
    <t>varchar(1000)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</si>
</sst>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347</v>
      </c>
      <c r="F18" s="1" t="s">
        <v>349</v>
      </c>
      <c r="G18" t="s">
        <v>348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321</v>
      </c>
      <c r="F42" s="1" t="s">
        <v>334</v>
      </c>
      <c r="G42" t="s">
        <v>334</v>
      </c>
    </row>
    <row r="43" spans="1:8" x14ac:dyDescent="0.3">
      <c r="A43" s="1"/>
      <c r="D43" t="s">
        <v>322</v>
      </c>
      <c r="F43" s="1" t="s">
        <v>328</v>
      </c>
      <c r="G43" t="s">
        <v>335</v>
      </c>
    </row>
    <row r="44" spans="1:8" x14ac:dyDescent="0.3">
      <c r="A44" s="1"/>
      <c r="D44" t="s">
        <v>324</v>
      </c>
      <c r="F44" s="1" t="s">
        <v>329</v>
      </c>
      <c r="G44" t="s">
        <v>336</v>
      </c>
    </row>
    <row r="45" spans="1:8" x14ac:dyDescent="0.3">
      <c r="A45" s="1"/>
      <c r="D45" t="s">
        <v>323</v>
      </c>
      <c r="F45" s="1" t="s">
        <v>330</v>
      </c>
      <c r="G45" t="s">
        <v>337</v>
      </c>
    </row>
    <row r="46" spans="1:8" x14ac:dyDescent="0.3">
      <c r="A46" s="1"/>
      <c r="D46" t="s">
        <v>326</v>
      </c>
      <c r="F46" s="1" t="s">
        <v>331</v>
      </c>
      <c r="G46" t="s">
        <v>338</v>
      </c>
    </row>
    <row r="47" spans="1:8" x14ac:dyDescent="0.3">
      <c r="A47" s="1"/>
      <c r="D47" t="s">
        <v>344</v>
      </c>
      <c r="F47" s="1" t="s">
        <v>345</v>
      </c>
      <c r="G47" t="s">
        <v>346</v>
      </c>
    </row>
    <row r="48" spans="1:8" x14ac:dyDescent="0.3">
      <c r="A48" s="1"/>
      <c r="D48" t="s">
        <v>327</v>
      </c>
      <c r="F48" s="1" t="s">
        <v>332</v>
      </c>
      <c r="G48" t="s">
        <v>339</v>
      </c>
    </row>
    <row r="49" spans="1:7" x14ac:dyDescent="0.3">
      <c r="A49" s="1"/>
      <c r="D49" t="s">
        <v>325</v>
      </c>
      <c r="F49" s="1" t="s">
        <v>333</v>
      </c>
      <c r="G49" t="s">
        <v>340</v>
      </c>
    </row>
    <row r="50" spans="1:7" x14ac:dyDescent="0.3">
      <c r="A50" s="1"/>
      <c r="D50" t="s">
        <v>341</v>
      </c>
      <c r="F50" s="1" t="s">
        <v>342</v>
      </c>
      <c r="G50" t="s">
        <v>343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[Table("InvCkdRequestContentByPxP")]
	public class InvCkdRequestContentByPxP: FullAuditedEntity&lt;long&gt;, IEntity&lt;long&gt;	
	{
		public const int MaxModelLength = 50;
		public const int MaxSourceLength = 50;
		public const int MaxPartNoLength = 12;
		public const int MaxPartNameLength = 300;
		public const int MaxRemarksLength = 1000;
		public const int MaxIsActiveLength = 1;
		[StringLength(MaxModelLength)]
		public virtual string Model { get; set; }
		[StringLength(MaxSourceLength)]
		public virtual string Source { get; set; }
		public virtual long? CkdReqId { get; set; }
		[Column(TypeName="Date")]
		[StringLength(MaxPartNoLength)]
		public virtual string PartNo { get; set; }
		[StringLength(MaxPartNameLength)]
		public virtual string PartName { get; set; }
		public virtual int? Balance { get; set; }
		public virtual int? ReqQuantity { get; set; }
		[Column(TypeName="Date")]
		public virtual int? MinstockAtTmv { get; set; }
		[Column(TypeName="Date")]
		public virtual int? StockendofReqDate { get; set; }
		[Column(TypeName="Date")]
		public virtual DateTime? UpPlanDate { get; set; }
		public virtual int? UpPlanTime { get; set; }
		public virtual DateTime? UpActualDate { get; set; }
		public virtual int? UpActualTime { get; set; }
		public virtual int? TimeRequest { get; set; }
		[StringLength(MaxRemarksLength)]
		public virtual string Remarks { get; set; }
		[StringLength(MaxIsActiveLength)]
		public virtual string IsActive { get; set; }
	}
}
</v>
      </c>
      <c r="D68" s="48" t="str">
        <f>A.Backend!O7</f>
        <v xml:space="preserve">		public const string Pages_Inventory_CKD_RequestContentByPxP = "Pages.Inventory.CKD.RequestContentByPxP";
		public const string Pages_Inventory_CKD_RequestContentByPxP_CreateEdit = "Pages.Inventory.CKD.RequestContentByPxP.CreateEdit";
		public const string Pages_Inventory_CKD_RequestContentByPxP_Delete = "Pages.Inventory.CKD.RequestContentByPxP.Delete";
</v>
      </c>
      <c r="E68" s="48" t="str">
        <f>A.Backend!N7</f>
        <v xml:space="preserve">		var perInvCkdRequestContentByPxP = PARENTS.CreateChildPermission(AppPermissions.Pages_Inventory_CKD_RequestContentByPxP, L( "InventoryCKDRequestContentByPxP"), multiTenancySides: MultiTenancySides.Tenant);
		perInvCkdRequestContentByPxP.CreateChildPermission(AppPermissions.Pages_Inventory_CKD_RequestContentByPxP_CreateEdit, L( "InventoryCKDRequestContentByPxPCreateEdit"), multiTenancySides: MultiTenancySides.Tenant);
		perInvCkdRequestContentByPxP.CreateChildPermission(AppPermissions.Pages_Inventory_CKD_RequestContentByPxP_Delete, L( "InventoryCKDRequestContentByPxPDelete"), multiTenancySides: MultiTenancySides.Tenant);</v>
      </c>
      <c r="F68" s="48" t="str">
        <f>A.Backend!K7</f>
        <v>public virtual DbSet&lt;InvCkdRequestContentByPxP&gt; InvCkdRequestContentByPxPs { get; set; }</v>
      </c>
      <c r="G68" s="48" t="str">
        <f ca="1">A.Backend!L7</f>
        <v xml:space="preserve">namespace prod.Inventory.CKD
{
	public class InvCkdRequestContentByPxPConsts	
	{
		public const int MaxModelLength = 50;
		public const int MaxSourceLength = 50;
		public const int MaxPartNoLength = 12;
		public const int MaxPartNameLength = 300;
		public const int MaxRemarksLength = 1000;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InvCkdRequestContentByPxPDto : EntityDto&lt;long?&gt;	
	{
		public virtual string Model { get; set; }
		public virtual string Source { get; set; }
		public virtual long? CkdReqId { get; set; }
		public virtual string PartNo { get; set; }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public virtual string Remarks { get; set; }
		public virtual string IsActive { get; set; }
	}
	public class CreateOrEditInvCkdRequestContentByPxPDto : EntityDto&lt;long?&gt;	
	{
		[StringLength(InvCkdRequestContentByPxPConsts.MaxModelLength)]
		public virtual string Model { get; set; }
		[StringLength(InvCkdRequestContentByPxPConsts.MaxSourceLength)]
		public virtual string Source { get; set; }
		public virtual long? CkdReqId { get; set; }
		[StringLength(InvCkdRequestContentByPxPConsts.MaxPartNoLength)]
		public virtual string PartNo { get; set; }
		[StringLength(InvCkdRequestContentByPxPConsts.MaxPartNameLength)]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[StringLength(InvCkdRequestContentByPxPConsts.MaxRemarksLength)]
		public virtual string Remarks { get; set; }
		[StringLength(InvCkdRequestContentByPxPConsts.MaxIsActiveLength)]
		public virtual string IsActive { get; set; }
	}
	public class GetInvCkdRequestContentByPxPInput : PagedAndSortedResultRequestDto	
	{
		public virtual string Model { get; set; }
		public virtual string Source { get; set; }
		public virtual string PartNo { get; set; }
		public virtual string PartName { get; set; }
		public virtual string Remarks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InvCkdRequestContentByPxPExportInput{
		public virtual string Model { get; set; }
		public virtual string Source { get; set; }
		public virtual long? CkdReqId { get; set; }
		public virtual string PartNo { get; set; }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public virtual string Remarks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IInvCkdRequestContentByPxPAppService : IApplicationService
	{
		Task&lt;PagedResultDto&lt;InvCkdRequestContentByPxPDto&gt;&gt; GetAll(GetInvCkdRequestContentByPxPInput input);
		Task CreateOrEdit(CreateOrEditInvCkdRequestContentByPxPDto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IInvCkdRequestContentByPxPExcelExporter : IApplicationService
	{
		FileDto ExportToFile(List&lt;InvCkdRequestContentByPxPDto&gt; invckdrequestcontentbypxp);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InvCkdRequestContentByPxPExcelExporter : NpoiExcelExporterBase, IInvCkdRequestContentByPxPExcelExporter
    {
        public InvCkdRequestContentByPxPExcelExporter(ITempFileCacheManager tempFileCacheManager) : base(tempFileCacheManager) { }
        public FileDto ExportToFile(List&lt;InvCkdRequestContentByPxPDto&gt; requestcontentbypxp)
        {
            return CreateExcelPackage(
				"InventoryCKDRequestContentByPxP.xlsx",
				excelPackage =&gt;
				 {
					var sheet = excelPackage.CreateSheet("RequestContentByPxP");
					AddHeader(
								sheet,
								("Model"),
								("Source"),
								("CkdReqId"),
								("PartNo"),
								("PartName"),
								("Balance"),
								("ReqQuantity"),
								("MinstockAtTmv"),
								("StockendofReqDate"),
								("UpPlanDate"),
								("UpPlanTime"),
								("UpActualDate"),
								("UpActualTime"),
								("TimeRequest"),
								("Remarks"),
								("IsActive"),
							   );
					AddObjects(
						 sheet, 1, requestcontentbypxp,                                       
								_ =&gt; _.Model,
								_ =&gt; _.Source,
								_ =&gt; _.CkdReqId,
								_ =&gt; _.PartNo,
								_ =&gt; _.PartName,
								_ =&gt; _.Balance,
								_ =&gt; _.ReqQuantity,
								_ =&gt; _.MinstockAtTmv,
								_ =&gt; _.StockendofReqDate,
								_ =&gt; _.UpPlanDate,
								_ =&gt; _.UpPlanTime,
								_ =&gt; _.UpActualDate,
								_ =&gt; _.UpActualTime,
								_ =&gt; _.TimeRequest,
								_ =&gt; _.Remarks,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[AbpAuthorize(AppPermissions.Pages_Inventory_CKD_RequestContentByPxP)]
    public class InvCkdRequestContentByPxPAppService : vovinaAppServiceBase, IInvCkdRequestContentByPxPAppService
    {
        private readonly IDapperRepository&lt;InvCkdRequestContentByPxP, long&gt; _dapperRepo;
        private readonly IRepository&lt;InvCkdRequestContentByPxP, long&gt; _repo;
        private readonly IInvCkdRequestContentByPxPExcelExporter _calendarListExcelExporter;
        public InvCkdRequestContentByPxPAppService(IRepository&lt;InvCkdRequestContentByPxP,long&gt; repo, 
                                         IDapperRepository&lt;InvCkdRequestContentByPxP,long&gt; dapperRepo,
                                        IInvCkdRequestContentByPxPExcelExporter calendarListExcelExporter
            )
        {
            _repo = repo;
            _dapperRepo = dapperRepo;
            _calendarListExcelExporter = calendarListExcelExporter;
        }
        [AbpAuthorize(AppPermissions.Pages_Inventory_CKD_RequestContentByPxP_CreateEdit)]
        public async Task CreateOrEdit(CreateOrEditInvCkdRequestContentByPxPDto input)
        {
            if (input.Id == null) await Create(input);
            else await Update(input);
        }
        //CREATE
        private async Task Create(CreateOrEditInvCkdRequestContentByPxPDto input)
        {          
            var mainObj = ObjectMapper.Map&lt;InvCkdRequestContentByPxP&gt;(input);
            await CurrentUnitOfWork.GetDbContext&lt;vovinaDbContext&gt;().AddAsync(mainObj);
        }
        // EDIT
        private async Task Update(CreateOrEditInvCkdRequestContentByPxPDto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[AbpAuthorize(AppPermissions.Pages_Inventory_CKD_RequestContentByPxP_Delete)]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Task&lt;PagedResultDto&lt;InvCkdRequestContentByPxPDto&gt;&gt; GetAll(GetInvCkdRequestContentByPxPInput input)
        {
            var filtered = _repo.GetAll()
				.WhereIf(!string.IsNullOrWhiteSpace(input.Model), e =&gt; e.Model.Contains(input.Model))
				.WhereIf(!string.IsNullOrWhiteSpace(input.Source), e =&gt; e.Source.Contains(input.Source))
				.WhereIf(!string.IsNullOrWhiteSpace(input.PartNo), e =&gt; e.PartNo.Contains(input.PartNo))
				.WhereIf(!string.IsNullOrWhiteSpace(input.PartName), e =&gt; e.PartName.Contains(input.PartName))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InvCkdRequestContentByPxPDto
                        {
							Id = o.Id,
							Model = o.Model,
							Source = o.Source,
							CkdReqId = o.CkdReqId,
							PartNo = o.PartNo,
							PartName = o.PartName,
							Balance = o.Balance,
							ReqQuantity = o.ReqQuantity,
							MinstockAtTmv = o.MinstockAtTmv,
							StockendofReqDate = o.StockendofReqDate,
							UpPlanDate = o.UpPlanDate,
							UpPlanTime = o.UpPlanTime,
							UpActualDate = o.UpActualDate,
							UpActualTime = o.UpActualTime,
							TimeRequest = o.TimeRequest,
							Remarks = o.Remarks,
							IsActive = o.IsActive,
                        };
            var totalCount = await filtered.CountAsync();
			var paged = system.PageBy(input);
            return new PagedResultDto&lt;InvCkdRequestContentByPxPDto&gt;(
                totalCount,
                 await paged.ToListAsync()
            );
        }
        public async Task&lt;FileDto&gt; GetRequestContentByPxPToExcel(InvCkdRequestContentByPxPExportInput input)
        {
            var query = from o in _repo.GetAll()
                        select new InvCkdRequestContentByPxPDto
                        {
							Id = o.Id,
							Model = o.Model,
							Source = o.Source,
							CkdReqId = o.CkdReqId,
							PartNo = o.PartNo,
							PartName = o.PartName,
							Balance = o.Balance,
							ReqQuantity = o.ReqQuantity,
							MinstockAtTmv = o.MinstockAtTmv,
							StockendofReqDate = o.StockendofReqDate,
							UpPlanDate = o.UpPlanDate,
							UpPlanTime = o.UpPlanTime,
							UpActualDate = o.UpActualDate,
							UpActualTime = o.UpActualTime,
							TimeRequest = o.TimeRequest,
							Remarks = o.Remarks,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_dapperRepo.ExecuteAsync(InvCkdRequestContentByPxPConsts.SP_MST_WPT_CALENDAR_GENERATE);
       // }
    }
}</v>
      </c>
      <c r="N68" s="58" t="str">
        <f>A.Backend!U7</f>
        <v xml:space="preserve">  configuration.CreateMap&lt;InvCkdRequestContentByPxPDto, InvCkdRequestContentByPxP&gt;();
  configuration.CreateMap&lt;InvCkdRequestContentByPxP, InvCkdRequestContentByPxPDto&gt;();
  configuration.CreateMap&lt;CreateOrEditInvCkdRequestContentByPxPDto, InvCkdRequestContentByPxP&gt;();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requestcontentbypxp</v>
      </c>
      <c r="C73" s="66" t="str">
        <f>"create folder " &amp;B73</f>
        <v>create folder requestcontentbypxp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requestcontentbypxp.component.ts</v>
      </c>
      <c r="D74" s="28" t="str">
        <f>B.Frontend!I14</f>
        <v>requestcontentbypxp.component.html</v>
      </c>
      <c r="E74" s="28" t="str">
        <f>B.Frontend!J14</f>
        <v>requestcontentbypxp.component.less</v>
      </c>
      <c r="F74" s="28" t="str">
        <f>B.Frontend!K14</f>
        <v>create-or-edit-requestcontentbypxp-modal.component.html</v>
      </c>
      <c r="G74" s="28" t="str">
        <f>B.Frontend!L14</f>
        <v>create-or-edit-requestcontentbypxp-modal.component.ts</v>
      </c>
      <c r="H74" s="28" t="str">
        <f>B.Frontend!M14</f>
        <v>create-or-edit-requestcontentbypxp-modal.component.less</v>
      </c>
      <c r="I74" s="28" t="str">
        <f>B.Frontend!N14</f>
        <v>requestcontentbypxp.module.ts</v>
      </c>
      <c r="J74" s="28" t="str">
        <f>B.Frontend!O14</f>
        <v>requestcontentbypxp-routing.module.ts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InvCkdRequestContentByPxPDto, InvCkdRequestContentByPxPServiceProxy } from '@shared/service-proxies/service-proxies';
import { finalize } from 'rxjs/internal/operators/finalize';
import { CreateOrEditRequestContentByPxPModalComponent } from './create-or-edit-requestcontentbypxp-modal.component';
import { DatePipe } from '@angular/common';
import { FileDownloadService } from '@shared/utils/file-download.service';
import ceil from 'lodash-es/ceil';
import { Paginator } from 'primeng/paginator';
@Component({
    templateUrl: './requestcontentbypxp.component.html',
    styleUrls: ['./requestcontentbypxp.component.less'],
})
export class RequestContentByPxPComponent extends AppComponentBase implements OnInit {
    @ViewChild('createOrEditModalRequestContentByPxP', { static: true }) createOrEditModalRequestContentByPxP:| CreateOrEditRequestContentByPxPModalComponent|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InvCkdRequestContentByPxPDto = new InvCkdRequestContentByPxPDto();
    saveSelectedRow: InvCkdRequestContentByPxPDto = new InvCkdRequestContentByPxPDto();
    datas: InvCkdRequestContentByPxPDto = new InvCkdRequestContentByPxPDto();
    isLoading: boolean = false;
    dataParams: GridParams | undefined;
    rowData: any[] = [];
    gridApi!: GridApi;
    rowSelection = 'multiple';
    filter: string = '';
	pipe = new DatePipe('en-US');
	frameworkComponents: FrameworkComponent;
    	model : string = '' ; 
	source : string = '' ; 
	ckdReqId
	partNo : string = '' ; 
	partName : string = '' ; 
	balance
	reqQuantity
	minstockAtTmv
	stockendofReqDate
	upPlanDate
	upPlanTime
	upActualDate
	upActualTime
	timeRequest
	remarks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InvCkdRequestContentByPxPServiceProxy,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this.l('Source'),headerTooltip: this.l('Source'),field: 'source',flex: 1},
			{headerName: this.l('Ckd Req Id'),headerTooltip: this.l('Ckd Req Id'),field: 'ckdReqId',flex: 1},
			{headerName: this.l('Part No'),headerTooltip: this.l('Part No'),field: 'partNo',flex: 1},
			{headerName: this.l('Part Name'),headerTooltip: this.l('Part Name'),field: 'partName',flex: 1},
			{headerName: this.l('Balance'),headerTooltip: this.l('Balance'),field: 'balance',flex: 1},
			{headerName: this.l('Req Quantity'),headerTooltip: this.l('Req Quantity'),field: 'reqQuantity',flex: 1},
			{headerName: this.l('Minstock At Tmv'),headerTooltip: this.l('Minstock At Tmv'),field: 'minstockAtTmv',flex: 1},
			{headerName: this.l('Stockendof Req Date'),headerTooltip: this.l('Stockendof Req Date'),field: 'stockendofReqDate',flex: 1},
			{headerName: this.l('Up Plan Date'),headerTooltip: this.l('Up Plan Date'),field: 'upPlanDate',flex: 1},
			{headerName: this.l('Up Plan Time'),headerTooltip: this.l('Up Plan Time'),field: 'upPlanTime',flex: 1},
			{headerName: this.l('Up Actual Date'),headerTooltip: this.l('Up Actual Date'),field: 'upActualDate',flex: 1},
			{headerName: this.l('Up Actual Time'),headerTooltip: this.l('Up Actual Time'),field: 'upActualTime',flex: 1},
			{headerName: this.l('Time Request'),headerTooltip: this.l('Time Request'),field: 'timeRequest',flex: 1},
			{headerName: this.l('Remarks'),headerTooltip: this.l('Remarks'),field: 'remarks',flex: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this.source,
			this.ckdReqId,
			this.partNo,
			this.partName,
			this.balance,
			this.reqQuantity,
			this.minstockAtTmv,
			this.stockendofReqDate,
			this.upPlanDate,
			this.upPlanTime,
			this.upActualDate,
			this.upActualTime,
			this.timeRequest,
			this.remarks,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 = '',
		this.source = '',
		this.ckdReqId = '',
		this.partNo = '',
		this.partName = '',
		this.balance = '',
		this.reqQuantity = '',
		this.minstockAtTmv = '',
		this.stockendofReqDate = '',
		this.upPlanDate = '',
		this.upPlanTime = '',
		this.upActualDate = '',
		this.upActualTime = '',
		this.timeRequest = '',
		this.remarks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this.source,
			this.ckdReqId,
			this.partNo,
			this.partName,
			this.balance,
			this.reqQuantity,
			this.minstockAtTmv,
			this.stockendofReqDate,
			this.upPlanDate,
			this.upPlanTime,
			this.upActualDate,
			this.upActualTime,
			this.timeRequest,
			this.remarks,
			this.isActive,
			'',
            this.paginationParams.skipCount,
            this.paginationParams.pageSize
        );
    }
    onChangeRowSelection(params: { api: { getSelectedRows: () =&gt; InvCkdRequestContentByPxPDto[] } }) {
        this.saveSelectedRow = params.api.getSelectedRows()[0] ?? new InvCkdRequestContentByPxPDto();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InvCkdRequestContentByPxPDto):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this._service.getRequestContentByPxPToExcel(
			this.model,
			this.source,
			this.ckdReqId,
			this.partNo,
			this.partName,
			this.balance,
			this.reqQuantity,
			this.minstockAtTmv,
			this.stockendofReqDate,
			this.upPlanDate,
			this.upPlanTime,
			this.upActualDate,
			this.upActualTime,
			this.timeRequest,
			this.remarks,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Request Content By PxP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(click)="createOrEditModalRequestContentByPxP.show()"&gt;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(click)="createOrEditModalRequestContentByPxP.show(selectedRow)"&gt;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&lt;create-or-edit-requestcontentbypxp-modal
    #createOrEditModalRequestContentByPxP
    (modalSave)="callBackDataGrid(dataParams)"
    (modalClose)="onChangeRowSelection(dataParams)"
&gt;
&lt;/create-or-edit-requestcontentbypxp-modal&gt;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#createOrEditModalRequestContentByPxP="bs-modal"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RequestContentByPxP')}}&lt;/h3&gt;
                    &lt;h3 *ngIf="!rowdata.id"&gt;{{('Create New RequestContentByPxP')}}&lt;/h3&gt;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CreateOrEditInvCkdRequestContentByPxPDto, InvCkdRequestContentByPxPServiceProxy } from '@shared/service-proxies/service-proxies';
import { BsDatepickerDirective } from 'ngx-bootstrap/datepicker';
@Component({
    selector: 'create-or-edit-requestcontentbypxp-modal',
    templateUrl: './create-or-edit-requestcontentbypxp-modal.component.html',
    styleUrls: ['./create-or-edit-requestcontentbypxp-modal.component.less']
    })
export class CreateOrEditRequestContentByPxPModalComponent extends AppComponentBase {
    @ViewChild('createOrEditModalRequestContentByPxP',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CreateOrEditInvCkdRequestContentByPxPDto = new CreateOrEditInvCkdRequestContentByPxPDto();
    active: boolean = false;
    saving: boolean = false;
    _isActive: boolean;
    constructor(
        injector: Injector,
        private _mstwptRequestContentByPxPService: InvCkdRequestContentByPxPServiceProxy,
    ) 
    {
        super(injector);
    }
    show(rowdata?: CreateOrEditInvCkdRequestContentByPxPDto): void {
        if (!rowdata) this.rowdata = new CreateOrEditInvCkdRequestContentByPxPDto();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this._mstwptRequestContentByPxPService.createOrEdit(this.rowdata)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RequestContentByPxPRoutingModule } from './requestcontentbypxp-routing.module';
import { RequestContentByPxPComponent } from './requestcontentbypxp.component';
import { CreateOrEditRequestContentByPxPModalComponent } from './create-or-edit-requestcontentbypxp-modal.component';
@NgModule({
    declarations: [
       RequestContentByPxPComponent, 
        CreateOrEditRequestContentByPxPModalComponent
    ],
    imports: [
        AppSharedModule, RequestContentByPxPRoutingModule]
})
export class RequestContentByPxPModule {}</v>
      </c>
      <c r="J75" s="46" t="str">
        <f>B.Frontend!O10</f>
        <v>import {NgModule} from '@angular/core';
import {RouterModule, Routes} from '@angular/router';
import { RequestContentByPxPComponent } from './requestcontentbypxp.component';
const routes: Routes = [{
    path: '',
    component: RequestContentByPxPComponent,
    pathMatch: 'full'
}];
@NgModule({
    imports: [RouterModule.forChild(routes)],
    exports: [RouterModule],
})
export class RequestContentByPxPRoutingModule {}</v>
      </c>
      <c r="K75" s="46" t="str">
        <f>B.Frontend!P10</f>
        <v xml:space="preserve"> new AppMenuItem("RequestContentByPxP", "Pages.Inventory.CKD.RequestContentByPxP", "flaticon-book",   "/app/main/inventory/ckd/requestcontentbypxp"),</v>
      </c>
      <c r="L75" s="47" t="str">
        <f>B.Frontend!Q10</f>
        <v>{
    path: 'inventory/ckd/requestcontentbypxp',
    loadChildren: () =&gt; import('./inventory/ckd/requestcontentbypxp/requestcontentbypxp.module').then(m =&gt; m.RequestContentByPxPModule),
    data: { permission: 'Pages.Inventory.CKD.RequestContentByPxP' }
},</v>
      </c>
      <c r="M75" s="45" t="str">
        <f>B.Frontend!R10</f>
        <v>ApiServiceProxies.InvCkdRequestContentByPxPServiceProxy,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6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367</v>
      </c>
      <c r="C3" s="9" t="s">
        <v>41</v>
      </c>
      <c r="D3" s="9" t="s">
        <v>42</v>
      </c>
      <c r="E3" s="9" t="s">
        <v>37</v>
      </c>
      <c r="F3" s="10" t="str">
        <f>"J"&amp;COUNTA($A:$A)</f>
        <v>J24</v>
      </c>
      <c r="G3" s="4" t="s">
        <v>54</v>
      </c>
      <c r="H3" s="9" t="str">
        <f>"I"&amp;COUNTA($A:$A)</f>
        <v>I24</v>
      </c>
      <c r="I3" s="9" t="str">
        <f>REPT(CHAR(9),2)&amp;"[Required]"&amp;"
"</f>
        <v xml:space="preserve">		[Required]
</v>
      </c>
      <c r="J3" s="10" t="str">
        <f>"L"&amp;COUNTA($A:$A)</f>
        <v>L24</v>
      </c>
      <c r="K3" s="5" t="s">
        <v>53</v>
      </c>
      <c r="L3" s="10" t="str">
        <f>"M"&amp;COUNTA($A:$A)</f>
        <v>M24</v>
      </c>
      <c r="M3" s="10" t="str">
        <f>"N"&amp;COUNTA($A:$A)</f>
        <v>N24</v>
      </c>
      <c r="N3" s="10" t="str">
        <f>"O"&amp;COUNTA($A:$A)</f>
        <v>O24</v>
      </c>
      <c r="O3" s="10" t="str">
        <f>"P"&amp;COUNTA($A:$A)</f>
        <v>P24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InvCkdRequestContentByPxPExportInput{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T24</v>
      </c>
      <c r="V3" s="10" t="str">
        <f>"V"&amp;COUNTA($A:$A)</f>
        <v>V24</v>
      </c>
      <c r="W3" s="9" t="str">
        <f>"W"&amp;COUNTA($A:$A)</f>
        <v>W24</v>
      </c>
    </row>
    <row r="4" spans="1:23" s="10" customFormat="1" ht="33" customHeight="1" x14ac:dyDescent="0.3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0" t="s">
        <v>368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InvCkdRequestContentByPxP: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InvCkdRequestContentByPxPConsts	
	{
</v>
      </c>
      <c r="F6" s="10" t="str">
        <f>REPT(CHAR(9),1)&amp;"public class "&amp;B3&amp;"Dto"&amp;K3&amp;REPT(CHAR(9),1)&amp;"
"&amp;REPT(CHAR(9),1)&amp;C3</f>
        <v xml:space="preserve">	public class InvCkdRequestContentByPxPDto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CreateOrEditInvCkdRequestContentByPxPDto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GetInvCkdRequestContentByPxPInput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InvCkdRequestContentByPxP</v>
      </c>
      <c r="C7" s="10" t="str">
        <f>REPT(CHAR(9),1)&amp;"[Table("""&amp;B7&amp;""")]"&amp;"
"</f>
        <v xml:space="preserve">	[Table("InvCkdRequestContentByPxP")]
</v>
      </c>
      <c r="D7" s="10"/>
      <c r="E7" s="10"/>
      <c r="F7" s="10"/>
      <c r="G7" s="10"/>
      <c r="H7" s="10"/>
      <c r="I7" s="10"/>
      <c r="J7" t="str">
        <f ca="1">SUBSTITUTE(SUBSTITUTE((B1&amp;C6&amp;C7&amp;K26&amp;D6&amp;I26&amp;E3&amp;J26&amp;""&amp;REPT(CHAR(9),1)&amp;D3&amp;D3),"WorkingPattern",$Q$3),"Master",$B$4)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[Table("InvCkdRequestContentByPxP")]
	public class InvCkdRequestContentByPxP: FullAuditedEntity&lt;long&gt;, IEntity&lt;long&gt;	
	{
		public const int MaxModelLength = 50;
		public const int MaxSourceLength = 50;
		public const int MaxPartNoLength = 12;
		public const int MaxPartNameLength = 300;
		public const int MaxRemarksLength = 1000;
		public const int MaxIsActiveLength = 1;
		[StringLength(MaxModelLength)]
		public virtual string Model { get; set; }
		[StringLength(MaxSourceLength)]
		public virtual string Source { get; set; }
		public virtual long? CkdReqId { get; set; }
		[Column(TypeName="Date")]
		[StringLength(MaxPartNoLength)]
		public virtual string PartNo { get; set; }
		[StringLength(MaxPartNameLength)]
		public virtual string PartName { get; set; }
		public virtual int? Balance { get; set; }
		public virtual int? ReqQuantity { get; set; }
		[Column(TypeName="Date")]
		public virtual int? MinstockAtTmv { get; set; }
		[Column(TypeName="Date")]
		public virtual int? StockendofReqDate { get; set; }
		[Column(TypeName="Date")]
		public virtual DateTime? UpPlanDate { get; set; }
		public virtual int? UpPlanTime { get; set; }
		public virtual DateTime? UpActualDate { get; set; }
		public virtual int? UpActualTime { get; set; }
		public virtual int? TimeRequest { get; set; }
		[StringLength(MaxRemarksLength)]
		public virtual string Remarks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DbSet&lt;InvCkdRequestContentByPxP&gt; InvCkdRequestContentByPxPs { get; set; }</v>
      </c>
      <c r="L7" t="str">
        <f ca="1">SUBSTITUTE(SUBSTITUTE((C6&amp;E6&amp;I26&amp;"
"&amp;REPT(CHAR(9),2)&amp;"// Define Store Name: Format SP_ + &lt;Store Name&gt; = &lt;Store Name&gt;
"&amp;E3&amp;REPT(CHAR(9),1)&amp;D3&amp;D3),"WorkingPattern",$Q$3),"Master",$B$4)</f>
        <v xml:space="preserve">namespace prod.Inventory.CKD
{
	public class InvCkdRequestContentByPxPConsts	
	{
		public const int MaxModelLength = 50;
		public const int MaxSourceLength = 50;
		public const int MaxPartNoLength = 12;
		public const int MaxPartNameLength = 300;
		public const int MaxRemarksLength = 1000;
		public const int MaxIsActiveLength = 1;
		// Define Store Name: Format SP_ + &lt;Store Name&gt; = &lt;Store Name&gt;
	}
}
</v>
      </c>
      <c r="M7" t="str">
        <f ca="1">SUBSTITUTE(SUBSTITUTE((C1&amp;"namespace "&amp;B6&amp;".Dto"&amp;E3&amp;C3&amp;F6&amp;M26&amp;E3&amp;REPT(CHAR(9),1)&amp;D3&amp;G6&amp;N26&amp;REPT(CHAR(9),1)&amp;D3&amp;H6&amp;O26&amp;"
"&amp;REPT(CHAR(9),1)&amp;D3&amp;D3),"WorkingPattern",$Q$3),"Master",$B$4)</f>
        <v xml:space="preserve">using Abp.Application.Services.Dto;
using System;
using System.ComponentModel.DataAnnotations;
namespace prod.Inventory.CKD.Dto
{
	public class InvCkdRequestContentByPxPDto : EntityDto&lt;long?&gt;	
	{
		public virtual string Model { get; set; }
		public virtual string Source { get; set; }
		public virtual long? CkdReqId { get; set; }
		public virtual string PartNo { get; set; }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public virtual string Remarks { get; set; }
		public virtual string IsActive { get; set; }
	}
	public class CreateOrEditInvCkdRequestContentByPxPDto : EntityDto&lt;long?&gt;	
	{
		[StringLength(InvCkdRequestContentByPxPConsts.MaxModelLength)]
		public virtual string Model { get; set; }
		[StringLength(InvCkdRequestContentByPxPConsts.MaxSourceLength)]
		public virtual string Source { get; set; }
		public virtual long? CkdReqId { get; set; }
		[StringLength(InvCkdRequestContentByPxPConsts.MaxPartNoLength)]
		public virtual string PartNo { get; set; }
		[StringLength(InvCkdRequestContentByPxPConsts.MaxPartNameLength)]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[StringLength(InvCkdRequestContentByPxPConsts.MaxRemarksLength)]
		public virtual string Remarks { get; set; }
		[StringLength(InvCkdRequestContentByPxPConsts.MaxIsActiveLength)]
		public virtual string IsActive { get; set; }
	}
	public class GetInvCkdRequestContentByPxPInput : PagedAndSortedResultRequestDto	
	{
		public virtual string Model { get; set; }
		public virtual string Source { get; set; }
		public virtual string PartNo { get; set; }
		public virtual string PartName { get; set; }
		public virtual string Remarks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perInvCkdRequestContentByPxP = PARENTS.CreateChildPermission(AppPermissions.Pages_Inventory_CKD_RequestContentByPxP, L( "InventoryCKDRequestContentByPxP"), multiTenancySides: MultiTenancySides.Tenant);
		perInvCkdRequestContentByPxP.CreateChildPermission(AppPermissions.Pages_Inventory_CKD_RequestContentByPxP_CreateEdit, L( "InventoryCKDRequestContentByPxPCreateEdit"), multiTenancySides: MultiTenancySides.Tenant);
		perInvCkdRequestContentByPxP.CreateChildPermission(AppPermissions.Pages_Inventory_CKD_RequestContentByPxP_Delete, L( "InventoryCKDRequestContentByPxPDelete"),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Pages_Inventory_CKD_RequestContentByPxP = "Pages.Inventory.CKD.RequestContentByPxP";
		public const string Pages_Inventory_CKD_RequestContentByPxP_CreateEdit = "Pages.Inventory.CKD.RequestContentByPxP.CreateEdit";
		public const string Pages_Inventory_CKD_RequestContentByPxP_Delete = "Pages.Inventory.CKD.RequestContentByPxP.Delete";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IInvCkdRequestContentByPxPAppService : IApplicationService
	{
		Task&lt;PagedResultDto&lt;InvCkdRequestContentByPxPDto&gt;&gt; GetAll(GetInvCkdRequestContentByPxPInput input);
		Task CreateOrEdit(CreateOrEditInvCkdRequestContentByPxPDto input);
		Task Delete(EntityDto input);
	}
}
</v>
      </c>
      <c r="Q7" t="str">
        <f ca="1">SUBSTITUTE(SUBSTITUTE(SUBSTITUTE(SUBSTITUTE(SUBSTITUTE(SUBSTITUTE(E1,"MstWptCalendar",$B$3),"&lt;PROPERTIES&gt;",P26),"Calendar",$B$5),"WorkingPattern",$Q$3),"Master",$B$4),"&lt;PARAMS_SEARCH&gt;",$W$26)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[AbpAuthorize(AppPermissions.Pages_Inventory_CKD_RequestContentByPxP)]
    public class InvCkdRequestContentByPxPAppService : vovinaAppServiceBase, IInvCkdRequestContentByPxPAppService
    {
        private readonly IDapperRepository&lt;InvCkdRequestContentByPxP, long&gt; _dapperRepo;
        private readonly IRepository&lt;InvCkdRequestContentByPxP, long&gt; _repo;
        private readonly IInvCkdRequestContentByPxPExcelExporter _calendarListExcelExporter;
        public InvCkdRequestContentByPxPAppService(IRepository&lt;InvCkdRequestContentByPxP,long&gt; repo, 
                                         IDapperRepository&lt;InvCkdRequestContentByPxP,long&gt; dapperRepo,
                                        IInvCkdRequestContentByPxPExcelExporter calendarListExcelExporter
            )
        {
            _repo = repo;
            _dapperRepo = dapperRepo;
            _calendarListExcelExporter = calendarListExcelExporter;
        }
        [AbpAuthorize(AppPermissions.Pages_Inventory_CKD_RequestContentByPxP_CreateEdit)]
        public async Task CreateOrEdit(CreateOrEditInvCkdRequestContentByPxPDto input)
        {
            if (input.Id == null) await Create(input);
            else await Update(input);
        }
        //CREATE
        private async Task Create(CreateOrEditInvCkdRequestContentByPxPDto input)
        {          
            var mainObj = ObjectMapper.Map&lt;InvCkdRequestContentByPxP&gt;(input);
            await CurrentUnitOfWork.GetDbContext&lt;vovinaDbContext&gt;().AddAsync(mainObj);
        }
        // EDIT
        private async Task Update(CreateOrEditInvCkdRequestContentByPxPDto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[AbpAuthorize(AppPermissions.Pages_Inventory_CKD_RequestContentByPxP_Delete)]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Task&lt;PagedResultDto&lt;InvCkdRequestContentByPxPDto&gt;&gt; GetAll(GetInvCkdRequestContentByPxPInput input)
        {
            var filtered = _repo.GetAll()
				.WhereIf(!string.IsNullOrWhiteSpace(input.Model), e =&gt; e.Model.Contains(input.Model))
				.WhereIf(!string.IsNullOrWhiteSpace(input.Source), e =&gt; e.Source.Contains(input.Source))
				.WhereIf(!string.IsNullOrWhiteSpace(input.PartNo), e =&gt; e.PartNo.Contains(input.PartNo))
				.WhereIf(!string.IsNullOrWhiteSpace(input.PartName), e =&gt; e.PartName.Contains(input.PartName))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InvCkdRequestContentByPxPDto
                        {
							Id = o.Id,
							Model = o.Model,
							Source = o.Source,
							CkdReqId = o.CkdReqId,
							PartNo = o.PartNo,
							PartName = o.PartName,
							Balance = o.Balance,
							ReqQuantity = o.ReqQuantity,
							MinstockAtTmv = o.MinstockAtTmv,
							StockendofReqDate = o.StockendofReqDate,
							UpPlanDate = o.UpPlanDate,
							UpPlanTime = o.UpPlanTime,
							UpActualDate = o.UpActualDate,
							UpActualTime = o.UpActualTime,
							TimeRequest = o.TimeRequest,
							Remarks = o.Remarks,
							IsActive = o.IsActive,
                        };
            var totalCount = await filtered.CountAsync();
			var paged = system.PageBy(input);
            return new PagedResultDto&lt;InvCkdRequestContentByPxPDto&gt;(
                totalCount,
                 await paged.ToListAsync()
            );
        }
        public async Task&lt;FileDto&gt; GetRequestContentByPxPToExcel(InvCkdRequestContentByPxPExportInput input)
        {
            var query = from o in _repo.GetAll()
                        select new InvCkdRequestContentByPxPDto
                        {
							Id = o.Id,
							Model = o.Model,
							Source = o.Source,
							CkdReqId = o.CkdReqId,
							PartNo = o.PartNo,
							PartName = o.PartName,
							Balance = o.Balance,
							ReqQuantity = o.ReqQuantity,
							MinstockAtTmv = o.MinstockAtTmv,
							StockendofReqDate = o.StockendofReqDate,
							UpPlanDate = o.UpPlanDate,
							UpPlanTime = o.UpPlanTime,
							UpActualDate = o.UpActualDate,
							UpActualTime = o.UpActualTime,
							TimeRequest = o.TimeRequest,
							Remarks = o.Remarks,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_dapperRepo.ExecuteAsync(InvCkdRequestContentByPxPConsts.SP_MST_WPT_CALENDAR_GENERATE);
       // }
    }
}</v>
      </c>
      <c r="R7" t="str">
        <f ca="1">SUBSTITUTE(SUBSTITUTE((C1&amp;"namespace "&amp;B6&amp;".Dto"&amp;E3&amp;C3&amp;R3&amp;M26&amp;E3&amp;REPT(CHAR(9),1)&amp;D3&amp;D3),"WorkingPattern",$Q$3),"Master",$B$4)</f>
        <v xml:space="preserve">using Abp.Application.Services.Dto;
using System;
using System.ComponentModel.DataAnnotations;
namespace prod.Inventory.CKD.Dto
{
	public class InvCkdRequestContentByPxPExportInput{
		public virtual string Model { get; set; }
		public virtual string Source { get; set; }
		public virtual long? CkdReqId { get; set; }
		public virtual string PartNo { get; set; }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public virtual string Remarks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IInvCkdRequestContentByPxPExcelExporter : IApplicationService
	{
		FileDto ExportToFile(List&lt;InvCkdRequestContentByPxPDto&gt; invckdrequestcontentbypxp);
	}
}
</v>
      </c>
      <c r="T7" s="26" t="str">
        <f ca="1">SUBSTITUTE(SUBSTITUTE(SUBSTITUTE(SUBSTITUTE(SUBSTITUTE(SUBSTITUTE(SUBSTITUTE(T1,"MstWptCalendar",$B$3),"&lt;PROPERTIES1&gt;",V26),"&lt;PROPERTIES&gt;",T26),"Calendar",$B$5),"calendar",LOWER(B5)),"WorkingPattern",$Q$3),"Master",$B$4)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InvCkdRequestContentByPxPExcelExporter : NpoiExcelExporterBase, IInvCkdRequestContentByPxPExcelExporter
    {
        public InvCkdRequestContentByPxPExcelExporter(ITempFileCacheManager tempFileCacheManager) : base(tempFileCacheManager) { }
        public FileDto ExportToFile(List&lt;InvCkdRequestContentByPxPDto&gt; requestcontentbypxp)
        {
            return CreateExcelPackage(
				"InventoryCKDRequestContentByPxP.xlsx",
				excelPackage =&gt;
				 {
					var sheet = excelPackage.CreateSheet("RequestContentByPxP");
					AddHeader(
								sheet,
								("Model"),
								("Source"),
								("CkdReqId"),
								("PartNo"),
								("PartName"),
								("Balance"),
								("ReqQuantity"),
								("MinstockAtTmv"),
								("StockendofReqDate"),
								("UpPlanDate"),
								("UpPlanTime"),
								("UpActualDate"),
								("UpActualTime"),
								("TimeRequest"),
								("Remarks"),
								("IsActive"),
							   );
					AddObjects(
						 sheet, 1, requestcontentbypxp,                                       
								_ =&gt; _.Model,
								_ =&gt; _.Source,
								_ =&gt; _.CkdReqId,
								_ =&gt; _.PartNo,
								_ =&gt; _.PartName,
								_ =&gt; _.Balance,
								_ =&gt; _.ReqQuantity,
								_ =&gt; _.MinstockAtTmv,
								_ =&gt; _.StockendofReqDate,
								_ =&gt; _.UpPlanDate,
								_ =&gt; _.UpPlanTime,
								_ =&gt; _.UpActualDate,
								_ =&gt; _.UpActualTime,
								_ =&gt; _.TimeRequest,
								_ =&gt; _.Remarks,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configuration.CreateMap&lt;InvCkdRequestContentByPxPDto, InvCkdRequestContentByPxP&gt;();
  configuration.CreateMap&lt;InvCkdRequestContentByPxP, InvCkdRequestContentByPxPDto&gt;();
  configuration.CreateMap&lt;CreateOrEditInvCkdRequestContentByPxPDto, InvCkdRequestContentByPxP&gt;();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370</v>
      </c>
      <c r="B9" t="s">
        <v>364</v>
      </c>
      <c r="C9" t="s">
        <v>1</v>
      </c>
      <c r="D9" t="str">
        <f t="shared" ref="D9:D12" si="0">SUBSTITUTE(PROPER(A9),"_","")</f>
        <v>Model</v>
      </c>
      <c r="E9" t="str">
        <f t="shared" ref="E9:E12" si="1">IFERROR(LEFT(B9, FIND("(",B9)-1),B9)</f>
        <v>varchar</v>
      </c>
      <c r="F9" s="6"/>
      <c r="G9" t="str">
        <f t="shared" ref="G9:G12" si="2">IFERROR(MID(B9,FIND("(",B9) +1, FIND(")",B9) - FIND("(",B9) - 1),"")</f>
        <v>50</v>
      </c>
      <c r="H9" t="str">
        <f>+VLOOKUP(E9,'Data Type Mapping'!A:B,2,)</f>
        <v>string</v>
      </c>
      <c r="I9" t="str">
        <f t="shared" ref="I9:I12" si="3">IF(H9="string",REPT(CHAR(9),2)&amp;"public const int Max"&amp;D9&amp;"Length = "&amp;G9&amp;";"&amp;$E$3,"" )</f>
        <v xml:space="preserve">		public const int MaxModelLength = 50;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[StringLength(MaxModelLength)]
		public virtual string Model { get; set; }
</v>
      </c>
      <c r="K9" s="6"/>
      <c r="L9" t="str">
        <f t="shared" ref="L9:L12" si="5">IF(K9="","",REPT(CHAR(9),1)&amp;"[Index(nameof("&amp;IF(D9="","",""&amp;D9)&amp;")"&amp;", Name="&amp;"""IX_"&amp;$B$7&amp;"_"&amp;D9&amp;""")]")</f>
        <v/>
      </c>
      <c r="M9" t="str">
        <f t="shared" ref="M9:M12" si="6">REPT(CHAR(9),2)&amp;"public virtual "&amp;IF(OR(H9="DateTime",H9="TimeSpan"),H9&amp;"?",H9)&amp;IF(C9="?","? "," ")&amp;D9&amp;" { get; set; }" &amp; "
"</f>
        <v xml:space="preserve">		public virtual string Model { get; set; }
</v>
      </c>
      <c r="N9" t="str">
        <f t="shared" ref="N9:N12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[StringLength(InvCkdRequestContentByPxPConsts.MaxModelLength)]
		public virtual string Model { get; set; }
</v>
      </c>
      <c r="O9" t="str">
        <f t="shared" ref="O9:O12" si="8">IF(OR(H9="string",H9="DateTime",H9="int"),REPT(CHAR(9),2)&amp;"public virtual "&amp;IF(OR(H9="DateTime",H9="TimeSpan"),H9&amp;"?",H9)&amp;IF(C9="?","? "," ")&amp;D9&amp;" { get; set; }"&amp;$E$3,"")</f>
        <v xml:space="preserve">		public virtual string Model { get; set; }
</v>
      </c>
      <c r="P9" t="str">
        <f t="shared" ref="P9:P12" si="9">REPT(CHAR(9),7)&amp;D9&amp;" = o." &amp;D9 &amp;","</f>
        <v xml:space="preserve">							Model = o.Model,</v>
      </c>
      <c r="T9" s="64" t="str">
        <f t="shared" ref="T9:T12" si="10">REPT(CHAR(9),8)&amp;"("""&amp;D9&amp;"""),"</f>
        <v xml:space="preserve">								("Model"),</v>
      </c>
      <c r="V9" s="65" t="str">
        <f t="shared" ref="V9:V12" si="11">REPT(CHAR(9),8)&amp;"_ =&gt; _."&amp;D9&amp;","</f>
        <v xml:space="preserve">								_ =&gt; _.Model,</v>
      </c>
      <c r="W9" s="64" t="str">
        <f t="shared" ref="W9:W12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.WhereIf(!string.IsNullOrWhiteSpace(input.Model), e =&gt; e.Model.Contains(input.Model))</v>
      </c>
    </row>
    <row r="10" spans="1:23" customFormat="1" ht="18.75" customHeight="1" x14ac:dyDescent="0.3">
      <c r="A10" t="s">
        <v>371</v>
      </c>
      <c r="B10" t="s">
        <v>364</v>
      </c>
      <c r="C10" t="s">
        <v>1</v>
      </c>
      <c r="D10" t="str">
        <f t="shared" si="0"/>
        <v>Source</v>
      </c>
      <c r="E10" t="str">
        <f t="shared" si="1"/>
        <v>varchar</v>
      </c>
      <c r="F10" s="6"/>
      <c r="G10" t="str">
        <f t="shared" si="2"/>
        <v>50</v>
      </c>
      <c r="H10" t="str">
        <f>+VLOOKUP(E10,'Data Type Mapping'!A:B,2,)</f>
        <v>string</v>
      </c>
      <c r="I10" t="str">
        <f t="shared" si="3"/>
        <v xml:space="preserve">		public const int MaxSourceLength = 50;
</v>
      </c>
      <c r="J10" t="str">
        <f t="shared" si="4"/>
        <v xml:space="preserve">		[StringLength(MaxSourceLength)]
		public virtual string Source { get; set; }
</v>
      </c>
      <c r="K10" s="6"/>
      <c r="L10" t="str">
        <f t="shared" si="5"/>
        <v/>
      </c>
      <c r="M10" t="str">
        <f t="shared" si="6"/>
        <v xml:space="preserve">		public virtual string Source { get; set; }
</v>
      </c>
      <c r="N10" t="str">
        <f t="shared" si="7"/>
        <v xml:space="preserve">		[StringLength(InvCkdRequestContentByPxPConsts.MaxSourceLength)]
		public virtual string Source { get; set; }
</v>
      </c>
      <c r="O10" t="str">
        <f t="shared" si="8"/>
        <v xml:space="preserve">		public virtual string Source { get; set; }
</v>
      </c>
      <c r="P10" t="str">
        <f t="shared" si="9"/>
        <v xml:space="preserve">							Source = o.Source,</v>
      </c>
      <c r="T10" s="64" t="str">
        <f t="shared" si="10"/>
        <v xml:space="preserve">								("Source"),</v>
      </c>
      <c r="V10" s="65" t="str">
        <f t="shared" si="11"/>
        <v xml:space="preserve">								_ =&gt; _.Source,</v>
      </c>
      <c r="W10" s="64" t="str">
        <f t="shared" si="12"/>
        <v xml:space="preserve">				.WhereIf(!string.IsNullOrWhiteSpace(input.Source), e =&gt; e.Source.Contains(input.Source))</v>
      </c>
    </row>
    <row r="11" spans="1:23" customFormat="1" ht="18.75" customHeight="1" x14ac:dyDescent="0.3">
      <c r="A11" t="s">
        <v>358</v>
      </c>
      <c r="B11" t="s">
        <v>0</v>
      </c>
      <c r="C11" t="s">
        <v>1</v>
      </c>
      <c r="D11" t="str">
        <f t="shared" si="0"/>
        <v>CkdReqId</v>
      </c>
      <c r="E11" t="str">
        <f t="shared" si="1"/>
        <v>bigint</v>
      </c>
      <c r="F11" s="6"/>
      <c r="G11" t="str">
        <f t="shared" si="2"/>
        <v/>
      </c>
      <c r="H11" t="str">
        <f>+VLOOKUP(E11,'Data Type Mapping'!A:B,2,)</f>
        <v>long?</v>
      </c>
      <c r="I11" t="str">
        <f t="shared" si="3"/>
        <v/>
      </c>
      <c r="J11" t="str">
        <f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long? CkdReqId { get; set; }
</v>
      </c>
      <c r="K11" s="6"/>
      <c r="L11" t="str">
        <f t="shared" si="5"/>
        <v/>
      </c>
      <c r="M11" t="str">
        <f t="shared" si="6"/>
        <v xml:space="preserve">		public virtual long? CkdReqId { get; set; }
</v>
      </c>
      <c r="N11" t="str">
        <f t="shared" si="7"/>
        <v xml:space="preserve">		public virtual long? CkdReqId { get; set; }
</v>
      </c>
      <c r="O11" t="str">
        <f t="shared" si="8"/>
        <v/>
      </c>
      <c r="P11" t="str">
        <f t="shared" si="9"/>
        <v xml:space="preserve">							CkdReqId = o.CkdReqId,</v>
      </c>
      <c r="T11" s="64" t="str">
        <f t="shared" si="10"/>
        <v xml:space="preserve">								("CkdReqId"),</v>
      </c>
      <c r="V11" s="65" t="str">
        <f t="shared" si="11"/>
        <v xml:space="preserve">								_ =&gt; _.CkdReqId,</v>
      </c>
      <c r="W11" s="64" t="str">
        <f t="shared" si="12"/>
        <v/>
      </c>
    </row>
    <row r="12" spans="1:23" customFormat="1" ht="18.75" customHeight="1" x14ac:dyDescent="0.3">
      <c r="A12" t="s">
        <v>372</v>
      </c>
      <c r="B12" t="s">
        <v>378</v>
      </c>
      <c r="C12" t="s">
        <v>1</v>
      </c>
      <c r="D12" t="str">
        <f t="shared" si="0"/>
        <v>PartNo</v>
      </c>
      <c r="E12" t="str">
        <f t="shared" si="1"/>
        <v>varchar</v>
      </c>
      <c r="F12" s="6" t="s">
        <v>366</v>
      </c>
      <c r="G12" t="str">
        <f t="shared" si="2"/>
        <v>12</v>
      </c>
      <c r="H12" t="str">
        <f>+VLOOKUP(E12,'Data Type Mapping'!A:B,2,)</f>
        <v>string</v>
      </c>
      <c r="I12" t="str">
        <f t="shared" si="3"/>
        <v xml:space="preserve">		public const int MaxPartNoLength = 12;
</v>
      </c>
      <c r="J12" t="str">
        <f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[Column(TypeName="Date")]
		[StringLength(MaxPartNoLength)]
		public virtual string PartNo { get; set; }
</v>
      </c>
      <c r="K12" s="6"/>
      <c r="L12" t="str">
        <f t="shared" si="5"/>
        <v/>
      </c>
      <c r="M12" t="str">
        <f t="shared" si="6"/>
        <v xml:space="preserve">		public virtual string PartNo { get; set; }
</v>
      </c>
      <c r="N12" t="str">
        <f t="shared" si="7"/>
        <v xml:space="preserve">		[StringLength(InvCkdRequestContentByPxPConsts.MaxPartNoLength)]
		public virtual string PartNo { get; set; }
</v>
      </c>
      <c r="O12" t="str">
        <f t="shared" si="8"/>
        <v xml:space="preserve">		public virtual string PartNo { get; set; }
</v>
      </c>
      <c r="P12" t="str">
        <f t="shared" si="9"/>
        <v xml:space="preserve">							PartNo = o.PartNo,</v>
      </c>
      <c r="T12" s="64" t="str">
        <f t="shared" si="10"/>
        <v xml:space="preserve">								("PartNo"),</v>
      </c>
      <c r="V12" s="65" t="str">
        <f t="shared" si="11"/>
        <v xml:space="preserve">								_ =&gt; _.PartNo,</v>
      </c>
      <c r="W12" s="64" t="str">
        <f t="shared" si="12"/>
        <v xml:space="preserve">				.WhereIf(!string.IsNullOrWhiteSpace(input.PartNo), e =&gt; e.PartNo.Contains(input.PartNo))</v>
      </c>
    </row>
    <row r="13" spans="1:23" customFormat="1" ht="18.75" customHeight="1" x14ac:dyDescent="0.3">
      <c r="A13" t="s">
        <v>373</v>
      </c>
      <c r="B13" t="s">
        <v>379</v>
      </c>
      <c r="C13" t="s">
        <v>1</v>
      </c>
      <c r="D13" t="str">
        <f t="shared" ref="D13:D14" si="13">SUBSTITUTE(PROPER(A13),"_","")</f>
        <v>PartName</v>
      </c>
      <c r="E13" t="str">
        <f t="shared" ref="E13:E14" si="14">IFERROR(LEFT(B13, FIND("(",B13)-1),B13)</f>
        <v>varchar</v>
      </c>
      <c r="F13" s="6"/>
      <c r="G13" t="str">
        <f t="shared" ref="G13:G14" si="15">IFERROR(MID(B13,FIND("(",B13) +1, FIND(")",B13) - FIND("(",B13) - 1),"")</f>
        <v>300</v>
      </c>
      <c r="H13" t="str">
        <f>+VLOOKUP(E13,'Data Type Mapping'!A:B,2,)</f>
        <v>string</v>
      </c>
      <c r="I13" t="str">
        <f t="shared" ref="I13:I14" si="16">IF(H13="string",REPT(CHAR(9),2)&amp;"public const int Max"&amp;D13&amp;"Length = "&amp;G13&amp;";"&amp;$E$3,"" )</f>
        <v xml:space="preserve">		public const int MaxPartNameLength = 300;
</v>
      </c>
      <c r="J13" t="str">
        <f t="shared" ref="J13:J14" si="17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[StringLength(MaxPartNameLength)]
		public virtual string PartName { get; set; }
</v>
      </c>
      <c r="K13" s="6"/>
      <c r="L13" t="str">
        <f t="shared" ref="L13:L14" si="18">IF(K13="","",REPT(CHAR(9),1)&amp;"[Index(nameof("&amp;IF(D13="","",""&amp;D13)&amp;")"&amp;", Name="&amp;"""IX_"&amp;$B$7&amp;"_"&amp;D13&amp;""")]")</f>
        <v/>
      </c>
      <c r="M13" t="str">
        <f t="shared" ref="M13:M14" si="19">REPT(CHAR(9),2)&amp;"public virtual "&amp;IF(OR(H13="DateTime",H13="TimeSpan"),H13&amp;"?",H13)&amp;IF(C13="?","? "," ")&amp;D13&amp;" { get; set; }" &amp; "
"</f>
        <v xml:space="preserve">		public virtual string PartName { get; set; }
</v>
      </c>
      <c r="N13" t="str">
        <f t="shared" ref="N13:N14" si="20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[StringLength(InvCkdRequestContentByPxPConsts.MaxPartNameLength)]
		public virtual string PartName { get; set; }
</v>
      </c>
      <c r="O13" t="str">
        <f t="shared" ref="O13:O14" si="21">IF(OR(H13="string",H13="DateTime",H13="int"),REPT(CHAR(9),2)&amp;"public virtual "&amp;IF(OR(H13="DateTime",H13="TimeSpan"),H13&amp;"?",H13)&amp;IF(C13="?","? "," ")&amp;D13&amp;" { get; set; }"&amp;$E$3,"")</f>
        <v xml:space="preserve">		public virtual string PartName { get; set; }
</v>
      </c>
      <c r="P13" t="str">
        <f t="shared" ref="P13:P14" si="22">REPT(CHAR(9),7)&amp;D13&amp;" = o." &amp;D13 &amp;","</f>
        <v xml:space="preserve">							PartName = o.PartName,</v>
      </c>
      <c r="T13" s="64" t="str">
        <f t="shared" ref="T13:T14" si="23">REPT(CHAR(9),8)&amp;"("""&amp;D13&amp;"""),"</f>
        <v xml:space="preserve">								("PartName"),</v>
      </c>
      <c r="V13" s="65" t="str">
        <f t="shared" ref="V13:V14" si="24">REPT(CHAR(9),8)&amp;"_ =&gt; _."&amp;D13&amp;","</f>
        <v xml:space="preserve">								_ =&gt; _.PartName,</v>
      </c>
      <c r="W13" s="64" t="str">
        <f t="shared" ref="W13:W14" si="25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.WhereIf(!string.IsNullOrWhiteSpace(input.PartName), e =&gt; e.PartName.Contains(input.PartName))</v>
      </c>
    </row>
    <row r="14" spans="1:23" customFormat="1" ht="18.75" customHeight="1" x14ac:dyDescent="0.3">
      <c r="A14" t="s">
        <v>374</v>
      </c>
      <c r="B14" t="s">
        <v>4</v>
      </c>
      <c r="C14" t="s">
        <v>1</v>
      </c>
      <c r="D14" t="str">
        <f t="shared" si="13"/>
        <v>Balance</v>
      </c>
      <c r="E14" t="str">
        <f t="shared" si="14"/>
        <v>int</v>
      </c>
      <c r="F14" s="6"/>
      <c r="G14" t="str">
        <f t="shared" si="15"/>
        <v/>
      </c>
      <c r="H14" t="str">
        <f>+VLOOKUP(E14,'Data Type Mapping'!A:B,2,)</f>
        <v>int?</v>
      </c>
      <c r="I14" t="str">
        <f t="shared" si="16"/>
        <v/>
      </c>
      <c r="J14" t="str">
        <f t="shared" si="17"/>
        <v xml:space="preserve">		public virtual int? Balance { get; set; }
</v>
      </c>
      <c r="K14" s="6"/>
      <c r="L14" t="str">
        <f t="shared" si="18"/>
        <v/>
      </c>
      <c r="M14" t="str">
        <f t="shared" si="19"/>
        <v xml:space="preserve">		public virtual int? Balance { get; set; }
</v>
      </c>
      <c r="N14" t="str">
        <f t="shared" si="20"/>
        <v xml:space="preserve">		public virtual int? Balance { get; set; }
</v>
      </c>
      <c r="O14" t="str">
        <f t="shared" si="21"/>
        <v/>
      </c>
      <c r="P14" t="str">
        <f t="shared" si="22"/>
        <v xml:space="preserve">							Balance = o.Balance,</v>
      </c>
      <c r="T14" s="64" t="str">
        <f t="shared" si="23"/>
        <v xml:space="preserve">								("Balance"),</v>
      </c>
      <c r="V14" s="65" t="str">
        <f t="shared" si="24"/>
        <v xml:space="preserve">								_ =&gt; _.Balance,</v>
      </c>
      <c r="W14" s="64" t="str">
        <f t="shared" si="25"/>
        <v/>
      </c>
    </row>
    <row r="15" spans="1:23" customFormat="1" ht="18.75" customHeight="1" x14ac:dyDescent="0.3">
      <c r="A15" t="s">
        <v>375</v>
      </c>
      <c r="B15" t="s">
        <v>4</v>
      </c>
      <c r="C15" t="s">
        <v>1</v>
      </c>
      <c r="D15" t="str">
        <f t="shared" ref="D15:D19" si="26">SUBSTITUTE(PROPER(A15),"_","")</f>
        <v>ReqQuantity</v>
      </c>
      <c r="E15" t="str">
        <f t="shared" ref="E15:E19" si="27">IFERROR(LEFT(B15, FIND("(",B15)-1),B15)</f>
        <v>int</v>
      </c>
      <c r="F15" s="6"/>
      <c r="G15" t="str">
        <f t="shared" ref="G15:G19" si="28">IFERROR(MID(B15,FIND("(",B15) +1, FIND(")",B15) - FIND("(",B15) - 1),"")</f>
        <v/>
      </c>
      <c r="H15" t="str">
        <f>+VLOOKUP(E15,'Data Type Mapping'!A:B,2,)</f>
        <v>int?</v>
      </c>
      <c r="I15" t="str">
        <f t="shared" ref="I15:I19" si="29"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int? ReqQuantity { get; set; }
</v>
      </c>
      <c r="K15" s="6"/>
      <c r="L15" t="str">
        <f t="shared" ref="L15:L19" si="30">IF(K15="","",REPT(CHAR(9),1)&amp;"[Index(nameof("&amp;IF(D15="","",""&amp;D15)&amp;")"&amp;", Name="&amp;"""IX_"&amp;$B$7&amp;"_"&amp;D15&amp;""")]")</f>
        <v/>
      </c>
      <c r="M15" t="str">
        <f t="shared" ref="M15:M19" si="31">REPT(CHAR(9),2)&amp;"public virtual "&amp;IF(OR(H15="DateTime",H15="TimeSpan"),H15&amp;"?",H15)&amp;IF(C15="?","? "," ")&amp;D15&amp;" { get; set; }" &amp; "
"</f>
        <v xml:space="preserve">		public virtual int? ReqQuantity { get; set; }
</v>
      </c>
      <c r="N15" t="str">
        <f t="shared" ref="N15:N19" si="32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int? ReqQuantity { get; set; }
</v>
      </c>
      <c r="O15" t="str">
        <f t="shared" ref="O15:O19" si="33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19" si="34">REPT(CHAR(9),7)&amp;D15&amp;" = o." &amp;D15 &amp;","</f>
        <v xml:space="preserve">							ReqQuantity = o.ReqQuantity,</v>
      </c>
      <c r="T15" s="64" t="str">
        <f t="shared" ref="T15:T19" si="35">REPT(CHAR(9),8)&amp;"("""&amp;D15&amp;"""),"</f>
        <v xml:space="preserve">								("ReqQuantity"),</v>
      </c>
      <c r="V15" s="65" t="str">
        <f t="shared" ref="V15:V19" si="36">REPT(CHAR(9),8)&amp;"_ =&gt; _."&amp;D15&amp;","</f>
        <v xml:space="preserve">								_ =&gt; _.ReqQuantity,</v>
      </c>
      <c r="W15" s="64" t="str">
        <f t="shared" ref="W15:W19" si="37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3">
      <c r="A16" t="s">
        <v>376</v>
      </c>
      <c r="B16" t="s">
        <v>4</v>
      </c>
      <c r="C16" t="s">
        <v>1</v>
      </c>
      <c r="D16" t="str">
        <f t="shared" ref="D16:D17" si="38">SUBSTITUTE(PROPER(A16),"_","")</f>
        <v>MinstockAtTmv</v>
      </c>
      <c r="E16" t="str">
        <f t="shared" ref="E16:E17" si="39">IFERROR(LEFT(B16, FIND("(",B16)-1),B16)</f>
        <v>int</v>
      </c>
      <c r="F16" s="6" t="s">
        <v>366</v>
      </c>
      <c r="G16" t="str">
        <f t="shared" ref="G16:G17" si="40">IFERROR(MID(B16,FIND("(",B16) +1, FIND(")",B16) - FIND("(",B16) - 1),"")</f>
        <v/>
      </c>
      <c r="H16" t="str">
        <f>+VLOOKUP(E16,'Data Type Mapping'!A:B,2,)</f>
        <v>int?</v>
      </c>
      <c r="I16" t="str">
        <f t="shared" ref="I16:I17" si="41"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[Column(TypeName="Date")]
		public virtual int? MinstockAtTmv { get; set; }
</v>
      </c>
      <c r="K16" s="6"/>
      <c r="L16" t="str">
        <f t="shared" ref="L16:L17" si="42">IF(K16="","",REPT(CHAR(9),1)&amp;"[Index(nameof("&amp;IF(D16="","",""&amp;D16)&amp;")"&amp;", Name="&amp;"""IX_"&amp;$B$7&amp;"_"&amp;D16&amp;""")]")</f>
        <v/>
      </c>
      <c r="M16" t="str">
        <f t="shared" ref="M16:M17" si="43">REPT(CHAR(9),2)&amp;"public virtual "&amp;IF(OR(H16="DateTime",H16="TimeSpan"),H16&amp;"?",H16)&amp;IF(C16="?","? "," ")&amp;D16&amp;" { get; set; }" &amp; "
"</f>
        <v xml:space="preserve">		public virtual int? MinstockAtTmv { get; set; }
</v>
      </c>
      <c r="N16" t="str">
        <f t="shared" ref="N16:N17" si="44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MinstockAtTmv { get; set; }
</v>
      </c>
      <c r="O16" t="str">
        <f t="shared" ref="O16:O17" si="45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17" si="46">REPT(CHAR(9),7)&amp;D16&amp;" = o." &amp;D16 &amp;","</f>
        <v xml:space="preserve">							MinstockAtTmv = o.MinstockAtTmv,</v>
      </c>
      <c r="T16" s="64" t="str">
        <f t="shared" ref="T16:T17" si="47">REPT(CHAR(9),8)&amp;"("""&amp;D16&amp;"""),"</f>
        <v xml:space="preserve">								("MinstockAtTmv"),</v>
      </c>
      <c r="V16" s="65" t="str">
        <f t="shared" ref="V16:V17" si="48">REPT(CHAR(9),8)&amp;"_ =&gt; _."&amp;D16&amp;","</f>
        <v xml:space="preserve">								_ =&gt; _.MinstockAtTmv,</v>
      </c>
      <c r="W16" s="64" t="str">
        <f t="shared" ref="W16:W17" si="49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3">
      <c r="A17" t="s">
        <v>377</v>
      </c>
      <c r="B17" t="s">
        <v>4</v>
      </c>
      <c r="C17" t="s">
        <v>1</v>
      </c>
      <c r="D17" t="str">
        <f t="shared" si="38"/>
        <v>StockendofReqDate</v>
      </c>
      <c r="E17" t="str">
        <f t="shared" si="39"/>
        <v>int</v>
      </c>
      <c r="F17" s="6" t="s">
        <v>366</v>
      </c>
      <c r="G17" t="str">
        <f t="shared" si="40"/>
        <v/>
      </c>
      <c r="H17" t="str">
        <f>+VLOOKUP(E17,'Data Type Mapping'!A:B,2,)</f>
        <v>int?</v>
      </c>
      <c r="I17" t="str">
        <f t="shared" si="41"/>
        <v/>
      </c>
      <c r="J17" t="str">
        <f t="shared" ref="J17" si="5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[Column(TypeName="Date")]
		public virtual int? StockendofReqDate { get; set; }
</v>
      </c>
      <c r="K17" s="6"/>
      <c r="L17" t="str">
        <f t="shared" si="42"/>
        <v/>
      </c>
      <c r="M17" t="str">
        <f t="shared" si="43"/>
        <v xml:space="preserve">		public virtual int? StockendofReqDate { get; set; }
</v>
      </c>
      <c r="N17" t="str">
        <f t="shared" si="44"/>
        <v xml:space="preserve">		public virtual int? StockendofReqDate { get; set; }
</v>
      </c>
      <c r="O17" t="str">
        <f t="shared" si="45"/>
        <v/>
      </c>
      <c r="P17" t="str">
        <f t="shared" si="46"/>
        <v xml:space="preserve">							StockendofReqDate = o.StockendofReqDate,</v>
      </c>
      <c r="T17" s="64" t="str">
        <f t="shared" si="47"/>
        <v xml:space="preserve">								("StockendofReqDate"),</v>
      </c>
      <c r="V17" s="65" t="str">
        <f t="shared" si="48"/>
        <v xml:space="preserve">								_ =&gt; _.StockendofReqDate,</v>
      </c>
      <c r="W17" s="64" t="str">
        <f t="shared" si="49"/>
        <v/>
      </c>
    </row>
    <row r="18" spans="1:23" customFormat="1" ht="18.75" customHeight="1" x14ac:dyDescent="0.3">
      <c r="A18" t="s">
        <v>359</v>
      </c>
      <c r="B18" t="s">
        <v>365</v>
      </c>
      <c r="C18" t="s">
        <v>1</v>
      </c>
      <c r="D18" t="str">
        <f t="shared" si="26"/>
        <v>UpPlanDate</v>
      </c>
      <c r="E18" t="str">
        <f t="shared" si="27"/>
        <v>DateTime</v>
      </c>
      <c r="F18" s="6" t="s">
        <v>366</v>
      </c>
      <c r="G18" t="str">
        <f t="shared" si="28"/>
        <v/>
      </c>
      <c r="H18" t="str">
        <f>+VLOOKUP(E18,'Data Type Mapping'!A:B,2,)</f>
        <v>DateTime?</v>
      </c>
      <c r="I18" t="str">
        <f t="shared" si="29"/>
        <v/>
      </c>
      <c r="J18" t="str">
        <f t="shared" ref="J18:J19" si="51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[Column(TypeName="Date")]
		public virtual DateTime? UpPlanDate { get; set; }
</v>
      </c>
      <c r="K18" s="6"/>
      <c r="L18" t="str">
        <f t="shared" si="30"/>
        <v/>
      </c>
      <c r="M18" t="str">
        <f t="shared" si="31"/>
        <v xml:space="preserve">		public virtual DateTime? UpPlanDate { get; set; }
</v>
      </c>
      <c r="N18" t="str">
        <f t="shared" si="32"/>
        <v xml:space="preserve">		public virtual DateTime? UpPlanDate { get; set; }
</v>
      </c>
      <c r="O18" t="str">
        <f t="shared" si="33"/>
        <v/>
      </c>
      <c r="P18" t="str">
        <f t="shared" si="34"/>
        <v xml:space="preserve">							UpPlanDate = o.UpPlanDate,</v>
      </c>
      <c r="T18" s="64" t="str">
        <f t="shared" si="35"/>
        <v xml:space="preserve">								("UpPlanDate"),</v>
      </c>
      <c r="V18" s="65" t="str">
        <f t="shared" si="36"/>
        <v xml:space="preserve">								_ =&gt; _.UpPlanDate,</v>
      </c>
      <c r="W18" s="64" t="str">
        <f t="shared" si="37"/>
        <v/>
      </c>
    </row>
    <row r="19" spans="1:23" customFormat="1" ht="18.75" customHeight="1" x14ac:dyDescent="0.3">
      <c r="A19" t="s">
        <v>360</v>
      </c>
      <c r="B19" t="s">
        <v>4</v>
      </c>
      <c r="C19" t="s">
        <v>1</v>
      </c>
      <c r="D19" t="str">
        <f t="shared" si="26"/>
        <v>UpPlanTime</v>
      </c>
      <c r="E19" t="str">
        <f t="shared" si="27"/>
        <v>int</v>
      </c>
      <c r="F19" s="6"/>
      <c r="G19" t="str">
        <f t="shared" si="28"/>
        <v/>
      </c>
      <c r="H19" t="str">
        <f>+VLOOKUP(E19,'Data Type Mapping'!A:B,2,)</f>
        <v>int?</v>
      </c>
      <c r="I19" t="str">
        <f t="shared" si="29"/>
        <v/>
      </c>
      <c r="J19" t="str">
        <f t="shared" si="51"/>
        <v xml:space="preserve">		public virtual int? UpPlanTime { get; set; }
</v>
      </c>
      <c r="K19" s="6"/>
      <c r="L19" t="str">
        <f t="shared" si="30"/>
        <v/>
      </c>
      <c r="M19" t="str">
        <f t="shared" si="31"/>
        <v xml:space="preserve">		public virtual int? UpPlanTime { get; set; }
</v>
      </c>
      <c r="N19" t="str">
        <f t="shared" si="32"/>
        <v xml:space="preserve">		public virtual int? UpPlanTime { get; set; }
</v>
      </c>
      <c r="O19" t="str">
        <f t="shared" si="33"/>
        <v/>
      </c>
      <c r="P19" t="str">
        <f t="shared" si="34"/>
        <v xml:space="preserve">							UpPlanTime = o.UpPlanTime,</v>
      </c>
      <c r="T19" s="64" t="str">
        <f t="shared" si="35"/>
        <v xml:space="preserve">								("UpPlanTime"),</v>
      </c>
      <c r="V19" s="65" t="str">
        <f t="shared" si="36"/>
        <v xml:space="preserve">								_ =&gt; _.UpPlanTime,</v>
      </c>
      <c r="W19" s="64" t="str">
        <f t="shared" si="37"/>
        <v/>
      </c>
    </row>
    <row r="20" spans="1:23" customFormat="1" ht="18.75" customHeight="1" x14ac:dyDescent="0.3">
      <c r="A20" t="s">
        <v>361</v>
      </c>
      <c r="B20" t="s">
        <v>365</v>
      </c>
      <c r="C20" t="s">
        <v>1</v>
      </c>
      <c r="D20" t="str">
        <f t="shared" ref="D20:D22" si="52">SUBSTITUTE(PROPER(A20),"_","")</f>
        <v>UpActualDate</v>
      </c>
      <c r="E20" t="str">
        <f t="shared" ref="E20:E22" si="53">IFERROR(LEFT(B20, FIND("(",B20)-1),B20)</f>
        <v>DateTime</v>
      </c>
      <c r="F20" s="6"/>
      <c r="G20" t="str">
        <f t="shared" ref="G20:G22" si="54">IFERROR(MID(B20,FIND("(",B20) +1, FIND(")",B20) - FIND("(",B20) - 1),"")</f>
        <v/>
      </c>
      <c r="H20" t="str">
        <f>+VLOOKUP(E20,'Data Type Mapping'!A:B,2,)</f>
        <v>DateTime?</v>
      </c>
      <c r="I20" t="str">
        <f t="shared" ref="I20:I22" si="55">IF(H20="string",REPT(CHAR(9),2)&amp;"public const int Max"&amp;D20&amp;"Length = "&amp;G20&amp;";"&amp;$E$3,"" )</f>
        <v/>
      </c>
      <c r="J20" t="str">
        <f t="shared" ref="J20:J22" si="56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DateTime? UpActualDate { get; set; }
</v>
      </c>
      <c r="K20" s="6"/>
      <c r="L20" t="str">
        <f t="shared" ref="L20:L22" si="57">IF(K20="","",REPT(CHAR(9),1)&amp;"[Index(nameof("&amp;IF(D20="","",""&amp;D20)&amp;")"&amp;", Name="&amp;"""IX_"&amp;$B$7&amp;"_"&amp;D20&amp;""")]")</f>
        <v/>
      </c>
      <c r="M20" t="str">
        <f t="shared" ref="M20:M22" si="58">REPT(CHAR(9),2)&amp;"public virtual "&amp;IF(OR(H20="DateTime",H20="TimeSpan"),H20&amp;"?",H20)&amp;IF(C20="?","? "," ")&amp;D20&amp;" { get; set; }" &amp; "
"</f>
        <v xml:space="preserve">		public virtual DateTime? UpActualDate { get; set; }
</v>
      </c>
      <c r="N20" t="str">
        <f t="shared" ref="N20:N22" si="59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UpActualDate { get; set; }
</v>
      </c>
      <c r="O20" t="str">
        <f t="shared" ref="O20:O22" si="60">IF(OR(H20="string",H20="DateTime",H20="int"),REPT(CHAR(9),2)&amp;"public virtual "&amp;IF(OR(H20="DateTime",H20="TimeSpan"),H20&amp;"?",H20)&amp;IF(C20="?","? "," ")&amp;D20&amp;" { get; set; }"&amp;$E$3,"")</f>
        <v/>
      </c>
      <c r="P20" t="str">
        <f t="shared" ref="P20:P22" si="61">REPT(CHAR(9),7)&amp;D20&amp;" = o." &amp;D20 &amp;","</f>
        <v xml:space="preserve">							UpActualDate = o.UpActualDate,</v>
      </c>
      <c r="T20" s="64" t="str">
        <f t="shared" ref="T20:T22" si="62">REPT(CHAR(9),8)&amp;"("""&amp;D20&amp;"""),"</f>
        <v xml:space="preserve">								("UpActualDate"),</v>
      </c>
      <c r="V20" s="65" t="str">
        <f t="shared" ref="V20:V22" si="63">REPT(CHAR(9),8)&amp;"_ =&gt; _."&amp;D20&amp;","</f>
        <v xml:space="preserve">								_ =&gt; _.UpActualDate,</v>
      </c>
      <c r="W20" s="64" t="str">
        <f t="shared" ref="W20:W22" si="64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3">
      <c r="A21" t="s">
        <v>362</v>
      </c>
      <c r="B21" t="s">
        <v>4</v>
      </c>
      <c r="C21" t="s">
        <v>1</v>
      </c>
      <c r="D21" t="str">
        <f t="shared" si="52"/>
        <v>UpActualTime</v>
      </c>
      <c r="E21" t="str">
        <f t="shared" si="53"/>
        <v>int</v>
      </c>
      <c r="F21" s="6"/>
      <c r="G21" t="str">
        <f t="shared" si="54"/>
        <v/>
      </c>
      <c r="H21" t="str">
        <f>+VLOOKUP(E21,'Data Type Mapping'!A:B,2,)</f>
        <v>int?</v>
      </c>
      <c r="I21" t="str">
        <f t="shared" si="55"/>
        <v/>
      </c>
      <c r="J21" t="str">
        <f t="shared" si="56"/>
        <v xml:space="preserve">		public virtual int? UpActualTime { get; set; }
</v>
      </c>
      <c r="K21" s="6"/>
      <c r="L21" t="str">
        <f t="shared" si="57"/>
        <v/>
      </c>
      <c r="M21" t="str">
        <f t="shared" si="58"/>
        <v xml:space="preserve">		public virtual int? UpActualTime { get; set; }
</v>
      </c>
      <c r="N21" t="str">
        <f t="shared" si="59"/>
        <v xml:space="preserve">		public virtual int? UpActualTime { get; set; }
</v>
      </c>
      <c r="O21" t="str">
        <f t="shared" si="60"/>
        <v/>
      </c>
      <c r="P21" t="str">
        <f t="shared" si="61"/>
        <v xml:space="preserve">							UpActualTime = o.UpActualTime,</v>
      </c>
      <c r="T21" s="64" t="str">
        <f t="shared" si="62"/>
        <v xml:space="preserve">								("UpActualTime"),</v>
      </c>
      <c r="V21" s="65" t="str">
        <f t="shared" si="63"/>
        <v xml:space="preserve">								_ =&gt; _.UpActualTime,</v>
      </c>
      <c r="W21" s="64" t="str">
        <f t="shared" si="64"/>
        <v/>
      </c>
    </row>
    <row r="22" spans="1:23" customFormat="1" ht="18.75" customHeight="1" x14ac:dyDescent="0.3">
      <c r="A22" t="s">
        <v>363</v>
      </c>
      <c r="B22" t="s">
        <v>4</v>
      </c>
      <c r="C22" t="s">
        <v>1</v>
      </c>
      <c r="D22" t="str">
        <f t="shared" si="52"/>
        <v>TimeRequest</v>
      </c>
      <c r="E22" t="str">
        <f t="shared" si="53"/>
        <v>int</v>
      </c>
      <c r="F22" s="6"/>
      <c r="G22" t="str">
        <f t="shared" si="54"/>
        <v/>
      </c>
      <c r="H22" t="str">
        <f>+VLOOKUP(E22,'Data Type Mapping'!A:B,2,)</f>
        <v>int?</v>
      </c>
      <c r="I22" t="str">
        <f t="shared" si="55"/>
        <v/>
      </c>
      <c r="J22" t="str">
        <f t="shared" si="56"/>
        <v xml:space="preserve">		public virtual int? TimeRequest { get; set; }
</v>
      </c>
      <c r="K22" s="6"/>
      <c r="L22" t="str">
        <f t="shared" si="57"/>
        <v/>
      </c>
      <c r="M22" t="str">
        <f t="shared" si="58"/>
        <v xml:space="preserve">		public virtual int? TimeRequest { get; set; }
</v>
      </c>
      <c r="N22" t="str">
        <f t="shared" si="59"/>
        <v xml:space="preserve">		public virtual int? TimeRequest { get; set; }
</v>
      </c>
      <c r="O22" t="str">
        <f t="shared" si="60"/>
        <v/>
      </c>
      <c r="P22" t="str">
        <f t="shared" si="61"/>
        <v xml:space="preserve">							TimeRequest = o.TimeRequest,</v>
      </c>
      <c r="T22" s="64" t="str">
        <f t="shared" si="62"/>
        <v xml:space="preserve">								("TimeRequest"),</v>
      </c>
      <c r="V22" s="65" t="str">
        <f t="shared" si="63"/>
        <v xml:space="preserve">								_ =&gt; _.TimeRequest,</v>
      </c>
      <c r="W22" s="64" t="str">
        <f t="shared" si="64"/>
        <v/>
      </c>
    </row>
    <row r="23" spans="1:23" customFormat="1" ht="18.75" customHeight="1" x14ac:dyDescent="0.3">
      <c r="A23" t="s">
        <v>351</v>
      </c>
      <c r="B23" t="s">
        <v>380</v>
      </c>
      <c r="C23" t="s">
        <v>1</v>
      </c>
      <c r="D23" t="str">
        <f t="shared" ref="D23" si="65">SUBSTITUTE(PROPER(A23),"_","")</f>
        <v>Remarks</v>
      </c>
      <c r="E23" t="str">
        <f t="shared" ref="E23" si="66">IFERROR(LEFT(B23, FIND("(",B23)-1),B23)</f>
        <v>varchar</v>
      </c>
      <c r="F23" s="6"/>
      <c r="G23" t="str">
        <f t="shared" ref="G23" si="67">IFERROR(MID(B23,FIND("(",B23) +1, FIND(")",B23) - FIND("(",B23) - 1),"")</f>
        <v>1000</v>
      </c>
      <c r="H23" t="str">
        <f>+VLOOKUP(E23,'Data Type Mapping'!A:B,2,)</f>
        <v>string</v>
      </c>
      <c r="I23" t="str">
        <f t="shared" ref="I23" si="68">IF(H23="string",REPT(CHAR(9),2)&amp;"public const int Max"&amp;D23&amp;"Length = "&amp;G23&amp;";"&amp;$E$3,"" )</f>
        <v xml:space="preserve">		public const int MaxRemarksLength = 1000;
</v>
      </c>
      <c r="J23" t="str">
        <f t="shared" ref="J23" si="69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[StringLength(MaxRemarksLength)]
		public virtual string Remarks { get; set; }
</v>
      </c>
      <c r="K23" s="6"/>
      <c r="L23" t="str">
        <f t="shared" ref="L23" si="70">IF(K23="","",REPT(CHAR(9),1)&amp;"[Index(nameof("&amp;IF(D23="","",""&amp;D23)&amp;")"&amp;", Name="&amp;"""IX_"&amp;$B$7&amp;"_"&amp;D23&amp;""")]")</f>
        <v/>
      </c>
      <c r="M23" t="str">
        <f t="shared" ref="M23" si="71">REPT(CHAR(9),2)&amp;"public virtual "&amp;IF(OR(H23="DateTime",H23="TimeSpan"),H23&amp;"?",H23)&amp;IF(C23="?","? "," ")&amp;D23&amp;" { get; set; }" &amp; "
"</f>
        <v xml:space="preserve">		public virtual string Remarks { get; set; }
</v>
      </c>
      <c r="N23" t="str">
        <f t="shared" ref="N23" si="72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[StringLength(InvCkdRequestContentByPxPConsts.MaxRemarksLength)]
		public virtual string Remarks { get; set; }
</v>
      </c>
      <c r="O23" t="str">
        <f t="shared" ref="O23" si="73">IF(OR(H23="string",H23="DateTime",H23="int"),REPT(CHAR(9),2)&amp;"public virtual "&amp;IF(OR(H23="DateTime",H23="TimeSpan"),H23&amp;"?",H23)&amp;IF(C23="?","? "," ")&amp;D23&amp;" { get; set; }"&amp;$E$3,"")</f>
        <v xml:space="preserve">		public virtual string Remarks { get; set; }
</v>
      </c>
      <c r="P23" t="str">
        <f t="shared" ref="P23" si="74">REPT(CHAR(9),7)&amp;D23&amp;" = o." &amp;D23 &amp;","</f>
        <v xml:space="preserve">							Remarks = o.Remarks,</v>
      </c>
      <c r="T23" s="64" t="str">
        <f t="shared" ref="T23" si="75">REPT(CHAR(9),8)&amp;"("""&amp;D23&amp;"""),"</f>
        <v xml:space="preserve">								("Remarks"),</v>
      </c>
      <c r="V23" s="65" t="str">
        <f t="shared" ref="V23" si="76">REPT(CHAR(9),8)&amp;"_ =&gt; _."&amp;D23&amp;","</f>
        <v xml:space="preserve">								_ =&gt; _.Remarks,</v>
      </c>
      <c r="W23" s="64" t="str">
        <f t="shared" ref="W23" si="77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.WhereIf(!string.IsNullOrWhiteSpace(input.Remarks), e =&gt; e.Remarks.Contains(input.Remarks))</v>
      </c>
    </row>
    <row r="24" spans="1:23" customFormat="1" ht="22.5" customHeight="1" x14ac:dyDescent="0.3">
      <c r="A24" t="s">
        <v>319</v>
      </c>
      <c r="B24" t="s">
        <v>320</v>
      </c>
      <c r="C24" t="s">
        <v>1</v>
      </c>
      <c r="D24" t="str">
        <f>SUBSTITUTE(PROPER(A24),"_","")</f>
        <v>IsActive</v>
      </c>
      <c r="E24" t="str">
        <f t="shared" ref="E24" si="78">IFERROR(LEFT(B24, FIND("(",B24)-1),B24)</f>
        <v>varchar</v>
      </c>
      <c r="F24" s="6"/>
      <c r="G24" t="str">
        <f t="shared" ref="G24" si="79">IFERROR(MID(B24,FIND("(",B24) +1, FIND(")",B24) - FIND("(",B24) - 1),"")</f>
        <v>1</v>
      </c>
      <c r="H24" t="str">
        <f>+VLOOKUP(E24,'Data Type Mapping'!A:B,2,)</f>
        <v>string</v>
      </c>
      <c r="I24" t="str">
        <f t="shared" ref="I24" si="80">IF(H24="string",REPT(CHAR(9),2)&amp;"public const int Max"&amp;D24&amp;"Length = "&amp;G24&amp;";"&amp;$E$3,"" )</f>
        <v xml:space="preserve">		public const int MaxIsActiveLength = 1;
</v>
      </c>
      <c r="J24" t="str">
        <f t="shared" ref="J24" si="81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[StringLength(MaxIsActiveLength)]
		public virtual string IsActive { get; set; }
</v>
      </c>
      <c r="K24" s="6"/>
      <c r="L24" t="str">
        <f>IF(K24="","",REPT(CHAR(9),1)&amp;"[Index(nameof("&amp;IF(D24="","",""&amp;D24)&amp;")"&amp;", Name="&amp;"""IX_"&amp;$B$7&amp;"_"&amp;D24&amp;""")]")</f>
        <v/>
      </c>
      <c r="M24" t="str">
        <f t="shared" ref="M24" si="82">REPT(CHAR(9),2)&amp;"public virtual "&amp;IF(OR(H24="DateTime",H24="TimeSpan"),H24&amp;"?",H24)&amp;IF(C24="?","? "," ")&amp;D24&amp;" { get; set; }" &amp; "
"</f>
        <v xml:space="preserve">		public virtual string IsActive { get; set; }
</v>
      </c>
      <c r="N24" t="str">
        <f t="shared" ref="N24" si="83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[StringLength(InvCkdRequestContentByPxPConsts.MaxIsActiveLength)]
		public virtual string IsActive { get; set; }
</v>
      </c>
      <c r="O24" t="str">
        <f t="shared" ref="O24" si="84">IF(OR(H24="string",H24="DateTime",H24="int"),REPT(CHAR(9),2)&amp;"public virtual "&amp;IF(OR(H24="DateTime",H24="TimeSpan"),H24&amp;"?",H24)&amp;IF(C24="?","? "," ")&amp;D24&amp;" { get; set; }"&amp;$E$3,"")</f>
        <v xml:space="preserve">		public virtual string IsActive { get; set; }
</v>
      </c>
      <c r="P24" t="str">
        <f t="shared" ref="P24" si="85">REPT(CHAR(9),7)&amp;D24&amp;" = o." &amp;D24 &amp;","</f>
        <v xml:space="preserve">							IsActive = o.IsActive,</v>
      </c>
      <c r="T24" s="64" t="str">
        <f t="shared" ref="T24" si="86">REPT(CHAR(9),8)&amp;"("""&amp;D24&amp;"""),"</f>
        <v xml:space="preserve">								("IsActive"),</v>
      </c>
      <c r="V24" s="65" t="str">
        <f t="shared" ref="V24" si="87">REPT(CHAR(9),8)&amp;"_ =&gt; _."&amp;D24&amp;","</f>
        <v xml:space="preserve">								_ =&gt; _.IsActive,</v>
      </c>
      <c r="W24" s="64" t="str">
        <f t="shared" ref="W24" si="88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.WhereIf(!string.IsNullOrWhiteSpace(input.IsActive), e =&gt; e.IsActive.Contains(input.IsActive))</v>
      </c>
    </row>
    <row r="26" spans="1:23" ht="45.75" customHeight="1" x14ac:dyDescent="0.3">
      <c r="H26" s="11"/>
      <c r="I26" s="31" t="str">
        <f ca="1">TEXTJOIN2("
", TRUE,INDIRECT( $H$1):INDIRECT( $H$3))</f>
        <v xml:space="preserve">		public const int MaxModelLength = 50;
		public const int MaxSourceLength = 50;
		public const int MaxPartNoLength = 12;
		public const int MaxPartNameLength = 300;
		public const int MaxRemarksLength = 1000;
		public const int MaxIsActiveLength = 1;
</v>
      </c>
      <c r="J26" s="30" t="str">
        <f ca="1">TEXTJOIN2("
", TRUE,INDIRECT( $F$1):INDIRECT( $F$3))</f>
        <v xml:space="preserve">		[StringLength(MaxModelLength)]
		public virtual string Model { get; set; }
		[StringLength(MaxSourceLength)]
		public virtual string Source { get; set; }
		public virtual long? CkdReqId { get; set; }
		[Column(TypeName="Date")]
		[StringLength(MaxPartNoLength)]
		public virtual string PartNo { get; set; }
		[StringLength(MaxPartNameLength)]
		public virtual string PartName { get; set; }
		public virtual int? Balance { get; set; }
		public virtual int? ReqQuantity { get; set; }
		[Column(TypeName="Date")]
		public virtual int? MinstockAtTmv { get; set; }
		[Column(TypeName="Date")]
		public virtual int? StockendofReqDate { get; set; }
		[Column(TypeName="Date")]
		public virtual DateTime? UpPlanDate { get; set; }
		public virtual int? UpPlanTime { get; set; }
		public virtual DateTime? UpActualDate { get; set; }
		public virtual int? UpActualTime { get; set; }
		public virtual int? TimeRequest { get; set; }
		[StringLength(MaxRemarksLength)]
		public virtual string Remarks { get; set; }
		[StringLength(MaxIsActiveLength)]
		public virtual string IsActive { get; set; }
</v>
      </c>
      <c r="K26" s="32" t="str">
        <f ca="1">TEXTJOIN2("
", TRUE,INDIRECT( $J$1):INDIRECT( $J$3))</f>
        <v/>
      </c>
      <c r="L26" s="12" t="s">
        <v>57</v>
      </c>
      <c r="M26" s="33" t="str">
        <f ca="1">TEXTJOIN2("
",TRUE,INDIRECT( $L$1):INDIRECT($L$3))</f>
        <v xml:space="preserve">		public virtual string Model { get; set; }
		public virtual string Source { get; set; }
		public virtual long? CkdReqId { get; set; }
		public virtual string PartNo { get; set; }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public virtual string Remarks { get; set; }
		public virtual string IsActive { get; set; }
</v>
      </c>
      <c r="N26" s="30" t="str">
        <f ca="1">TEXTJOIN2("
",TRUE,INDIRECT( $M$1):INDIRECT($M$3))</f>
        <v xml:space="preserve">		[StringLength(InvCkdRequestContentByPxPConsts.MaxModelLength)]
		public virtual string Model { get; set; }
		[StringLength(InvCkdRequestContentByPxPConsts.MaxSourceLength)]
		public virtual string Source { get; set; }
		public virtual long? CkdReqId { get; set; }
		[StringLength(InvCkdRequestContentByPxPConsts.MaxPartNoLength)]
		public virtual string PartNo { get; set; }
		[StringLength(InvCkdRequestContentByPxPConsts.MaxPartNameLength)]
		public virtual string PartName { get; set; }
		public virtual int? Balance { get; set; }
		public virtual int? ReqQuantity { get; set; }
		public virtual int? MinstockAtTmv { get; set; }
		public virtual int? StockendofReqDate { get; set; }
		public virtual DateTime? UpPlanDate { get; set; }
		public virtual int? UpPlanTime { get; set; }
		public virtual DateTime? UpActualDate { get; set; }
		public virtual int? UpActualTime { get; set; }
		public virtual int? TimeRequest { get; set; }
		[StringLength(InvCkdRequestContentByPxPConsts.MaxRemarksLength)]
		public virtual string Remarks { get; set; }
		[StringLength(InvCkdRequestContentByPxPConsts.MaxIsActiveLength)]
		public virtual string IsActive { get; set; }
</v>
      </c>
      <c r="O26" s="30" t="str">
        <f ca="1">TEXTJOIN2("
",TRUE,INDIRECT( $N$1):INDIRECT($N$3))</f>
        <v xml:space="preserve">		public virtual string Model { get; set; }
		public virtual string Source { get; set; }
		public virtual string PartNo { get; set; }
		public virtual string PartName { get; set; }
		public virtual string Remarks { get; set; }
		public virtual string IsActive { get; set; }
</v>
      </c>
      <c r="P26" s="8" t="str">
        <f ca="1">TEXTJOIN2("
",TRUE,INDIRECT( $O$1):INDIRECT($O$3))</f>
        <v xml:space="preserve">							Model = o.Model,
							Source = o.Source,
							CkdReqId = o.CkdReqId,
							PartNo = o.PartNo,
							PartName = o.PartName,
							Balance = o.Balance,
							ReqQuantity = o.ReqQuantity,
							MinstockAtTmv = o.MinstockAtTmv,
							StockendofReqDate = o.StockendofReqDate,
							UpPlanDate = o.UpPlanDate,
							UpPlanTime = o.UpPlanTime,
							UpActualDate = o.UpActualDate,
							UpActualTime = o.UpActualTime,
							TimeRequest = o.TimeRequest,
							Remarks = o.Remarks,
							IsActive = o.IsActive,</v>
      </c>
      <c r="T26" s="8" t="str">
        <f ca="1">TEXTJOIN2("
",TRUE,INDIRECT( $T$2):INDIRECT($T$3))</f>
        <v xml:space="preserve">								("Model"),
								("Source"),
								("CkdReqId"),
								("PartNo"),
								("PartName"),
								("Balance"),
								("ReqQuantity"),
								("MinstockAtTmv"),
								("StockendofReqDate"),
								("UpPlanDate"),
								("UpPlanTime"),
								("UpActualDate"),
								("UpActualTime"),
								("TimeRequest"),
								("Remarks"),
								("IsActive"),</v>
      </c>
      <c r="V26" s="8" t="str">
        <f ca="1">TEXTJOIN2("
",TRUE,INDIRECT( $V$2):INDIRECT($V$3))</f>
        <v xml:space="preserve">								_ =&gt; _.Model,
								_ =&gt; _.Source,
								_ =&gt; _.CkdReqId,
								_ =&gt; _.PartNo,
								_ =&gt; _.PartName,
								_ =&gt; _.Balance,
								_ =&gt; _.ReqQuantity,
								_ =&gt; _.MinstockAtTmv,
								_ =&gt; _.StockendofReqDate,
								_ =&gt; _.UpPlanDate,
								_ =&gt; _.UpPlanTime,
								_ =&gt; _.UpActualDate,
								_ =&gt; _.UpActualTime,
								_ =&gt; _.TimeRequest,
								_ =&gt; _.Remarks,
								_ =&gt; _.IsActive,</v>
      </c>
      <c r="W26" s="8" t="str">
        <f ca="1">TEXTJOIN2("
",TRUE,INDIRECT( $W$2):INDIRECT($W$3))</f>
        <v xml:space="preserve">				.WhereIf(!string.IsNullOrWhiteSpace(input.Model), e =&gt; e.Model.Contains(input.Model))
				.WhereIf(!string.IsNullOrWhiteSpace(input.Source), e =&gt; e.Source.Contains(input.Source))
				.WhereIf(!string.IsNullOrWhiteSpace(input.PartNo), e =&gt; e.PartNo.Contains(input.PartNo))
				.WhereIf(!string.IsNullOrWhiteSpace(input.PartName), e =&gt; e.PartName.Contains(input.PartName))
				.WhereIf(!string.IsNullOrWhiteSpace(input.Remarks), e =&gt; e.Remarks.Contains(input.Remarks))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workbookViewId="0">
      <selection activeCell="U15" sqref="U15:U30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ht="28.8" x14ac:dyDescent="0.3">
      <c r="A1" s="38" t="s">
        <v>208</v>
      </c>
      <c r="B1" s="39" t="s">
        <v>369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InvCkdRequestContentByPxP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RequestContentByPxP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requestcontentbypxp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InvCkdRequestContentByPxPDto, InvCkdRequestContentByPxPServiceProxy } from '@shared/service-proxies/service-proxies';
import { finalize } from 'rxjs/internal/operators/finalize';
import { CreateOrEditRequestContentByPxPModalComponent } from './create-or-edit-requestcontentbypxp-modal.component';
import { DatePipe } from '@angular/common';
import { FileDownloadService } from '@shared/utils/file-download.service';
import ceil from 'lodash-es/ceil';
import { Paginator } from 'primeng/paginator';
@Component({
    templateUrl: './requestcontentbypxp.component.html',
    styleUrls: ['./requestcontentbypxp.component.less'],
})
export class RequestContentByPxPComponent extends AppComponentBase implements OnInit {
    @ViewChild('createOrEditModalRequestContentByPxP', { static: true }) createOrEditModalRequestContentByPxP:| CreateOrEditRequestContentByPxPModalComponent|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InvCkdRequestContentByPxPDto = new InvCkdRequestContentByPxPDto();
    saveSelectedRow: InvCkdRequestContentByPxPDto = new InvCkdRequestContentByPxPDto();
    datas: InvCkdRequestContentByPxPDto = new InvCkdRequestContentByPxPDto();
    isLoading: boolean = false;
    dataParams: GridParams | undefined;
    rowData: any[] = [];
    gridApi!: GridApi;
    rowSelection = 'multiple';
    filter: string = '';
	pipe = new DatePipe('en-US');
	frameworkComponents: FrameworkComponent;
    	model : string = '' ; 
	source : string = '' ; 
	ckdReqId
	partNo : string = '' ; 
	partName : string = '' ; 
	balance
	reqQuantity
	minstockAtTmv
	stockendofReqDate
	upPlanDate
	upPlanTime
	upActualDate
	upActualTime
	timeRequest
	remarks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InvCkdRequestContentByPxPServiceProxy,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'model',flex: 1},
			{headerName: this.l('Source'),headerTooltip: this.l('Source'),field: 'source',flex: 1},
			{headerName: this.l('Ckd Req Id'),headerTooltip: this.l('Ckd Req Id'),field: 'ckdReqId',flex: 1},
			{headerName: this.l('Part No'),headerTooltip: this.l('Part No'),field: 'partNo',flex: 1},
			{headerName: this.l('Part Name'),headerTooltip: this.l('Part Name'),field: 'partName',flex: 1},
			{headerName: this.l('Balance'),headerTooltip: this.l('Balance'),field: 'balance',flex: 1},
			{headerName: this.l('Req Quantity'),headerTooltip: this.l('Req Quantity'),field: 'reqQuantity',flex: 1},
			{headerName: this.l('Minstock At Tmv'),headerTooltip: this.l('Minstock At Tmv'),field: 'minstockAtTmv',flex: 1},
			{headerName: this.l('Stockendof Req Date'),headerTooltip: this.l('Stockendof Req Date'),field: 'stockendofReqDate',flex: 1},
			{headerName: this.l('Up Plan Date'),headerTooltip: this.l('Up Plan Date'),field: 'upPlanDate',flex: 1},
			{headerName: this.l('Up Plan Time'),headerTooltip: this.l('Up Plan Time'),field: 'upPlanTime',flex: 1},
			{headerName: this.l('Up Actual Date'),headerTooltip: this.l('Up Actual Date'),field: 'upActualDate',flex: 1},
			{headerName: this.l('Up Actual Time'),headerTooltip: this.l('Up Actual Time'),field: 'upActualTime',flex: 1},
			{headerName: this.l('Time Request'),headerTooltip: this.l('Time Request'),field: 'timeRequest',flex: 1},
			{headerName: this.l('Remarks'),headerTooltip: this.l('Remarks'),field: 'remarks',flex: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this.source,
			this.ckdReqId,
			this.partNo,
			this.partName,
			this.balance,
			this.reqQuantity,
			this.minstockAtTmv,
			this.stockendofReqDate,
			this.upPlanDate,
			this.upPlanTime,
			this.upActualDate,
			this.upActualTime,
			this.timeRequest,
			this.remarks,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 = '',
		this.source = '',
		this.ckdReqId = '',
		this.partNo = '',
		this.partName = '',
		this.balance = '',
		this.reqQuantity = '',
		this.minstockAtTmv = '',
		this.stockendofReqDate = '',
		this.upPlanDate = '',
		this.upPlanTime = '',
		this.upActualDate = '',
		this.upActualTime = '',
		this.timeRequest = '',
		this.remarks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this.source,
			this.ckdReqId,
			this.partNo,
			this.partName,
			this.balance,
			this.reqQuantity,
			this.minstockAtTmv,
			this.stockendofReqDate,
			this.upPlanDate,
			this.upPlanTime,
			this.upActualDate,
			this.upActualTime,
			this.timeRequest,
			this.remarks,
			this.isActive,
			'',
            this.paginationParams.skipCount,
            this.paginationParams.pageSize
        );
    }
    onChangeRowSelection(params: { api: { getSelectedRows: () =&gt; InvCkdRequestContentByPxPDto[] } }) {
        this.saveSelectedRow = params.api.getSelectedRows()[0] ?? new InvCkdRequestContentByPxPDto();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InvCkdRequestContentByPxPDto):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this._service.getRequestContentByPxPToExcel(
			this.model,
			this.source,
			this.ckdReqId,
			this.partNo,
			this.partName,
			this.balance,
			this.reqQuantity,
			this.minstockAtTmv,
			this.stockendofReqDate,
			this.upPlanDate,
			this.upPlanTime,
			this.upActualDate,
			this.upActualTime,
			this.timeRequest,
			this.remarks,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Request Content By PxP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(click)="createOrEditModalRequestContentByPxP.show()"&gt;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(click)="createOrEditModalRequestContentByPxP.show(selectedRow)"&gt;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&lt;create-or-edit-requestcontentbypxp-modal
    #createOrEditModalRequestContentByPxP
    (modalSave)="callBackDataGrid(dataParams)"
    (modalClose)="onChangeRowSelection(dataParams)"
&gt;
&lt;/create-or-edit-requestcontentbypxp-modal&gt;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#createOrEditModalRequestContentByPxP="bs-modal"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RequestContentByPxP')}}&lt;/h3&gt;
                    &lt;h3 *ngIf="!rowdata.id"&gt;{{('Create New RequestContentByPxP')}}&lt;/h3&gt;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CreateOrEditInvCkdRequestContentByPxPDto, InvCkdRequestContentByPxPServiceProxy } from '@shared/service-proxies/service-proxies';
import { BsDatepickerDirective } from 'ngx-bootstrap/datepicker';
@Component({
    selector: 'create-or-edit-requestcontentbypxp-modal',
    templateUrl: './create-or-edit-requestcontentbypxp-modal.component.html',
    styleUrls: ['./create-or-edit-requestcontentbypxp-modal.component.less']
    })
export class CreateOrEditRequestContentByPxPModalComponent extends AppComponentBase {
    @ViewChild('createOrEditModalRequestContentByPxP',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CreateOrEditInvCkdRequestContentByPxPDto = new CreateOrEditInvCkdRequestContentByPxPDto();
    active: boolean = false;
    saving: boolean = false;
    _isActive: boolean;
    constructor(
        injector: Injector,
        private _mstwptRequestContentByPxPService: InvCkdRequestContentByPxPServiceProxy,
    ) 
    {
        super(injector);
    }
    show(rowdata?: CreateOrEditInvCkdRequestContentByPxPDto): void {
        if (!rowdata) this.rowdata = new CreateOrEditInvCkdRequestContentByPxPDto();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this._mstwptRequestContentByPxPService.createOrEdit(this.rowdata)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RequestContentByPxPRoutingModule } from './requestcontentbypxp-routing.module';
import { RequestContentByPxPComponent } from './requestcontentbypxp.component';
import { CreateOrEditRequestContentByPxPModalComponent } from './create-or-edit-requestcontentbypxp-modal.component';
@NgModule({
    declarations: [
       RequestContentByPxPComponent, 
        CreateOrEditRequestContentByPxPModalComponent
    ],
    imports: [
        AppSharedModule, RequestContentByPxPRoutingModule]
})
export class RequestContentByPxPModule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RequestContentByPxPComponent } from './requestcontentbypxp.component';
const routes: Routes = [{
    path: '',
    component: RequestContentByPxPComponent,
    pathMatch: 'full'
}];
@NgModule({
    imports: [RouterModule.forChild(routes)],
    exports: [RouterModule],
})
export class RequestContentByPxPRoutingModule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AppMenuItem("RequestContentByPxP", "Pages.Inventory.CKD.RequestContentByPxP", "flaticon-book",   "/app/main/inventory/ckd/requestcontentbypxp"),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'inventory/ckd/requestcontentbypxp',
    loadChildren: () =&gt; import('./inventory/ckd/requestcontentbypxp/requestcontentbypxp.module').then(m =&gt; m.RequestContentByPxPModule),
    data: { permission: 'Pages.Inventory.CKD.RequestContentByPxP' }
},</v>
      </c>
      <c r="R10" s="47" t="str">
        <f>SUBSTITUTE(R9,"MstWptCalendar",$B$6)</f>
        <v>ApiServiceProxies.InvCkdRequestContentByPxPServiceProxy,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H30</v>
      </c>
      <c r="I12" s="28" t="str">
        <f>"I"&amp;COUNTA($A:$A)</f>
        <v>I30</v>
      </c>
      <c r="J12" s="28"/>
      <c r="K12" s="28" t="str">
        <f>"K"&amp;COUNTA($A:$A)</f>
        <v>K30</v>
      </c>
      <c r="L12" s="28" t="str">
        <f>"L"&amp;COUNTA($A:$A)</f>
        <v>L30</v>
      </c>
      <c r="M12" s="28"/>
      <c r="N12" s="28"/>
      <c r="O12" s="28"/>
      <c r="P12" s="28"/>
      <c r="Q12" s="28"/>
      <c r="R12" s="28"/>
      <c r="S12" s="28" t="str">
        <f>"S"&amp;COUNTA($A:$A)</f>
        <v>S30</v>
      </c>
      <c r="T12" s="28" t="str">
        <f>"T"&amp;COUNTA($A:$A)</f>
        <v>T30</v>
      </c>
      <c r="U12" s="28" t="str">
        <f>"U"&amp;COUNTA($A:$A)</f>
        <v>U30</v>
      </c>
      <c r="V12" s="28" t="str">
        <f>"V"&amp;COUNTA($A:$A)</f>
        <v>V30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this.l('Model'),headerTooltip: this.l('Model'),field: 'model',flex: 1},
			{headerName: this.l('Source'),headerTooltip: this.l('Source'),field: 'source',flex: 1},
			{headerName: this.l('Ckd Req Id'),headerTooltip: this.l('Ckd Req Id'),field: 'ckdReqId',flex: 1},
			{headerName: this.l('Part No'),headerTooltip: this.l('Part No'),field: 'partNo',flex: 1},
			{headerName: this.l('Part Name'),headerTooltip: this.l('Part Name'),field: 'partName',flex: 1},
			{headerName: this.l('Balance'),headerTooltip: this.l('Balance'),field: 'balance',flex: 1},
			{headerName: this.l('Req Quantity'),headerTooltip: this.l('Req Quantity'),field: 'reqQuantity',flex: 1},
			{headerName: this.l('Minstock At Tmv'),headerTooltip: this.l('Minstock At Tmv'),field: 'minstockAtTmv',flex: 1},
			{headerName: this.l('Stockendof Req Date'),headerTooltip: this.l('Stockendof Req Date'),field: 'stockendofReqDate',flex: 1},
			{headerName: this.l('Up Plan Date'),headerTooltip: this.l('Up Plan Date'),field: 'upPlanDate',flex: 1},
			{headerName: this.l('Up Plan Time'),headerTooltip: this.l('Up Plan Time'),field: 'upPlanTime',flex: 1},
			{headerName: this.l('Up Actual Date'),headerTooltip: this.l('Up Actual Date'),field: 'upActualDate',flex: 1},
			{headerName: this.l('Up Actual Time'),headerTooltip: this.l('Up Actual Time'),field: 'upActualTime',flex: 1},
			{headerName: this.l('Time Request'),headerTooltip: this.l('Time Request'),field: 'timeRequest',flex: 1},
			{headerName: this.l('Remarks'),headerTooltip: this.l('Remarks'),field: 'remarks',flex: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model : string = '' ; 
	source : string = '' ; 
	ckdReqId
	partNo : string = '' ; 
	partName : string = '' ; 
	balance
	reqQuantity
	minstockAtTmv
	stockendofReqDate
	upPlanDate
	upPlanTime
	upActualDate
	upActualTime
	timeRequest
	remarks : string = '' ; 
	isActive : string = '' ; </v>
      </c>
      <c r="T13" s="63" t="str">
        <f ca="1">TEXTJOIN2("
",TRUE,INDIRECT(T11):INDIRECT(T12))</f>
        <v xml:space="preserve">			this.model,
			this.source,
			this.ckdReqId,
			this.partNo,
			this.partName,
			this.balance,
			this.reqQuantity,
			this.minstockAtTmv,
			this.stockendofReqDate,
			this.upPlanDate,
			this.upPlanTime,
			this.upActualDate,
			this.upActualTime,
			this.timeRequest,
			this.remarks,
			this.isActive,</v>
      </c>
      <c r="U13" s="63" t="str">
        <f ca="1">TEXTJOIN2("
",TRUE,INDIRECT(U11):INDIRECT(U12))</f>
        <v xml:space="preserve">		this.model = '',
		this.source = '',
		this.ckdReqId = '',
		this.partNo = '',
		this.partName = '',
		this.balance = '',
		this.reqQuantity = '',
		this.minstockAtTmv = '',
		this.stockendofReqDate = '',
		this.upPlanDate = '',
		this.upPlanTime = '',
		this.upActualDate = '',
		this.upActualTime = '',
		this.timeRequest = '',
		this.remarks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requestcontentbypxp.component.ts</v>
      </c>
      <c r="I14" s="37" t="str">
        <f>B8&amp;".component.html"</f>
        <v>requestcontentbypxp.component.html</v>
      </c>
      <c r="J14" s="36" t="str">
        <f>B8&amp;".component.less"</f>
        <v>requestcontentbypxp.component.less</v>
      </c>
      <c r="K14" s="37" t="str">
        <f>"create-or-edit-"&amp;B8&amp;"-modal.component.html"</f>
        <v>create-or-edit-requestcontentbypxp-modal.component.html</v>
      </c>
      <c r="L14" s="37" t="str">
        <f>"create-or-edit-"&amp;B8&amp;"-modal.component.ts"</f>
        <v>create-or-edit-requestcontentbypxp-modal.component.ts</v>
      </c>
      <c r="M14" s="37" t="str">
        <f>"create-or-edit-"&amp;B8&amp;"-modal.component.less"</f>
        <v>create-or-edit-requestcontentbypxp-modal.component.less</v>
      </c>
      <c r="N14" s="37" t="str">
        <f>B8&amp;".module.ts"</f>
        <v>requestcontentbypxp.module.ts</v>
      </c>
      <c r="O14" s="37" t="str">
        <f>B8&amp;"-routing.module.ts"</f>
        <v>requestcontentbypxp-routing.module.ts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370</v>
      </c>
      <c r="B15" s="28" t="str">
        <f t="shared" ref="B15:B19" si="0">SUBSTITUTE(PROPER(A15),"_","")</f>
        <v>Model</v>
      </c>
      <c r="C15" s="28" t="str">
        <f t="shared" ref="C15:C19" si="1">SUBSTITUTE(PROPER(A15),"_"," ")</f>
        <v>Model</v>
      </c>
      <c r="D15" s="28" t="str">
        <f t="shared" ref="D15:D19" si="2">LOWER(LEFT(B15,1))&amp;RIGHT(B15,LEN(B15) - 1)</f>
        <v>model</v>
      </c>
      <c r="E15" s="28" t="str">
        <f>A.Backend!H9</f>
        <v>string</v>
      </c>
      <c r="F15" s="28" t="str">
        <f>A.Backend!G9</f>
        <v>50</v>
      </c>
      <c r="G15" s="28" t="str">
        <f t="shared" ref="G15:G30" si="3">IF(E15="string"," : string = '' ; ",IF(OR(E15="DateTime",E15="TimeSpan")," : any ;",IF(E15="int"," : number = 0 ;","")))</f>
        <v xml:space="preserve"> : string = '' ; </v>
      </c>
      <c r="H15" s="35" t="str">
        <f t="shared" ref="H15:H30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this.l('Model'),headerTooltip: this.l('Model'),field: 'model',flex: 1},</v>
      </c>
      <c r="I15" s="35" t="str">
        <f t="shared" ref="I15:I3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5" s="28"/>
      <c r="K15" s="35" t="str">
        <f t="shared" ref="K15:K30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5" s="56" t="str">
        <f t="shared" ref="L15:L30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model : string = '' ; </v>
      </c>
      <c r="T15" s="28" t="str">
        <f>REPT(CHAR(9),3)&amp;"this."&amp;D15&amp;","</f>
        <v xml:space="preserve">			this.model,</v>
      </c>
      <c r="U15" s="28" t="str">
        <f>IF(E15="int",REPT(CHAR(9),2)&amp;"this."&amp;D15&amp;" = 0,",REPT(CHAR(9),2)&amp;"this."&amp;D15&amp;" = '',")</f>
        <v xml:space="preserve">		this.model = '',</v>
      </c>
      <c r="V15" s="28" t="str">
        <f t="shared" ref="V15:V19" si="8">IF(AND(E15="string",F15="1"),D15,"")</f>
        <v/>
      </c>
    </row>
    <row r="16" spans="1:22" ht="18" customHeight="1" x14ac:dyDescent="0.3">
      <c r="A16" t="s">
        <v>371</v>
      </c>
      <c r="B16" s="28" t="str">
        <f t="shared" ref="B16" si="9">SUBSTITUTE(PROPER(A16),"_","")</f>
        <v>Source</v>
      </c>
      <c r="C16" s="28" t="str">
        <f t="shared" ref="C16" si="10">SUBSTITUTE(PROPER(A16),"_"," ")</f>
        <v>Source</v>
      </c>
      <c r="D16" s="28" t="str">
        <f t="shared" ref="D16" si="11">LOWER(LEFT(B16,1))&amp;RIGHT(B16,LEN(B16) - 1)</f>
        <v>source</v>
      </c>
      <c r="E16" s="28" t="str">
        <f>A.Backend!H10</f>
        <v>string</v>
      </c>
      <c r="F16" s="28" t="str">
        <f>A.Backend!G10</f>
        <v>50</v>
      </c>
      <c r="G16" s="28" t="str">
        <f t="shared" si="3"/>
        <v xml:space="preserve"> : string = '' ; </v>
      </c>
      <c r="H16" s="35" t="str">
        <f t="shared" si="4"/>
        <v xml:space="preserve">			{headerName: this.l('Source'),headerTooltip: this.l('Source'),field: 'source',flex: 1},</v>
      </c>
      <c r="I16" s="35" t="str">
        <f t="shared" si="5"/>
        <v xml:space="preserve">								&lt;div class='input-search'&gt;
									&lt;input [(ngModel)]='source' name='source'
									class='form-control' [placeholder]="l('Source')"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title'&gt;Source&lt;/label&gt;
						&lt;input type='text' class='col-md-10 form-control input-text' name='Source' [(ngModel)]='rowdata.source'&gt;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:S30" si="12">REPT(CHAR(9),1)&amp;D16&amp;G16</f>
        <v xml:space="preserve">	source : string = '' ; </v>
      </c>
      <c r="T16" s="28" t="str">
        <f t="shared" ref="T16:T30" si="13">REPT(CHAR(9),3)&amp;"this."&amp;D16&amp;","</f>
        <v xml:space="preserve">			this.source,</v>
      </c>
      <c r="U16" s="28" t="str">
        <f t="shared" ref="U16:U30" si="14">IF(E16="int",REPT(CHAR(9),2)&amp;"this."&amp;D16&amp;" = 0,",REPT(CHAR(9),2)&amp;"this."&amp;D16&amp;" = '',")</f>
        <v xml:space="preserve">		this.source = '',</v>
      </c>
      <c r="V16" s="28" t="str">
        <f t="shared" ref="V16" si="15">IF(AND(E16="string",F16="1"),D16,"")</f>
        <v/>
      </c>
    </row>
    <row r="17" spans="1:22" ht="18" customHeight="1" x14ac:dyDescent="0.3">
      <c r="A17" t="s">
        <v>358</v>
      </c>
      <c r="B17" s="28" t="str">
        <f>SUBSTITUTE(PROPER(A17),"_","")</f>
        <v>CkdReqId</v>
      </c>
      <c r="C17" s="28" t="str">
        <f>SUBSTITUTE(PROPER(A17),"_"," ")</f>
        <v>Ckd Req Id</v>
      </c>
      <c r="D17" s="28" t="str">
        <f>LOWER(LEFT(B17,1))&amp;RIGHT(B17,LEN(B17) - 1)</f>
        <v>ckdReqId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this.l('Ckd Req Id'),headerTooltip: this.l('Ckd Req Id'),field: 'ckdReqId',flex: 1},</v>
      </c>
      <c r="I17" s="35" t="str">
        <f t="shared" si="5"/>
        <v/>
      </c>
      <c r="J17" s="28"/>
      <c r="K17" s="35" t="str">
        <f t="shared" si="6"/>
        <v/>
      </c>
      <c r="L17" s="56" t="str">
        <f t="shared" si="7"/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ckdReqId</v>
      </c>
      <c r="T17" s="28" t="str">
        <f t="shared" si="13"/>
        <v xml:space="preserve">			this.ckdReqId,</v>
      </c>
      <c r="U17" s="28" t="str">
        <f t="shared" si="14"/>
        <v xml:space="preserve">		this.ckdReqId = '',</v>
      </c>
      <c r="V17" s="28" t="str">
        <f>IF(AND(E17="string",F17="1"),D17,"")</f>
        <v/>
      </c>
    </row>
    <row r="18" spans="1:22" ht="15" customHeight="1" x14ac:dyDescent="0.3">
      <c r="A18" t="s">
        <v>372</v>
      </c>
      <c r="B18" s="28" t="str">
        <f t="shared" ref="B18" si="16">SUBSTITUTE(PROPER(A18),"_","")</f>
        <v>PartNo</v>
      </c>
      <c r="C18" s="28" t="str">
        <f t="shared" ref="C18" si="17">SUBSTITUTE(PROPER(A18),"_"," ")</f>
        <v>Part No</v>
      </c>
      <c r="D18" s="28" t="str">
        <f t="shared" ref="D18" si="18">LOWER(LEFT(B18,1))&amp;RIGHT(B18,LEN(B18) - 1)</f>
        <v>partNo</v>
      </c>
      <c r="E18" s="28" t="str">
        <f>A.Backend!H12</f>
        <v>string</v>
      </c>
      <c r="F18" s="28" t="str">
        <f>A.Backend!G12</f>
        <v>12</v>
      </c>
      <c r="G18" s="28" t="str">
        <f t="shared" si="3"/>
        <v xml:space="preserve"> : string = '' ; </v>
      </c>
      <c r="H18" s="35" t="str">
        <f t="shared" si="4"/>
        <v xml:space="preserve">			{headerName: this.l('Part No'),headerTooltip: this.l('Part No'),field: 'partNo',flex: 1},</v>
      </c>
      <c r="I18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56" t="str">
        <f t="shared" si="7"/>
        <v/>
      </c>
      <c r="M18" s="28"/>
      <c r="N18" s="28"/>
      <c r="O18" s="28"/>
      <c r="P18" s="28"/>
      <c r="Q18" s="28"/>
      <c r="R18" s="28"/>
      <c r="S18" s="28" t="str">
        <f t="shared" si="12"/>
        <v xml:space="preserve">	partNo : string = '' ; </v>
      </c>
      <c r="T18" s="28" t="str">
        <f t="shared" si="13"/>
        <v xml:space="preserve">			this.partNo,</v>
      </c>
      <c r="U18" s="28" t="str">
        <f t="shared" si="14"/>
        <v xml:space="preserve">		this.partNo = '',</v>
      </c>
      <c r="V18" s="28" t="str">
        <f t="shared" ref="V18" si="19">IF(AND(E18="string",F18="1"),D18,"")</f>
        <v/>
      </c>
    </row>
    <row r="19" spans="1:22" ht="18" customHeight="1" x14ac:dyDescent="0.3">
      <c r="A19" t="s">
        <v>373</v>
      </c>
      <c r="B19" s="28" t="str">
        <f t="shared" si="0"/>
        <v>PartName</v>
      </c>
      <c r="C19" s="28" t="str">
        <f t="shared" si="1"/>
        <v>Part Name</v>
      </c>
      <c r="D19" s="28" t="str">
        <f t="shared" si="2"/>
        <v>partName</v>
      </c>
      <c r="E19" s="28" t="str">
        <f>A.Backend!H13</f>
        <v>string</v>
      </c>
      <c r="F19" s="28" t="str">
        <f>A.Backend!G13</f>
        <v>300</v>
      </c>
      <c r="G19" s="28" t="str">
        <f t="shared" si="3"/>
        <v xml:space="preserve"> : string = '' ; </v>
      </c>
      <c r="H19" s="35" t="str">
        <f t="shared" si="4"/>
        <v xml:space="preserve">			{headerName: this.l('Part Name'),headerTooltip: this.l('Part Name'),field: 'partName',flex: 1},</v>
      </c>
      <c r="I19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si="12"/>
        <v xml:space="preserve">	partName : string = '' ; </v>
      </c>
      <c r="T19" s="28" t="str">
        <f t="shared" si="13"/>
        <v xml:space="preserve">			this.partName,</v>
      </c>
      <c r="U19" s="28" t="str">
        <f t="shared" si="14"/>
        <v xml:space="preserve">		this.partName = '',</v>
      </c>
      <c r="V19" s="28" t="str">
        <f t="shared" si="8"/>
        <v/>
      </c>
    </row>
    <row r="20" spans="1:22" ht="15" customHeight="1" x14ac:dyDescent="0.3">
      <c r="A20" t="s">
        <v>374</v>
      </c>
      <c r="B20" s="28" t="str">
        <f t="shared" ref="B20:B21" si="20">SUBSTITUTE(PROPER(A20),"_","")</f>
        <v>Balance</v>
      </c>
      <c r="C20" s="28" t="str">
        <f t="shared" ref="C20:C21" si="21">SUBSTITUTE(PROPER(A20),"_"," ")</f>
        <v>Balance</v>
      </c>
      <c r="D20" s="28" t="str">
        <f t="shared" ref="D20:D21" si="22">LOWER(LEFT(B20,1))&amp;RIGHT(B20,LEN(B20) - 1)</f>
        <v>balance</v>
      </c>
      <c r="E20" s="28" t="str">
        <f>A.Backend!H14</f>
        <v>int?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this.l('Balance'),headerTooltip: this.l('Balance'),field: 'balance',flex: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7"/>
        <v/>
      </c>
      <c r="M20" s="28"/>
      <c r="N20" s="28"/>
      <c r="O20" s="28"/>
      <c r="P20" s="28"/>
      <c r="Q20" s="28"/>
      <c r="R20" s="28"/>
      <c r="S20" s="28" t="str">
        <f t="shared" si="12"/>
        <v xml:space="preserve">	balance</v>
      </c>
      <c r="T20" s="28" t="str">
        <f t="shared" si="13"/>
        <v xml:space="preserve">			this.balance,</v>
      </c>
      <c r="U20" s="28" t="str">
        <f t="shared" si="14"/>
        <v xml:space="preserve">		this.balance = '',</v>
      </c>
      <c r="V20" s="28" t="str">
        <f t="shared" ref="V20:V21" si="23">IF(AND(E20="string",F20="1"),D20,"")</f>
        <v/>
      </c>
    </row>
    <row r="21" spans="1:22" ht="18" customHeight="1" x14ac:dyDescent="0.3">
      <c r="A21" t="s">
        <v>375</v>
      </c>
      <c r="B21" s="28" t="str">
        <f t="shared" si="20"/>
        <v>ReqQuantity</v>
      </c>
      <c r="C21" s="28" t="str">
        <f t="shared" si="21"/>
        <v>Req Quantity</v>
      </c>
      <c r="D21" s="28" t="str">
        <f t="shared" si="22"/>
        <v>reqQuantity</v>
      </c>
      <c r="E21" s="28" t="str">
        <f>A.Backend!H15</f>
        <v>int?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this.l('Req Quantity'),headerTooltip: this.l('Req Quantity'),field: 'reqQuantity',flex: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7"/>
        <v/>
      </c>
      <c r="M21" s="28"/>
      <c r="N21" s="28"/>
      <c r="O21" s="28"/>
      <c r="P21" s="28"/>
      <c r="Q21" s="28"/>
      <c r="R21" s="28"/>
      <c r="S21" s="28" t="str">
        <f t="shared" si="12"/>
        <v xml:space="preserve">	reqQuantity</v>
      </c>
      <c r="T21" s="28" t="str">
        <f t="shared" si="13"/>
        <v xml:space="preserve">			this.reqQuantity,</v>
      </c>
      <c r="U21" s="28" t="str">
        <f t="shared" si="14"/>
        <v xml:space="preserve">		this.reqQuantity = '',</v>
      </c>
      <c r="V21" s="28" t="str">
        <f t="shared" si="23"/>
        <v/>
      </c>
    </row>
    <row r="22" spans="1:22" ht="18" customHeight="1" x14ac:dyDescent="0.3">
      <c r="A22" t="s">
        <v>376</v>
      </c>
      <c r="B22" s="28" t="str">
        <f>SUBSTITUTE(PROPER(A22),"_","")</f>
        <v>MinstockAtTmv</v>
      </c>
      <c r="C22" s="28" t="str">
        <f>SUBSTITUTE(PROPER(A22),"_"," ")</f>
        <v>Minstock At Tmv</v>
      </c>
      <c r="D22" s="28" t="str">
        <f>LOWER(LEFT(B22,1))&amp;RIGHT(B22,LEN(B22) - 1)</f>
        <v>minstockAtTmv</v>
      </c>
      <c r="E22" s="28" t="str">
        <f>A.Backend!H16</f>
        <v>int?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this.l('Minstock At Tmv'),headerTooltip: this.l('Minstock At Tmv'),field: 'minstockAtTmv',flex: 1},</v>
      </c>
      <c r="I22" s="35" t="str">
        <f t="shared" si="5"/>
        <v/>
      </c>
      <c r="J22" s="28"/>
      <c r="K22" s="35" t="str">
        <f t="shared" si="6"/>
        <v/>
      </c>
      <c r="L22" s="56" t="str">
        <f t="shared" si="7"/>
        <v/>
      </c>
      <c r="M22" s="28"/>
      <c r="N22" s="28"/>
      <c r="O22" s="28"/>
      <c r="P22" s="28"/>
      <c r="Q22" s="28"/>
      <c r="R22" s="28"/>
      <c r="S22" s="28" t="str">
        <f t="shared" si="12"/>
        <v xml:space="preserve">	minstockAtTmv</v>
      </c>
      <c r="T22" s="28" t="str">
        <f t="shared" si="13"/>
        <v xml:space="preserve">			this.minstockAtTmv,</v>
      </c>
      <c r="U22" s="28" t="str">
        <f t="shared" si="14"/>
        <v xml:space="preserve">		this.minstockAtTmv = '',</v>
      </c>
      <c r="V22" s="28" t="str">
        <f>IF(AND(E22="string",F22="1"),D22,"")</f>
        <v/>
      </c>
    </row>
    <row r="23" spans="1:22" ht="15" customHeight="1" x14ac:dyDescent="0.3">
      <c r="A23" t="s">
        <v>377</v>
      </c>
      <c r="B23" s="28" t="str">
        <f t="shared" ref="B23:B26" si="24">SUBSTITUTE(PROPER(A23),"_","")</f>
        <v>StockendofReqDate</v>
      </c>
      <c r="C23" s="28" t="str">
        <f t="shared" ref="C23:C26" si="25">SUBSTITUTE(PROPER(A23),"_"," ")</f>
        <v>Stockendof Req Date</v>
      </c>
      <c r="D23" s="28" t="str">
        <f t="shared" ref="D23:D26" si="26">LOWER(LEFT(B23,1))&amp;RIGHT(B23,LEN(B23) - 1)</f>
        <v>stockendofReqDate</v>
      </c>
      <c r="E23" s="28" t="str">
        <f>A.Backend!H17</f>
        <v>int?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this.l('Stockendof Req Date'),headerTooltip: this.l('Stockendof Req Date'),field: 'stockendofReqDate',flex: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si="7"/>
        <v/>
      </c>
      <c r="M23" s="28"/>
      <c r="N23" s="28"/>
      <c r="O23" s="28"/>
      <c r="P23" s="28"/>
      <c r="Q23" s="28"/>
      <c r="R23" s="28"/>
      <c r="S23" s="28" t="str">
        <f t="shared" si="12"/>
        <v xml:space="preserve">	stockendofReqDate</v>
      </c>
      <c r="T23" s="28" t="str">
        <f t="shared" si="13"/>
        <v xml:space="preserve">			this.stockendofReqDate,</v>
      </c>
      <c r="U23" s="28" t="str">
        <f t="shared" si="14"/>
        <v xml:space="preserve">		this.stockendofReqDate = '',</v>
      </c>
      <c r="V23" s="28" t="str">
        <f t="shared" ref="V23:V26" si="27">IF(AND(E23="string",F23="1"),D23,"")</f>
        <v/>
      </c>
    </row>
    <row r="24" spans="1:22" ht="18" customHeight="1" x14ac:dyDescent="0.3">
      <c r="A24" t="s">
        <v>359</v>
      </c>
      <c r="B24" s="28" t="str">
        <f t="shared" si="24"/>
        <v>UpPlanDate</v>
      </c>
      <c r="C24" s="28" t="str">
        <f t="shared" si="25"/>
        <v>Up Plan Date</v>
      </c>
      <c r="D24" s="28" t="str">
        <f t="shared" si="26"/>
        <v>upPlanDate</v>
      </c>
      <c r="E24" s="28" t="str">
        <f>A.Backend!H18</f>
        <v>DateTime?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this.l('Up Plan Date'),headerTooltip: this.l('Up Plan Date'),field: 'upPlanDate',flex: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7"/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upPlanDate</v>
      </c>
      <c r="T24" s="28" t="str">
        <f t="shared" si="13"/>
        <v xml:space="preserve">			this.upPlanDate,</v>
      </c>
      <c r="U24" s="28" t="str">
        <f t="shared" si="14"/>
        <v xml:space="preserve">		this.upPlanDate = '',</v>
      </c>
      <c r="V24" s="28" t="str">
        <f t="shared" si="27"/>
        <v/>
      </c>
    </row>
    <row r="25" spans="1:22" ht="15" customHeight="1" x14ac:dyDescent="0.3">
      <c r="A25" t="s">
        <v>360</v>
      </c>
      <c r="B25" s="28" t="str">
        <f t="shared" si="24"/>
        <v>UpPlanTime</v>
      </c>
      <c r="C25" s="28" t="str">
        <f t="shared" si="25"/>
        <v>Up Plan Time</v>
      </c>
      <c r="D25" s="28" t="str">
        <f t="shared" si="26"/>
        <v>upPlanTime</v>
      </c>
      <c r="E25" s="28" t="str">
        <f>A.Backend!H19</f>
        <v>int?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this.l('Up Plan Time'),headerTooltip: this.l('Up Plan Time'),field: 'upPlanTime',flex: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7"/>
        <v/>
      </c>
      <c r="M25" s="28"/>
      <c r="N25" s="28"/>
      <c r="O25" s="28"/>
      <c r="P25" s="28"/>
      <c r="Q25" s="28"/>
      <c r="R25" s="28"/>
      <c r="S25" s="28" t="str">
        <f t="shared" si="12"/>
        <v xml:space="preserve">	upPlanTime</v>
      </c>
      <c r="T25" s="28" t="str">
        <f t="shared" si="13"/>
        <v xml:space="preserve">			this.upPlanTime,</v>
      </c>
      <c r="U25" s="28" t="str">
        <f t="shared" si="14"/>
        <v xml:space="preserve">		this.upPlanTime = '',</v>
      </c>
      <c r="V25" s="28" t="str">
        <f t="shared" si="27"/>
        <v/>
      </c>
    </row>
    <row r="26" spans="1:22" ht="18" customHeight="1" x14ac:dyDescent="0.3">
      <c r="A26" t="s">
        <v>361</v>
      </c>
      <c r="B26" s="28" t="str">
        <f t="shared" si="24"/>
        <v>UpActualDate</v>
      </c>
      <c r="C26" s="28" t="str">
        <f t="shared" si="25"/>
        <v>Up Actual Date</v>
      </c>
      <c r="D26" s="28" t="str">
        <f t="shared" si="26"/>
        <v>upActualDate</v>
      </c>
      <c r="E26" s="28" t="str">
        <f>A.Backend!H20</f>
        <v>DateTime?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this.l('Up Actual Date'),headerTooltip: this.l('Up Actual Date'),field: 'upActualDate',flex: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7"/>
        <v/>
      </c>
      <c r="M26" s="28"/>
      <c r="N26" s="28"/>
      <c r="O26" s="28"/>
      <c r="P26" s="28"/>
      <c r="Q26" s="28"/>
      <c r="R26" s="28"/>
      <c r="S26" s="28" t="str">
        <f t="shared" si="12"/>
        <v xml:space="preserve">	upActualDate</v>
      </c>
      <c r="T26" s="28" t="str">
        <f t="shared" si="13"/>
        <v xml:space="preserve">			this.upActualDate,</v>
      </c>
      <c r="U26" s="28" t="str">
        <f t="shared" si="14"/>
        <v xml:space="preserve">		this.upActualDate = '',</v>
      </c>
      <c r="V26" s="28" t="str">
        <f t="shared" si="27"/>
        <v/>
      </c>
    </row>
    <row r="27" spans="1:22" ht="18" customHeight="1" x14ac:dyDescent="0.3">
      <c r="A27" t="s">
        <v>362</v>
      </c>
      <c r="B27" s="28" t="str">
        <f>SUBSTITUTE(PROPER(A27),"_","")</f>
        <v>UpActualTime</v>
      </c>
      <c r="C27" s="28" t="str">
        <f>SUBSTITUTE(PROPER(A27),"_"," ")</f>
        <v>Up Actual Time</v>
      </c>
      <c r="D27" s="28" t="str">
        <f>LOWER(LEFT(B27,1))&amp;RIGHT(B27,LEN(B27) - 1)</f>
        <v>upActualTime</v>
      </c>
      <c r="E27" s="28" t="str">
        <f>A.Backend!H21</f>
        <v>int?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this.l('Up Actual Time'),headerTooltip: this.l('Up Actual Time'),field: 'upActualTime',flex: 1},</v>
      </c>
      <c r="I27" s="35" t="str">
        <f t="shared" si="5"/>
        <v/>
      </c>
      <c r="J27" s="28"/>
      <c r="K27" s="35" t="str">
        <f t="shared" si="6"/>
        <v/>
      </c>
      <c r="L27" s="56" t="str">
        <f t="shared" si="7"/>
        <v/>
      </c>
      <c r="M27" s="28"/>
      <c r="N27" s="28"/>
      <c r="O27" s="28"/>
      <c r="P27" s="28"/>
      <c r="Q27" s="28"/>
      <c r="R27" s="28"/>
      <c r="S27" s="28" t="str">
        <f t="shared" si="12"/>
        <v xml:space="preserve">	upActualTime</v>
      </c>
      <c r="T27" s="28" t="str">
        <f t="shared" si="13"/>
        <v xml:space="preserve">			this.upActualTime,</v>
      </c>
      <c r="U27" s="28" t="str">
        <f t="shared" si="14"/>
        <v xml:space="preserve">		this.upActualTime = '',</v>
      </c>
      <c r="V27" s="28" t="str">
        <f>IF(AND(E27="string",F27="1"),D27,"")</f>
        <v/>
      </c>
    </row>
    <row r="28" spans="1:22" ht="18" customHeight="1" x14ac:dyDescent="0.3">
      <c r="A28" t="s">
        <v>363</v>
      </c>
      <c r="B28" s="28" t="str">
        <f>SUBSTITUTE(PROPER(A28),"_","")</f>
        <v>TimeRequest</v>
      </c>
      <c r="C28" s="28" t="str">
        <f>SUBSTITUTE(PROPER(A28),"_"," ")</f>
        <v>Time Request</v>
      </c>
      <c r="D28" s="28" t="str">
        <f>LOWER(LEFT(B28,1))&amp;RIGHT(B28,LEN(B28) - 1)</f>
        <v>timeRequest</v>
      </c>
      <c r="E28" s="28" t="str">
        <f>A.Backend!H22</f>
        <v>int?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this.l('Time Request'),headerTooltip: this.l('Time Request'),field: 'timeRequest',flex: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si="7"/>
        <v/>
      </c>
      <c r="M28" s="28"/>
      <c r="N28" s="28"/>
      <c r="O28" s="28"/>
      <c r="P28" s="28"/>
      <c r="Q28" s="28"/>
      <c r="R28" s="28"/>
      <c r="S28" s="28" t="str">
        <f t="shared" si="12"/>
        <v xml:space="preserve">	timeRequest</v>
      </c>
      <c r="T28" s="28" t="str">
        <f t="shared" si="13"/>
        <v xml:space="preserve">			this.timeRequest,</v>
      </c>
      <c r="U28" s="28" t="str">
        <f t="shared" si="14"/>
        <v xml:space="preserve">		this.timeRequest = '',</v>
      </c>
      <c r="V28" s="28" t="str">
        <f>IF(AND(E28="string",F28="1"),D28,"")</f>
        <v/>
      </c>
    </row>
    <row r="29" spans="1:22" ht="15" customHeight="1" x14ac:dyDescent="0.3">
      <c r="A29" t="s">
        <v>351</v>
      </c>
      <c r="B29" s="28" t="str">
        <f t="shared" ref="B29" si="28">SUBSTITUTE(PROPER(A29),"_","")</f>
        <v>Remarks</v>
      </c>
      <c r="C29" s="28" t="str">
        <f t="shared" ref="C29" si="29">SUBSTITUTE(PROPER(A29),"_"," ")</f>
        <v>Remarks</v>
      </c>
      <c r="D29" s="28" t="str">
        <f t="shared" ref="D29" si="30">LOWER(LEFT(B29,1))&amp;RIGHT(B29,LEN(B29) - 1)</f>
        <v>remarks</v>
      </c>
      <c r="E29" s="28" t="str">
        <f>A.Backend!H23</f>
        <v>string</v>
      </c>
      <c r="F29" s="28" t="str">
        <f>A.Backend!G23</f>
        <v>1000</v>
      </c>
      <c r="G29" s="28" t="str">
        <f t="shared" si="3"/>
        <v xml:space="preserve"> : string = '' ; </v>
      </c>
      <c r="H29" s="35" t="str">
        <f t="shared" si="4"/>
        <v xml:space="preserve">			{headerName: this.l('Remarks'),headerTooltip: this.l('Remarks'),field: 'remarks',flex: 1},</v>
      </c>
      <c r="I29" s="35" t="str">
        <f t="shared" si="5"/>
        <v xml:space="preserve">								&lt;div class='input-search'&gt;
									&lt;input [(ngModel)]='remarks' name='remarks'
									class='form-control' [placeholder]="l('Remarks')"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title'&gt;Remarks&lt;/label&gt;
						&lt;input type='text' class='col-md-10 form-control input-text' name='Remarks' [(ngModel)]='rowdata.remarks'&gt;
					&lt;/div&gt;</v>
      </c>
      <c r="L29" s="56" t="str">
        <f t="shared" si="7"/>
        <v/>
      </c>
      <c r="M29" s="28"/>
      <c r="N29" s="28"/>
      <c r="O29" s="28"/>
      <c r="P29" s="28"/>
      <c r="Q29" s="28"/>
      <c r="R29" s="28"/>
      <c r="S29" s="28" t="str">
        <f t="shared" si="12"/>
        <v xml:space="preserve">	remarks : string = '' ; </v>
      </c>
      <c r="T29" s="28" t="str">
        <f t="shared" si="13"/>
        <v xml:space="preserve">			this.remarks,</v>
      </c>
      <c r="U29" s="28" t="str">
        <f t="shared" si="14"/>
        <v xml:space="preserve">		this.remarks = '',</v>
      </c>
      <c r="V29" s="28" t="str">
        <f t="shared" ref="V29" si="31">IF(AND(E29="string",F29="1"),D29,"")</f>
        <v/>
      </c>
    </row>
    <row r="30" spans="1:22" ht="18" customHeight="1" x14ac:dyDescent="0.3">
      <c r="A30" s="28" t="s">
        <v>319</v>
      </c>
      <c r="B30" s="28" t="str">
        <f t="shared" ref="B30" si="32">SUBSTITUTE(PROPER(A30),"_","")</f>
        <v>IsActive</v>
      </c>
      <c r="C30" s="28" t="str">
        <f t="shared" ref="C30" si="33">SUBSTITUTE(PROPER(A30),"_"," ")</f>
        <v>Is Active</v>
      </c>
      <c r="D30" s="28" t="str">
        <f t="shared" ref="D30" si="34">LOWER(LEFT(B30,1))&amp;RIGHT(B30,LEN(B30) - 1)</f>
        <v>isActive</v>
      </c>
      <c r="E30" s="28" t="str">
        <f>A.Backend!H24</f>
        <v>string</v>
      </c>
      <c r="F30" s="28" t="str">
        <f>A.Backend!G24</f>
        <v>1</v>
      </c>
      <c r="G30" s="28" t="str">
        <f t="shared" si="3"/>
        <v xml:space="preserve"> : string = '' ; </v>
      </c>
      <c r="H30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0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0" s="56" t="str">
        <f t="shared" si="7"/>
        <v/>
      </c>
      <c r="M30" s="28"/>
      <c r="N30" s="28"/>
      <c r="O30" s="28"/>
      <c r="P30" s="28"/>
      <c r="Q30" s="28"/>
      <c r="R30" s="28"/>
      <c r="S30" s="28" t="str">
        <f t="shared" si="12"/>
        <v xml:space="preserve">	isActive : string = '' ; </v>
      </c>
      <c r="T30" s="28" t="str">
        <f t="shared" si="13"/>
        <v xml:space="preserve">			this.isActive,</v>
      </c>
      <c r="U30" s="28" t="str">
        <f t="shared" si="14"/>
        <v xml:space="preserve">		this.isActive = '',</v>
      </c>
      <c r="V30" s="28" t="str">
        <f t="shared" ref="V30" si="35">IF(AND(E30="string",F30="1"),D30,"")</f>
        <v>isActive</v>
      </c>
    </row>
    <row r="32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357</v>
      </c>
    </row>
    <row r="7" spans="1:2" x14ac:dyDescent="0.3">
      <c r="A7" t="s">
        <v>24</v>
      </c>
      <c r="B7" t="s">
        <v>352</v>
      </c>
    </row>
    <row r="8" spans="1:2" x14ac:dyDescent="0.3">
      <c r="A8" t="s">
        <v>4</v>
      </c>
      <c r="B8" t="s">
        <v>352</v>
      </c>
    </row>
    <row r="9" spans="1:2" x14ac:dyDescent="0.3">
      <c r="A9" t="s">
        <v>0</v>
      </c>
      <c r="B9" t="s">
        <v>353</v>
      </c>
    </row>
    <row r="10" spans="1:2" x14ac:dyDescent="0.3">
      <c r="A10" t="s">
        <v>25</v>
      </c>
      <c r="B10" t="s">
        <v>356</v>
      </c>
    </row>
    <row r="11" spans="1:2" x14ac:dyDescent="0.3">
      <c r="A11" t="s">
        <v>26</v>
      </c>
      <c r="B11" t="s">
        <v>356</v>
      </c>
    </row>
    <row r="12" spans="1:2" x14ac:dyDescent="0.3">
      <c r="A12" t="s">
        <v>27</v>
      </c>
      <c r="B12" t="s">
        <v>356</v>
      </c>
    </row>
    <row r="13" spans="1:2" x14ac:dyDescent="0.3">
      <c r="A13" t="s">
        <v>28</v>
      </c>
      <c r="B13" t="s">
        <v>356</v>
      </c>
    </row>
    <row r="14" spans="1:2" x14ac:dyDescent="0.3">
      <c r="A14" t="s">
        <v>29</v>
      </c>
      <c r="B14" t="s">
        <v>356</v>
      </c>
    </row>
    <row r="15" spans="1:2" x14ac:dyDescent="0.3">
      <c r="A15" t="s">
        <v>30</v>
      </c>
      <c r="B15" t="s">
        <v>356</v>
      </c>
    </row>
    <row r="16" spans="1:2" x14ac:dyDescent="0.3">
      <c r="A16" t="s">
        <v>31</v>
      </c>
      <c r="B16" t="s">
        <v>354</v>
      </c>
    </row>
    <row r="17" spans="1:2" x14ac:dyDescent="0.3">
      <c r="A17" t="s">
        <v>3</v>
      </c>
      <c r="B17" t="s">
        <v>354</v>
      </c>
    </row>
    <row r="18" spans="1:2" x14ac:dyDescent="0.3">
      <c r="A18" t="s">
        <v>33</v>
      </c>
      <c r="B18" t="s">
        <v>354</v>
      </c>
    </row>
    <row r="19" spans="1:2" x14ac:dyDescent="0.3">
      <c r="A19" t="s">
        <v>2</v>
      </c>
      <c r="B19" t="s">
        <v>354</v>
      </c>
    </row>
    <row r="20" spans="1:2" x14ac:dyDescent="0.3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2023-05-15T07:08:45Z</dcterms:modified>
</cp:coreProperties>
</file>
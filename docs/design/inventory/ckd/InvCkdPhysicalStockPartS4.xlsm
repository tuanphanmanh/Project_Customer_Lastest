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inventory\ckd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" i="1" l="1"/>
  <c r="G10" i="1"/>
  <c r="E10" i="1"/>
  <c r="H10" i="1" s="1"/>
  <c r="D10" i="1"/>
  <c r="V10" i="1" s="1"/>
  <c r="W10" i="1" l="1"/>
  <c r="O10" i="1"/>
  <c r="J10" i="1"/>
  <c r="N10" i="1"/>
  <c r="I10" i="1"/>
  <c r="M10" i="1"/>
  <c r="P10" i="1"/>
  <c r="T10" i="1"/>
  <c r="B16" i="5"/>
  <c r="D16" i="5" s="1"/>
  <c r="C16" i="5"/>
  <c r="B7" i="5" l="1"/>
  <c r="B6" i="5"/>
  <c r="B2" i="5"/>
  <c r="B8" i="5" l="1"/>
  <c r="B3" i="5"/>
  <c r="B6" i="1" l="1"/>
  <c r="C15" i="5" l="1"/>
  <c r="B15" i="5"/>
  <c r="D15" i="5" s="1"/>
  <c r="G9" i="1" l="1"/>
  <c r="F15" i="5" s="1"/>
  <c r="E9" i="1"/>
  <c r="H9" i="1" s="1"/>
  <c r="E15" i="5" s="1"/>
  <c r="D9" i="1"/>
  <c r="V9" i="1" s="1"/>
  <c r="T15" i="5" l="1"/>
  <c r="K15" i="5"/>
  <c r="I15" i="5"/>
  <c r="H15" i="5"/>
  <c r="G15" i="5"/>
  <c r="S15" i="5" s="1"/>
  <c r="V15" i="5"/>
  <c r="L15" i="5"/>
  <c r="W9" i="1"/>
  <c r="P9" i="1"/>
  <c r="T9" i="1"/>
  <c r="I9" i="1"/>
  <c r="N9" i="1"/>
  <c r="M9" i="1"/>
  <c r="J9" i="1"/>
  <c r="O9" i="1"/>
  <c r="U15" i="5" l="1"/>
  <c r="Q3" i="1"/>
  <c r="B4" i="5" s="1"/>
  <c r="B5" i="5" s="1"/>
  <c r="G11" i="1" l="1"/>
  <c r="F16" i="5" s="1"/>
  <c r="E11" i="1"/>
  <c r="H11" i="1" s="1"/>
  <c r="E16" i="5" s="1"/>
  <c r="D11" i="1"/>
  <c r="T11" i="1" s="1"/>
  <c r="H16" i="5" l="1"/>
  <c r="U16" i="5"/>
  <c r="V16" i="5"/>
  <c r="T16" i="5"/>
  <c r="K16" i="5"/>
  <c r="S16" i="5"/>
  <c r="I16" i="5"/>
  <c r="G16" i="5"/>
  <c r="L16" i="5"/>
  <c r="P11" i="1"/>
  <c r="V11" i="1"/>
  <c r="W11" i="1"/>
  <c r="J11" i="1"/>
  <c r="I11" i="1"/>
  <c r="O11" i="1"/>
  <c r="N11" i="1"/>
  <c r="M11" i="1"/>
  <c r="W3" i="1" l="1"/>
  <c r="V3" i="1"/>
  <c r="U7" i="1" l="1"/>
  <c r="T3" i="1" l="1"/>
  <c r="F3" i="1"/>
  <c r="O7" i="1" l="1"/>
  <c r="N7" i="1"/>
  <c r="E69" i="3" s="1"/>
  <c r="K7" i="1"/>
  <c r="H6" i="1"/>
  <c r="R10" i="5" l="1"/>
  <c r="M76" i="3" s="1"/>
  <c r="N69" i="3" l="1"/>
  <c r="P10" i="5" l="1"/>
  <c r="K76" i="3" s="1"/>
  <c r="Q10" i="5"/>
  <c r="L76" i="3" s="1"/>
  <c r="B74" i="3"/>
  <c r="C74" i="3" s="1"/>
  <c r="M14" i="5"/>
  <c r="H75" i="3" s="1"/>
  <c r="L14" i="5"/>
  <c r="G75" i="3" s="1"/>
  <c r="K14" i="5"/>
  <c r="F75" i="3" s="1"/>
  <c r="L75" i="3"/>
  <c r="K75" i="3"/>
  <c r="O14" i="5"/>
  <c r="J75" i="3" s="1"/>
  <c r="N14" i="5"/>
  <c r="I75" i="3" s="1"/>
  <c r="J14" i="5"/>
  <c r="E75" i="3" s="1"/>
  <c r="I14" i="5"/>
  <c r="D75" i="3" s="1"/>
  <c r="H14" i="5"/>
  <c r="C75" i="3" s="1"/>
  <c r="O10" i="5"/>
  <c r="J76" i="3" s="1"/>
  <c r="N10" i="5"/>
  <c r="I76" i="3" s="1"/>
  <c r="M10" i="5"/>
  <c r="H76" i="3" s="1"/>
  <c r="J10" i="5"/>
  <c r="E76" i="3" s="1"/>
  <c r="N3" i="1" l="1"/>
  <c r="M3" i="1"/>
  <c r="O3" i="1"/>
  <c r="V13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3" i="1"/>
  <c r="T13" i="5"/>
  <c r="T7" i="1" l="1"/>
  <c r="W13" i="1"/>
  <c r="G6" i="1" l="1"/>
  <c r="U13" i="5"/>
  <c r="I13" i="5"/>
  <c r="S13" i="5"/>
  <c r="H13" i="5"/>
  <c r="L13" i="5"/>
  <c r="K13" i="5"/>
  <c r="K10" i="5" l="1"/>
  <c r="F76" i="3" s="1"/>
  <c r="I10" i="5"/>
  <c r="D76" i="3" s="1"/>
  <c r="H10" i="5"/>
  <c r="C76" i="3" s="1"/>
  <c r="L10" i="5"/>
  <c r="G76" i="3" s="1"/>
  <c r="L69" i="3"/>
  <c r="D69" i="3"/>
  <c r="D6" i="1"/>
  <c r="L3" i="1" l="1"/>
  <c r="J3" i="1"/>
  <c r="H3" i="1"/>
  <c r="C6" i="1" l="1"/>
  <c r="P7" i="1" s="1"/>
  <c r="S3" i="1"/>
  <c r="S7" i="1" s="1"/>
  <c r="E6" i="1"/>
  <c r="F69" i="3"/>
  <c r="I3" i="1" l="1"/>
  <c r="B7" i="1"/>
  <c r="L9" i="1" l="1"/>
  <c r="L11" i="1"/>
  <c r="C7" i="1"/>
  <c r="P13" i="1"/>
  <c r="O13" i="1"/>
  <c r="J13" i="1"/>
  <c r="I13" i="1"/>
  <c r="N13" i="1"/>
  <c r="Q7" i="1" l="1"/>
  <c r="M69" i="3" s="1"/>
  <c r="L7" i="1"/>
  <c r="G69" i="3" s="1"/>
  <c r="K69" i="3"/>
  <c r="J69" i="3"/>
  <c r="K13" i="1"/>
  <c r="M13" i="1"/>
  <c r="R7" i="1" l="1"/>
  <c r="I69" i="3" s="1"/>
  <c r="M7" i="1"/>
  <c r="H69" i="3" s="1"/>
  <c r="J7" i="1"/>
  <c r="C69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8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<sst xmlns="http://schemas.openxmlformats.org/spreadsheetml/2006/main" count="446" uniqueCount="366">
  <si>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</si>
  <si>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</si>
  <si>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</si>
  <si>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</si>
  <si>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</si>
  <si>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</si>
  <si>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</si>
  <si>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</si>
  <si>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</si>
  <si>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</si>
  <si>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</si>
  <si>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</si>
  <si>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</si>
  <si>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</si>
  <si>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</si>
  <si>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</si>
  <si>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</si>
  <si>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</si>
  <si>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</si>
  <si>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</si>
  <si>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</si>
  <si>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</si>
  <si>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</si>
  <si>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</si>
  <si>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</si>
  <si>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</si>
  <si>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</si>
  <si>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</si>
  <si>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</si>
  <si>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</si>
  <si>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</si>
  <si>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</si>
  <si>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</si>
  <si>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</si>
  <si>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</si>
  <si>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</si>
  <si>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</si>
  <si>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</si>
  <si>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</si>
  <si>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</si>
  <si>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</si>
  <si>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</si>
  <si>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</si>
  <si>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</si>
  <si>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</si>
  <si>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</si>
  <si>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</si>
  <si>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</si>
  <si>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</si>
  <si>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</si>
  <si>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</si>
  <si>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</si>
  <si>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</si>
  <si>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</si>
  <si>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</si>
  <si>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</si>
  <si>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</si>
  <si>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</si>
  <si>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</si>
  <si>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</si>
  <si>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</si>
  <si>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</si>
  <si>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</si>
  <si>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</si>
  <si>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</si>
  <si>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</si>
  <si>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</si>
  <si>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</si>
  <si>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</si>
  <si>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</si>
  <si>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</si>
  <si>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</si>
  <si>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</si>
  <si>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</si>
  <si>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</si>
  <si>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</si>
  <si>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</si>
  <si>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</si>
  <si>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</si>
  <si>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</si>
  <si>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</si>
  <si>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</si>
  <si>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</si>
  <si>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</si>
  <si>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</si>
  <si>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</si>
  <si>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</si>
  <si>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</si>
  <si>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</si>
  <si>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</si>
  <si>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</si>
  <si>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</si>
  <si>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</si>
  <si>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</si>
  <si>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</si>
  <si>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</si>
  <si>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</si>
  <si>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</si>
  <si>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</si>
  <si>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</si>
  <si>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</si>
  <si>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</si>
  <si>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</si>
  <si>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</si>
  <si>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</si>
  <si>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</si>
  <si>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</si>
  <si>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</si>
  <si>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</si>
  <si>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</si>
  <si>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</si>
  <si>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</si>
  <si>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</si>
  <si>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</si>
  <si>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</si>
  <si>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</si>
  <si>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</si>
  <si>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</si>
  <si>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</si>
  <si>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</si>
  <si>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</si>
  <si>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</si>
  <si>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</si>
  <si>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</si>
  <si>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</si>
  <si>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</si>
  <si>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</si>
  <si>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</si>
  <si>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</si>
  <si>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</si>
  <si>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</si>
  <si>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</si>
  <si>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</si>
  <si>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</si>
  <si>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</si>
  <si>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</si>
  <si>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</si>
  <si>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</si>
  <si>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</si>
  <si>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</si>
  <si>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</si>
  <si>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</si>
  <si>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</si>
  <si>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</si>
  <si>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</si>
  <si>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</si>
  <si>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</si>
  <si>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</si>
  <si>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</si>
  <si>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</si>
  <si>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</si>
  <si>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</si>
  <si>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</si>
  <si>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</si>
  <si>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</si>
  <si>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</si>
  <si>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</si>
  <si>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</si>
  <si>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</si>
  <si>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</si>
  <si>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</si>
  <si>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</si>
  <si>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</si>
  <si>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</si>
  <si>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</si>
  <si>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</si>
  <si>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</si>
  <si>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</si>
  <si>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</si>
  <si>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</si>
  <si>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</si>
  <si>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</si>
  <si>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</si>
  <si>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</si>
  <si>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</si>
  <si>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</si>
  <si>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</si>
  <si>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</si>
  <si>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</si>
  <si>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</si>
  <si>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</si>
  <si>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</si>
  <si>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</si>
  <si>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</si>
  <si>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</si>
  <si>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</si>
  <si>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</si>
  <si>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</si>
  <si>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</si>
  <si>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</si>
  <si>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</si>
  <si>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</si>
  <si>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</si>
  <si>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</si>
  <si>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</si>
  <si>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</si>
  <si>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</si>
  <si>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</si>
  <si>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</si>
  <si>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</si>
  <si>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</si>
  <si>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</si>
  <si>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</si>
  <si>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</si>
  <si>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</si>
  <si>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</si>
  <si>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</si>
  <si>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</si>
  <si>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</si>
  <si>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</si>
  <si>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</si>
  <si>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</si>
  <si>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</si>
  <si>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</si>
  <si>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</si>
  <si>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</si>
  <si>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</si>
  <si>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</si>
  <si>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</si>
  <si>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</si>
  <si>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</si>
  <si>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</si>
  <si>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</si>
  <si>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</si>
  <si>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</si>
  <si>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</si>
  <si>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</si>
  <si>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</si>
  <si>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</si>
  <si>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</si>
  <si>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</si>
  <si>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</si>
  <si>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</si>
  <si>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</si>
  <si>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</si>
  <si>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</si>
  <si>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</si>
  <si>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</si>
  <si>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</si>
  <si>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</si>
  <si>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</si>
  <si>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</si>
  <si>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</si>
  <si>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</si>
  <si>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</si>
  <si>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</si>
  <si>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</si>
  <si>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</si>
  <si>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</si>
  <si>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</si>
  <si>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</si>
  <si>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</si>
  <si>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</si>
  <si>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</si>
  <si>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</si>
  <si>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</si>
  <si>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</si>
  <si>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</si>
  <si>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</si>
  <si>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</si>
  <si>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</si>
  <si>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</si>
  <si>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</si>
  <si>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</si>
  <si>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</si>
  <si>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</si>
  <si>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</si>
  <si>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</si>
  <si>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</si>
  <si>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</si>
  <si>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</si>
  <si>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</si>
  <si>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</si>
  <si>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</si>
  <si>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</si>
  <si>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</si>
  <si>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</si>
  <si>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</si>
  <si>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</si>
  <si>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</si>
  <si>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</si>
  <si>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</si>
  <si>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</si>
  <si>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</si>
  <si>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</si>
  <si>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</si>
  <si>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</si>
  <si>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</si>
  <si>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</si>
  <si>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</si>
  <si>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</si>
  <si>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</si>
  <si>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</si>
  <si>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</si>
  <si>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</si>
  <si>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</si>
  <si>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</si>
  <si>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</si>
  <si>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</si>
  <si>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</si>
  <si>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</si>
  <si>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</si>
  <si>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</si>
  <si>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</si>
  <si>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</si>
  <si>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</si>
  <si>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</si>
  <si>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</si>
  <si>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</si>
  <si>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</si>
  <si>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</si>
  <si>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</si>
  <si>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</si>
  <si>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</si>
  <si>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</si>
  <si>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</si>
  <si>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</si>
  <si>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</si>
  <si>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</si>
  <si>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</si>
  <si>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</si>
  <si>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</si>
  <si>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</si>
  <si>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</si>
  <si>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</si>
  <si>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</si>
  <si>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</si>
  <si>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</si>
  <si>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</si>
  <si>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</si>
  <si>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</si>
  <si>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</si>
  <si>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</si>
  <si>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</si>
  <si>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</si>
  <si>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</si>
  <si>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</si>
  <si>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</si>
  <si>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</si>
  <si>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</si>
  <si>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</si>
  <si>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</si>
  <si>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</si>
  <si>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</si>
  <si>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</si>
  <si>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</si>
  <si>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</si>
  <si>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</si>
  <si>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</si>
  <si>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</si>
  <si>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</si>
  <si>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nvarchar(40)</t>
  </si>
  <si>
    <t>CPS</t>
  </si>
  <si>
    <t>Cps</t>
  </si>
  <si>
    <t>InvCps</t>
  </si>
  <si>
    <t>IHP</t>
  </si>
  <si>
    <t>Ihp</t>
  </si>
  <si>
    <t>InvIhp</t>
  </si>
  <si>
    <t>Inhouse Part</t>
  </si>
  <si>
    <t>MATERIAL_CODE</t>
  </si>
  <si>
    <t>QTY</t>
  </si>
  <si>
    <t>PhysicalStockPartS4</t>
  </si>
  <si>
    <t>InvCkdPhysicalStockPartS4</t>
  </si>
  <si>
    <t>Physical Stock Part S4</t>
  </si>
  <si>
    <t>Inv.CKD</t>
  </si>
  <si>
    <t>PERIOD_ID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</si>
</sst>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0" fillId="0" borderId="5" xfId="0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8"/>
  <sheetViews>
    <sheetView topLeftCell="A58" zoomScaleNormal="100" workbookViewId="0">
      <selection activeCell="C69" sqref="C6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341</v>
      </c>
      <c r="F18" s="1" t="s">
        <v>343</v>
      </c>
      <c r="G18" t="s">
        <v>342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318</v>
      </c>
      <c r="F42" s="1" t="s">
        <v>329</v>
      </c>
      <c r="G42" t="s">
        <v>329</v>
      </c>
    </row>
    <row r="43" spans="1:8" x14ac:dyDescent="0.25">
      <c r="A43" s="1"/>
      <c r="D43" t="s">
        <v>319</v>
      </c>
      <c r="F43" s="1" t="s">
        <v>324</v>
      </c>
      <c r="G43" t="s">
        <v>330</v>
      </c>
    </row>
    <row r="44" spans="1:8" x14ac:dyDescent="0.25">
      <c r="A44" s="1"/>
      <c r="D44" t="s">
        <v>321</v>
      </c>
      <c r="F44" s="1" t="s">
        <v>325</v>
      </c>
      <c r="G44" t="s">
        <v>331</v>
      </c>
    </row>
    <row r="45" spans="1:8" x14ac:dyDescent="0.25">
      <c r="A45" s="1"/>
      <c r="D45" t="s">
        <v>320</v>
      </c>
      <c r="F45" s="1" t="s">
        <v>326</v>
      </c>
      <c r="G45" t="s">
        <v>332</v>
      </c>
    </row>
    <row r="46" spans="1:8" x14ac:dyDescent="0.25">
      <c r="A46" s="1"/>
      <c r="D46" t="s">
        <v>355</v>
      </c>
      <c r="F46" s="1" t="s">
        <v>356</v>
      </c>
      <c r="G46" t="s">
        <v>357</v>
      </c>
      <c r="H46" t="s">
        <v>358</v>
      </c>
    </row>
    <row r="47" spans="1:8" x14ac:dyDescent="0.25">
      <c r="A47" s="1"/>
      <c r="D47" t="s">
        <v>338</v>
      </c>
      <c r="F47" s="1" t="s">
        <v>339</v>
      </c>
      <c r="G47" t="s">
        <v>340</v>
      </c>
    </row>
    <row r="48" spans="1:8" x14ac:dyDescent="0.25">
      <c r="A48" s="1"/>
      <c r="D48" t="s">
        <v>323</v>
      </c>
      <c r="F48" s="1" t="s">
        <v>327</v>
      </c>
      <c r="G48" t="s">
        <v>333</v>
      </c>
    </row>
    <row r="49" spans="1:7" x14ac:dyDescent="0.25">
      <c r="A49" s="1"/>
      <c r="D49" t="s">
        <v>322</v>
      </c>
      <c r="F49" s="1" t="s">
        <v>328</v>
      </c>
      <c r="G49" t="s">
        <v>334</v>
      </c>
    </row>
    <row r="50" spans="1:7" x14ac:dyDescent="0.25">
      <c r="A50" s="1"/>
      <c r="D50" t="s">
        <v>335</v>
      </c>
      <c r="F50" s="1" t="s">
        <v>336</v>
      </c>
      <c r="G50" t="s">
        <v>337</v>
      </c>
    </row>
    <row r="51" spans="1:7" x14ac:dyDescent="0.25">
      <c r="A51" s="1"/>
      <c r="D51" t="s">
        <v>352</v>
      </c>
      <c r="F51" s="1" t="s">
        <v>353</v>
      </c>
      <c r="G51" t="s">
        <v>354</v>
      </c>
    </row>
    <row r="52" spans="1:7" x14ac:dyDescent="0.25">
      <c r="A52" s="1"/>
    </row>
    <row r="53" spans="1:7" x14ac:dyDescent="0.25">
      <c r="A53" s="1"/>
      <c r="B53" t="s">
        <v>82</v>
      </c>
    </row>
    <row r="54" spans="1:7" x14ac:dyDescent="0.25">
      <c r="A54" s="1"/>
      <c r="B54" t="s">
        <v>79</v>
      </c>
    </row>
    <row r="55" spans="1:7" x14ac:dyDescent="0.25">
      <c r="A55" s="1"/>
      <c r="C55" s="17" t="s">
        <v>76</v>
      </c>
    </row>
    <row r="56" spans="1:7" x14ac:dyDescent="0.25">
      <c r="A56" s="1"/>
      <c r="C56" s="16" t="s">
        <v>77</v>
      </c>
    </row>
    <row r="57" spans="1:7" x14ac:dyDescent="0.25">
      <c r="A57" s="1"/>
      <c r="C57" s="16" t="s">
        <v>78</v>
      </c>
    </row>
    <row r="58" spans="1:7" x14ac:dyDescent="0.25">
      <c r="A58" s="1"/>
      <c r="B58" t="s">
        <v>102</v>
      </c>
      <c r="C58" s="16"/>
    </row>
    <row r="59" spans="1:7" x14ac:dyDescent="0.25">
      <c r="A59" s="1"/>
      <c r="C59" s="16" t="s">
        <v>103</v>
      </c>
    </row>
    <row r="60" spans="1:7" x14ac:dyDescent="0.25">
      <c r="A60" s="1"/>
      <c r="C60" s="16" t="s">
        <v>104</v>
      </c>
    </row>
    <row r="61" spans="1:7" x14ac:dyDescent="0.25">
      <c r="A61" s="1"/>
      <c r="C61" s="16" t="s">
        <v>105</v>
      </c>
    </row>
    <row r="62" spans="1:7" x14ac:dyDescent="0.25">
      <c r="A62" s="1"/>
      <c r="C62" s="16" t="s">
        <v>107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108</v>
      </c>
    </row>
    <row r="65" spans="1:14" x14ac:dyDescent="0.25">
      <c r="A65" s="1"/>
      <c r="C65" s="16" t="s">
        <v>106</v>
      </c>
    </row>
    <row r="66" spans="1:14" ht="21" customHeight="1" x14ac:dyDescent="0.25">
      <c r="B66" s="19" t="s">
        <v>74</v>
      </c>
    </row>
    <row r="67" spans="1:14" ht="21" customHeight="1" x14ac:dyDescent="0.25">
      <c r="B67" s="59" t="s">
        <v>226</v>
      </c>
    </row>
    <row r="68" spans="1:14" ht="15.75" thickBot="1" x14ac:dyDescent="0.3">
      <c r="C68" s="1" t="s">
        <v>68</v>
      </c>
      <c r="D68" s="1" t="s">
        <v>202</v>
      </c>
      <c r="E68" s="1" t="s">
        <v>203</v>
      </c>
      <c r="F68" s="1" t="s">
        <v>194</v>
      </c>
      <c r="G68" s="1" t="s">
        <v>195</v>
      </c>
      <c r="H68" s="1" t="s">
        <v>196</v>
      </c>
      <c r="I68" s="1" t="s">
        <v>197</v>
      </c>
      <c r="J68" s="1" t="s">
        <v>201</v>
      </c>
      <c r="K68" s="1" t="s">
        <v>204</v>
      </c>
      <c r="L68" s="1" t="s">
        <v>205</v>
      </c>
      <c r="M68" s="1" t="s">
        <v>206</v>
      </c>
      <c r="N68" s="1" t="s">
        <v>222</v>
      </c>
    </row>
    <row r="69" spans="1:14" s="15" customFormat="1" ht="21.75" customHeight="1" thickBot="1" x14ac:dyDescent="0.3">
      <c r="B69" s="49" t="s">
        <v>221</v>
      </c>
      <c r="C69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prod.Inv.CKD
{
	[Table("InvCkdPhysicalStockPartS4")]
	public class InvCkdPhysicalStockPartS4: FullAuditedEntity&lt;long&gt;, IEntity&lt;long&gt;	
	{
		public const int MaxMaterialCodeLength = 40;
		[StringLength(MaxMaterialCodeLength)]
		public virtual string MaterialCode { get; set; }
		public virtual long? PeriodId { get; set; }
		public virtual int? Qty { get; set; }
	}
}
</v>
      </c>
      <c r="D69" s="48" t="str">
        <f>A.Backend!O7</f>
        <v xml:space="preserve">		public const string Pages_Inv_CKD_PhysicalStockPartS4 = "Pages.Inv.CKD.PhysicalStockPartS4";
		public const string Pages_Inv_CKD_PhysicalStockPartS4_CreateEdit = "Pages.Inv.CKD.PhysicalStockPartS4.CreateEdit";
		public const string Pages_Inv_CKD_PhysicalStockPartS4_Delete = "Pages.Inv.CKD.PhysicalStockPartS4.Delete";
</v>
      </c>
      <c r="E69" s="48" t="str">
        <f>A.Backend!N7</f>
        <v xml:space="preserve">		var perInvCkdPhysicalStockPartS4 = PARENTS.CreateChildPermission(AppPermissions.Pages_Inv_CKD_PhysicalStockPartS4, L( "InvCKDPhysicalStockPartS4"), multiTenancySides: MultiTenancySides.Tenant);
		perInvCkdPhysicalStockPartS4.CreateChildPermission(AppPermissions.Pages_Inv_CKD_PhysicalStockPartS4_CreateEdit, L( "InvCKDPhysicalStockPartS4CreateEdit"), multiTenancySides: MultiTenancySides.Tenant);
		perInvCkdPhysicalStockPartS4.CreateChildPermission(AppPermissions.Pages_Inv_CKD_PhysicalStockPartS4_Delete, L( "InvCKDPhysicalStockPartS4Delete"), multiTenancySides: MultiTenancySides.Tenant);</v>
      </c>
      <c r="F69" s="48" t="str">
        <f>A.Backend!K7</f>
        <v>public virtual DbSet&lt;InvCkdPhysicalStockPartS4&gt; InvCkdPhysicalStockPartS4s { get; set; }</v>
      </c>
      <c r="G69" s="48" t="str">
        <f ca="1">A.Backend!L7</f>
        <v xml:space="preserve">namespace prod.Inv.CKD
{
	public class InvCkdPhysicalStockPartS4Consts	
	{
		public const int MaxMaterialCodeLength = 40;
		// Define Store Name: Format SP_ + &lt;Store Name&gt; = &lt;Store Name&gt;
	}
}
</v>
      </c>
      <c r="H69" s="48" t="str">
        <f ca="1">A.Backend!M7</f>
        <v xml:space="preserve">using Abp.Application.Services.Dto;
using System;
using System.ComponentModel.DataAnnotations;
namespace prod.Inv.CKD.Dto
{
	public class InvCkdPhysicalStockPartS4Dto : EntityDto&lt;long?&gt;	
	{
		public virtual string MaterialCode { get; set; }
		public virtual long? PeriodId { get; set; }
		public virtual int? Qty { get; set; }
	}
	public class CreateOrEditInvCkdPhysicalStockPartS4Dto : EntityDto&lt;long?&gt;	
	{
		[StringLength(InvCkdPhysicalStockPartS4Consts.MaxMaterialCodeLength)]
		public virtual string MaterialCode { get; set; }
		public virtual long? PeriodId { get; set; }
		public virtual int? Qty { get; set; }
	}
	public class GetInvCkdPhysicalStockPartS4Input : PagedAndSortedResultRequestDto	
	{
		public virtual string MaterialCode { get; set; }
	}
}
</v>
      </c>
      <c r="I69" s="48" t="str">
        <f ca="1">A.Backend!R7</f>
        <v xml:space="preserve">using Abp.Application.Services.Dto;
using System;
using System.ComponentModel.DataAnnotations;
namespace prod.Inv.CKD.Dto
{
	public class InvCkdPhysicalStockPartS4ExportInput{
		public virtual string MaterialCode { get; set; }
		public virtual long? PeriodId { get; set; }
		public virtual int? Qty { get; set; }
	}
}
</v>
      </c>
      <c r="J69" s="48" t="str">
        <f>A.Backend!P7</f>
        <v xml:space="preserve">using Abp.Application.Services;
using Abp.Application.Services.Dto;
using System.Collections.Generic;using vovina.Dto;
using System.Threading.Tasks;
using vovina.Inv.CKD.Dto;
namespace prod.Inv.CKD
{
	public interface IInvCkdPhysicalStockPartS4AppService : IApplicationService
	{
		Task&lt;PagedResultDto&lt;InvCkdPhysicalStockPartS4Dto&gt;&gt; GetAll(GetInvCkdPhysicalStockPartS4Input input);
		Task CreateOrEdit(CreateOrEditInvCkdPhysicalStockPartS4Dto input);
		Task Delete(EntityDto input);
	}
}
</v>
      </c>
      <c r="K69" s="48" t="str">
        <f>A.Backend!S7</f>
        <v xml:space="preserve">using Abp.Application.Services;
using Abp.Application.Services.Dto;
using System.Collections.Generic;using vovina.Dto;
using System.Threading.Tasks;
using vovina.Inv.CKD.Dto;
namespace prod.Inv.CKD.Exporting
{
	public interface IInvCkdPhysicalStockPartS4ExcelExporter : IApplicationService
	{
		FileDto ExportToFile(List&lt;InvCkdPhysicalStockPartS4Dto&gt; invckdphysicalstockparts4);
	}
}
</v>
      </c>
      <c r="L69" s="48" t="str">
        <f ca="1">A.Backend!T7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InvCkdPhysicalStockPartS4ExcelExporter : NpoiExcelExporterBase, IInvCkdPhysicalStockPartS4ExcelExporter
    {
        public InvCkdPhysicalStockPartS4ExcelExporter(ITempFileCacheManager tempFileCacheManager) : base(tempFileCacheManager) { }
        public FileDto ExportToFile(List&lt;InvCkdPhysicalStockPartS4Dto&gt; physicalstockparts4)
        {
            return CreateExcelPackage(
				"InventoryCKDPhysicalStockPartS4.xlsx",
				excelPackage =&gt;
				 {
					var sheet = excelPackage.CreateSheet("PhysicalStockPartS4");
					AddHeader(
								sheet,
								("MaterialCode"),
								("PeriodId"),
								("Qty"),
							   );
					AddObjects(
						 sheet, 1, physicalstockparts4,                                       
								_ =&gt; _.MaterialCode,
								_ =&gt; _.PeriodId,
								_ =&gt; _.Qty,
								);
			for (var i = 0; i &lt; 8; i++)
				{
					sheet.AutoSizeColumn(i);
				}
			});
        }
    }
}</v>
      </c>
      <c r="M69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[AbpAuthorize(AppPermissions.Pages_Inventory_CKD_PhysicalStockPartS4)]
    public class InvCkdPhysicalStockPartS4AppService : vovinaAppServiceBase, IInvCkdPhysicalStockPartS4AppService
    {
        private readonly IDapperRepository&lt;InvCkdPhysicalStockPartS4, long&gt; _dapperRepo;
        private readonly IRepository&lt;InvCkdPhysicalStockPartS4, long&gt; _repo;
        private readonly IInvCkdPhysicalStockPartS4ExcelExporter _calendarListExcelExporter;
        public InvCkdPhysicalStockPartS4AppService(IRepository&lt;InvCkdPhysicalStockPartS4,long&gt; repo, 
                                         IDapperRepository&lt;InvCkdPhysicalStockPartS4,long&gt; dapperRepo,
                                        IInvCkdPhysicalStockPartS4ExcelExporter calendarListExcelExporter
            )
        {
            _repo = repo;
            _dapperRepo = dapperRepo;
            _calendarListExcelExporter = calendarListExcelExporter;
        }
        [AbpAuthorize(AppPermissions.Pages_Inventory_CKD_PhysicalStockPartS4_CreateEdit)]
        public async Task CreateOrEdit(CreateOrEditInvCkdPhysicalStockPartS4Dto input)
        {
            if (input.Id == null) await Create(input);
            else await Update(input);
        }
        //CREATE
        private async Task Create(CreateOrEditInvCkdPhysicalStockPartS4Dto input)
        {          
            var mainObj = ObjectMapper.Map&lt;InvCkdPhysicalStockPartS4&gt;(input);
            await CurrentUnitOfWork.GetDbContext&lt;vovinaDbContext&gt;().AddAsync(mainObj);
        }
        // EDIT
        private async Task Update(CreateOrEditInvCkdPhysicalStockPartS4Dto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[AbpAuthorize(AppPermissions.Pages_Inventory_CKD_PhysicalStockPartS4_Delete)]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Task&lt;PagedResultDto&lt;InvCkdPhysicalStockPartS4Dto&gt;&gt; GetAll(GetInvCkdPhysicalStockPartS4Input input)
        {
            var filtered = _repo.GetAll()
				.WhereIf(!string.IsNullOrWhiteSpace(input.MaterialCode), e =&gt; e.MaterialCode.Contains(input.MaterialCode))
				;
            var pageAndFiltered = filtered.OrderBy(s =&gt; s.Id);
            var system = from o in pageAndFiltered
                         select new InvCkdPhysicalStockPartS4Dto
                        {
							Id = o.Id,
							MaterialCode = o.MaterialCode,
							PeriodId = o.PeriodId,
							Qty = o.Qty,
                        };
            var totalCount = await filtered.CountAsync();
			var paged = system.PageBy(input);
            return new PagedResultDto&lt;InvCkdPhysicalStockPartS4Dto&gt;(
                totalCount,
                 await paged.ToListAsync()
            );
        }
        public async Task&lt;FileDto&gt; GetPhysicalStockPartS4ToExcel(InvCkdPhysicalStockPartS4ExportInput input)
        {
            var query = from o in _repo.GetAll()
                        select new InvCkdPhysicalStockPartS4Dto
                        {
							Id = o.Id,
							MaterialCode = o.MaterialCode,
							PeriodId = o.PeriodId,
							Qty = o.Qty,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_dapperRepo.ExecuteAsync(InvCkdPhysicalStockPartS4Consts.SP_MST_WPT_CALENDAR_GENERATE);
       // }
    }
}</v>
      </c>
      <c r="N69" s="58" t="str">
        <f>A.Backend!U7</f>
        <v xml:space="preserve">  configuration.CreateMap&lt;InvCkdPhysicalStockPartS4Dto, InvCkdPhysicalStockPartS4&gt;();
  configuration.CreateMap&lt;InvCkdPhysicalStockPartS4, InvCkdPhysicalStockPartS4Dto&gt;();
  configuration.CreateMap&lt;CreateOrEditInvCkdPhysicalStockPartS4Dto, InvCkdPhysicalStockPartS4&gt;();</v>
      </c>
    </row>
    <row r="70" spans="1:14" s="15" customFormat="1" ht="21.75" customHeight="1" x14ac:dyDescent="0.25">
      <c r="C70" s="60"/>
      <c r="H70" s="61"/>
      <c r="I70" s="61"/>
      <c r="M70" s="61"/>
    </row>
    <row r="71" spans="1:14" s="15" customFormat="1" ht="21.75" customHeight="1" x14ac:dyDescent="0.25"/>
    <row r="72" spans="1:14" s="15" customFormat="1" ht="21.75" customHeight="1" x14ac:dyDescent="0.25"/>
    <row r="73" spans="1:14" x14ac:dyDescent="0.25">
      <c r="B73" s="1" t="s">
        <v>69</v>
      </c>
    </row>
    <row r="74" spans="1:14" ht="21" x14ac:dyDescent="0.35">
      <c r="B74" t="str">
        <f>B.Frontend!B8</f>
        <v>physicalstockparts4</v>
      </c>
      <c r="C74" s="67" t="str">
        <f>"create folder " &amp;B74</f>
        <v>create folder physicalstockparts4</v>
      </c>
      <c r="D74" s="67"/>
      <c r="E74" s="67"/>
      <c r="F74" s="67"/>
      <c r="G74" s="67"/>
      <c r="H74" s="67"/>
      <c r="I74" s="67"/>
      <c r="J74" s="67"/>
      <c r="K74" s="68" t="s">
        <v>223</v>
      </c>
      <c r="L74" s="68"/>
      <c r="M74" s="28"/>
    </row>
    <row r="75" spans="1:14" s="26" customFormat="1" ht="18" customHeight="1" x14ac:dyDescent="0.25">
      <c r="B75" s="56" t="s">
        <v>224</v>
      </c>
      <c r="C75" s="28" t="str">
        <f>B.Frontend!H14</f>
        <v>physicalstockparts4.component.ts</v>
      </c>
      <c r="D75" s="28" t="str">
        <f>B.Frontend!I14</f>
        <v>physicalstockparts4.component.html</v>
      </c>
      <c r="E75" s="28" t="str">
        <f>B.Frontend!J14</f>
        <v>physicalstockparts4.component.less</v>
      </c>
      <c r="F75" s="28" t="str">
        <f>B.Frontend!K14</f>
        <v>create-or-edit-physicalstockparts4-modal.component.html</v>
      </c>
      <c r="G75" s="28" t="str">
        <f>B.Frontend!L14</f>
        <v>create-or-edit-physicalstockparts4-modal.component.ts</v>
      </c>
      <c r="H75" s="28" t="str">
        <f>B.Frontend!M14</f>
        <v>create-or-edit-physicalstockparts4-modal.component.less</v>
      </c>
      <c r="I75" s="28" t="str">
        <f>B.Frontend!N14</f>
        <v>physicalstockparts4.module.ts</v>
      </c>
      <c r="J75" s="28" t="str">
        <f>B.Frontend!O14</f>
        <v>physicalstockparts4-routing.module.ts</v>
      </c>
      <c r="K75" s="28" t="str">
        <f>B.Frontend!P14</f>
        <v>app.navigation.service.ts</v>
      </c>
      <c r="L75" s="28" t="str">
        <f>B.Frontend!Q14</f>
        <v>main.routing.module.ts</v>
      </c>
      <c r="M75" s="56" t="s">
        <v>227</v>
      </c>
    </row>
    <row r="76" spans="1:14" ht="21.75" customHeight="1" x14ac:dyDescent="0.25">
      <c r="B76" s="57" t="s">
        <v>221</v>
      </c>
      <c r="C76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InvCkdPhysicalStockPartS4Dto, InvCkdPhysicalStockPartS4ServiceProxy } from '@shared/service-proxies/service-proxies';
import { finalize } from 'rxjs/internal/operators/finalize';
import { CreateOrEditPhysicalStockPartS4ModalComponent } from './create-or-edit-physicalstockparts4-modal.component';
import { DatePipe } from '@angular/common';
import { FileDownloadService } from '@shared/utils/file-download.service';
import ceil from 'lodash-es/ceil';
import { Paginator } from 'primeng/paginator';
@Component({
    templateUrl: './physicalstockparts4.component.html',
    styleUrls: ['./physicalstockparts4.component.less'],
})
export class PhysicalStockPartS4Component extends AppComponentBase implements OnInit {
    @ViewChild('createOrEditModalPhysicalStockPartS4', { static: true }) createOrEditModalPhysicalStockPartS4:| CreateOrEditPhysicalStockPartS4ModalComponent|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InvCkdPhysicalStockPartS4Dto = new InvCkdPhysicalStockPartS4Dto();
    saveSelectedRow: InvCkdPhysicalStockPartS4Dto = new InvCkdPhysicalStockPartS4Dto();
    datas: InvCkdPhysicalStockPartS4Dto = new InvCkdPhysicalStockPartS4Dto();
    isLoading: boolean = false;
    dataParams: GridParams | undefined;
    rowData: any[] = [];
    gridApi!: GridApi;
    rowSelection = 'multiple';
    filter: string = '';
	pipe = new DatePipe('en-US');
	frameworkComponents: FrameworkComponent;
    	materialCode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InvCkdPhysicalStockPartS4ServiceProxy,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this.l('Material Code'),headerTooltip: this.l('Material Code'),field: 'materialCode',flex: 1},
			{headerName: this.l('Qty'),headerTooltip: this.l('Qty'),field: 'qty',flex: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materialCode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'',
            this.paginationParams.skipCount,
            this.paginationParams.pageSize
        );
    }
    onChangeRowSelection(params: { api: { getSelectedRows: () =&gt; InvCkdPhysicalStockPartS4Dto[] } }) {
        this.saveSelectedRow = params.api.getSelectedRows()[0] ?? new InvCkdPhysicalStockPartS4Dto();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InvCkdPhysicalStockPartS4Dto):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this._service.getPhysicalStockPartS4ToExcel(
			this.,
            )
            .subscribe((result) =&gt; {
                this._fileDownloadService.downloadTempFile(result);
        });
    }
}</v>
      </c>
      <c r="D76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Physical Stock Part S4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[(ngModel)]='materialCode' name='materialCode'
									class='form-control' [placeholder]="l('Material Code')"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(click)="createOrEditModalPhysicalStockPartS4.show()"&gt;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(click)="createOrEditModalPhysicalStockPartS4.show(selectedRow)"&gt;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&lt;create-or-edit-physicalstockparts4-modal
    #createOrEditModalPhysicalStockPartS4
    (modalSave)="callBackDataGrid(dataParams)"
    (modalClose)="onChangeRowSelection(dataParams)"
&gt;
&lt;/create-or-edit-physicalstockparts4-modal&gt;</v>
      </c>
      <c r="E76" s="46" t="str">
        <f>B.Frontend!J10</f>
        <v>.input-search{
    width: 250px;
    border-radius: 10px;
    margin-left: 10px;
}
.btn-search{
    width: 50px;
    margin-left: 10px;
}</v>
      </c>
      <c r="F76" s="46" t="str">
        <f ca="1">B.Frontend!K10</f>
        <v>&lt;div bsModal #createOrEditModalPhysicalStockPartS4="bs-modal"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PhysicalStockPartS4')}}&lt;/h3&gt;
                    &lt;h3 *ngIf="!rowdata.id"&gt;{{('Create New PhysicalStockPartS4')}}&lt;/h3&gt;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title'&gt;Material Code&lt;/label&gt;
						&lt;input type='text' class='col-md-10 form-control input-text' name='MaterialCode' [(ngModel)]='rowdata.materialCode'&gt;
					&lt;/div&gt;
					&lt;div class='col-md-12 form-group row'&gt;
						&lt;label class='col-md-2 form-control title'&gt;Qty&lt;/label&gt;
						&lt;input type='number' class='col-md-10 form-control input-text' name='Qty' [(ngModel)]='rowdata.qty'&gt;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6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CreateOrEditInvCkdPhysicalStockPartS4Dto, InvCkdPhysicalStockPartS4ServiceProxy } from '@shared/service-proxies/service-proxies';
import { BsDatepickerDirective } from 'ngx-bootstrap/datepicker';
@Component({
    selector: 'create-or-edit-physicalstockparts4-modal',
    templateUrl: './create-or-edit-physicalstockparts4-modal.component.html',
    styleUrls: ['./create-or-edit-physicalstockparts4-modal.component.less']
    })
export class CreateOrEditPhysicalStockPartS4ModalComponent extends AppComponentBase {
    @ViewChild('createOrEditModalPhysicalStockPartS4',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CreateOrEditInvCkdPhysicalStockPartS4Dto = new CreateOrEditInvCkdPhysicalStockPartS4Dto();
    active: boolean = false;
    saving: boolean = false;
    _: boolean;
    constructor(
        injector: Injector,
        private _mstwptPhysicalStockPartS4Service: InvCkdPhysicalStockPartS4ServiceProxy,
    ) 
    {
        super(injector);
    }
    show(rowdata?: CreateOrEditInvCkdPhysicalStockPartS4Dto): void {
        if (!rowdata) this.rowdata = new CreateOrEditInvCkdPhysicalStockPartS4Dto();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this._mstwptPhysicalStockPartS4Service.createOrEdit(this.rowdata)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6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6" s="46" t="str">
        <f>B.Frontend!N10</f>
        <v>import {NgModule} from '@angular/core';
import {AppSharedModule} from '@app/shared/app-shared.module';
import { PhysicalStockPartS4RoutingModule } from './physicalstockparts4-routing.module';
import { PhysicalStockPartS4Component } from './physicalstockparts4.component';
import { CreateOrEditPhysicalStockPartS4ModalComponent } from './create-or-edit-physicalstockparts4-modal.component';
@NgModule({
    declarations: [
       PhysicalStockPartS4Component, 
        CreateOrEditPhysicalStockPartS4ModalComponent
    ],
    imports: [
        AppSharedModule, PhysicalStockPartS4RoutingModule]
})
export class PhysicalStockPartS4Module {}</v>
      </c>
      <c r="J76" s="46" t="str">
        <f>B.Frontend!O10</f>
        <v>import {NgModule} from '@angular/core';
import {RouterModule, Routes} from '@angular/router';
import { PhysicalStockPartS4Component } from './physicalstockparts4.component';
const routes: Routes = [{
    path: '',
    component: PhysicalStockPartS4Component,
    pathMatch: 'full'
}];
@NgModule({
    imports: [RouterModule.forChild(routes)],
    exports: [RouterModule],
})
export class PhysicalStockPartS4RoutingModule {}</v>
      </c>
      <c r="K76" s="46" t="str">
        <f>B.Frontend!P10</f>
        <v xml:space="preserve"> new AppMenuItem("PhysicalStockPartS4", "Pages.Inventory.CKD.PhysicalStockPartS4", "flaticon-book",   "/app/main/inventory/ckd/physicalstockparts4"),</v>
      </c>
      <c r="L76" s="47" t="str">
        <f>B.Frontend!Q10</f>
        <v>{
    path: 'inventory/ckd/physicalstockparts4',
    loadChildren: () =&gt; import('./inventory/ckd/physicalstockparts4/physicalstockparts4.module').then(m =&gt; m.PhysicalStockPartS4Module),
    data: { permission: 'Pages.Inventory.CKD.PhysicalStockPartS4' }
},</v>
      </c>
      <c r="M76" s="45" t="str">
        <f>B.Frontend!R10</f>
        <v>ApiServiceProxies.InvCkdPhysicalStockPartS4ServiceProxy,</v>
      </c>
    </row>
    <row r="78" spans="1:14" x14ac:dyDescent="0.25">
      <c r="B78" s="1" t="s">
        <v>71</v>
      </c>
    </row>
  </sheetData>
  <mergeCells count="2">
    <mergeCell ref="C74:J74"/>
    <mergeCell ref="K74:L7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3"/>
  <sheetViews>
    <sheetView tabSelected="1" workbookViewId="0">
      <pane xSplit="1" topLeftCell="B1" activePane="topRight" state="frozen"/>
      <selection pane="topRight" activeCell="C23" sqref="C23"/>
    </sheetView>
  </sheetViews>
  <sheetFormatPr defaultColWidth="9.140625" defaultRowHeight="15" x14ac:dyDescent="0.25"/>
  <cols>
    <col min="1" max="1" width="20.85546875" style="7" customWidth="1"/>
    <col min="2" max="2" width="26.1406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vovina.Inv.CKD.Dto;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364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362</v>
      </c>
      <c r="C3" s="9" t="s">
        <v>40</v>
      </c>
      <c r="D3" s="9" t="s">
        <v>41</v>
      </c>
      <c r="E3" s="9" t="s">
        <v>36</v>
      </c>
      <c r="F3" s="10" t="str">
        <f>"J"&amp;COUNTA($A:$A)</f>
        <v>J11</v>
      </c>
      <c r="G3" s="4" t="s">
        <v>53</v>
      </c>
      <c r="H3" s="9" t="str">
        <f>"I"&amp;COUNTA($A:$A)</f>
        <v>I11</v>
      </c>
      <c r="I3" s="9" t="str">
        <f>REPT(CHAR(9),2)&amp;"[Required]"&amp;"
"</f>
        <v xml:space="preserve">		[Required]
</v>
      </c>
      <c r="J3" s="10" t="str">
        <f>"L"&amp;COUNTA($A:$A)</f>
        <v>L11</v>
      </c>
      <c r="K3" s="5" t="s">
        <v>52</v>
      </c>
      <c r="L3" s="10" t="str">
        <f>"M"&amp;COUNTA($A:$A)</f>
        <v>M11</v>
      </c>
      <c r="M3" s="10" t="str">
        <f>"N"&amp;COUNTA($A:$A)</f>
        <v>N11</v>
      </c>
      <c r="N3" s="10" t="str">
        <f>"O"&amp;COUNTA($A:$A)</f>
        <v>O11</v>
      </c>
      <c r="O3" s="10" t="str">
        <f>"P"&amp;COUNTA($A:$A)</f>
        <v>P11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InvCkdPhysicalStockPartS4ExportInput{
</v>
      </c>
      <c r="S3" s="10" t="str">
        <f>"namespace "&amp;$B$6&amp;".Exporting
"&amp;$C$3</f>
        <v xml:space="preserve">namespace prod.Inv.CKD.Exporting
{
</v>
      </c>
      <c r="T3" s="10" t="str">
        <f>"T"&amp;COUNTA($A:$A)</f>
        <v>T11</v>
      </c>
      <c r="V3" s="10" t="str">
        <f>"V"&amp;COUNTA($A:$A)</f>
        <v>V11</v>
      </c>
      <c r="W3" s="9" t="str">
        <f>"W"&amp;COUNTA($A:$A)</f>
        <v>W11</v>
      </c>
    </row>
    <row r="4" spans="1:23" s="10" customFormat="1" ht="33" customHeight="1" x14ac:dyDescent="0.25">
      <c r="A4" s="1" t="s">
        <v>232</v>
      </c>
      <c r="B4" s="65" t="s">
        <v>318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361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prod.Inv.CKD</v>
      </c>
      <c r="C6" s="10" t="str">
        <f>"namespace "&amp;$B$6&amp;"
"&amp;$C$3</f>
        <v xml:space="preserve">namespace prod.Inv.CKD
{
</v>
      </c>
      <c r="D6" s="10" t="str">
        <f>REPT(CHAR(9),1)&amp;"public class "&amp;B3&amp;G3&amp;REPT(CHAR(9),1)&amp;"
"&amp;REPT(CHAR(9),1)&amp;C3</f>
        <v xml:space="preserve">	public class InvCkdPhysicalStockPartS4: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InvCkdPhysicalStockPartS4Consts	
	{
</v>
      </c>
      <c r="F6" s="10" t="str">
        <f>REPT(CHAR(9),1)&amp;"public class "&amp;B3&amp;"Dto"&amp;K3&amp;REPT(CHAR(9),1)&amp;"
"&amp;REPT(CHAR(9),1)&amp;C3</f>
        <v xml:space="preserve">	public class InvCkdPhysicalStockPartS4Dto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CreateOrEditInvCkdPhysicalStockPartS4Dto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GetInvCkdPhysicalStockPartS4Input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InvCkdPhysicalStockPartS4</v>
      </c>
      <c r="C7" s="10" t="str">
        <f>REPT(CHAR(9),1)&amp;"[Table("""&amp;B7&amp;""")]"&amp;"
"</f>
        <v xml:space="preserve">	[Table("InvCkdPhysicalStockPartS4")]
</v>
      </c>
      <c r="D7" s="10"/>
      <c r="E7" s="10"/>
      <c r="F7" s="10"/>
      <c r="G7" s="10"/>
      <c r="H7" s="10"/>
      <c r="I7" s="10"/>
      <c r="J7" t="str">
        <f ca="1">SUBSTITUTE(SUBSTITUTE((B1&amp;C6&amp;C7&amp;K13&amp;D6&amp;I13&amp;E3&amp;J13&amp;""&amp;REPT(CHAR(9),1)&amp;D3&amp;D3),"WorkingPattern",$Q$3),"Master",$B$4)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prod.Inv.CKD
{
	[Table("InvCkdPhysicalStockPartS4")]
	public class InvCkdPhysicalStockPartS4: FullAuditedEntity&lt;long&gt;, IEntity&lt;long&gt;	
	{
		public const int MaxMaterialCodeLength = 40;
		[StringLength(MaxMaterialCodeLength)]
		public virtual string MaterialCode { get; set; }
		public virtual long? PeriodId { get; set; }
		public virtual int? Qty { get; set; }
	}
}
</v>
      </c>
      <c r="K7" t="str">
        <f>SUBSTITUTE(SUBSTITUTE(("public virtual DbSet&lt;"&amp;B3&amp;"&gt; "&amp;B3&amp;"s { get; set; }"),"WorkingPattern",$Q$3),"Master",$B$4)</f>
        <v>public virtual DbSet&lt;InvCkdPhysicalStockPartS4&gt; InvCkdPhysicalStockPartS4s { get; set; }</v>
      </c>
      <c r="L7" t="str">
        <f ca="1">SUBSTITUTE(SUBSTITUTE((C6&amp;E6&amp;I13&amp;"
"&amp;REPT(CHAR(9),2)&amp;"// Define Store Name: Format SP_ + &lt;Store Name&gt; = &lt;Store Name&gt;
"&amp;E3&amp;REPT(CHAR(9),1)&amp;D3&amp;D3),"WorkingPattern",$Q$3),"Master",$B$4)</f>
        <v xml:space="preserve">namespace prod.Inv.CKD
{
	public class InvCkdPhysicalStockPartS4Consts	
	{
		public const int MaxMaterialCodeLength = 40;
		// Define Store Name: Format SP_ + &lt;Store Name&gt; = &lt;Store Name&gt;
	}
}
</v>
      </c>
      <c r="M7" t="str">
        <f ca="1">SUBSTITUTE(SUBSTITUTE((C1&amp;"namespace "&amp;B6&amp;".Dto"&amp;E3&amp;C3&amp;F6&amp;M13&amp;E3&amp;REPT(CHAR(9),1)&amp;D3&amp;G6&amp;N13&amp;REPT(CHAR(9),1)&amp;D3&amp;H6&amp;O13&amp;"
"&amp;REPT(CHAR(9),1)&amp;D3&amp;D3),"WorkingPattern",$Q$3),"Master",$B$4)</f>
        <v xml:space="preserve">using Abp.Application.Services.Dto;
using System;
using System.ComponentModel.DataAnnotations;
namespace prod.Inv.CKD.Dto
{
	public class InvCkdPhysicalStockPartS4Dto : EntityDto&lt;long?&gt;	
	{
		public virtual string MaterialCode { get; set; }
		public virtual long? PeriodId { get; set; }
		public virtual int? Qty { get; set; }
	}
	public class CreateOrEditInvCkdPhysicalStockPartS4Dto : EntityDto&lt;long?&gt;	
	{
		[StringLength(InvCkdPhysicalStockPartS4Consts.MaxMaterialCodeLength)]
		public virtual string MaterialCode { get; set; }
		public virtual long? PeriodId { get; set; }
		public virtual int? Qty { get; set; }
	}
	public class GetInvCkdPhysicalStockPartS4Input : PagedAndSortedResultRequestDto	
	{
		public virtual string MaterialCode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perInvCkdPhysicalStockPartS4 = PARENTS.CreateChildPermission(AppPermissions.Pages_Inv_CKD_PhysicalStockPartS4, L( "InvCKDPhysicalStockPartS4"), multiTenancySides: MultiTenancySides.Tenant);
		perInvCkdPhysicalStockPartS4.CreateChildPermission(AppPermissions.Pages_Inv_CKD_PhysicalStockPartS4_CreateEdit, L( "InvCKDPhysicalStockPartS4CreateEdit"), multiTenancySides: MultiTenancySides.Tenant);
		perInvCkdPhysicalStockPartS4.CreateChildPermission(AppPermissions.Pages_Inv_CKD_PhysicalStockPartS4_Delete, L( "InvCKDPhysicalStockPartS4Delete"),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Pages_Inv_CKD_PhysicalStockPartS4 = "Pages.Inv.CKD.PhysicalStockPartS4";
		public const string Pages_Inv_CKD_PhysicalStockPartS4_CreateEdit = "Pages.Inv.CKD.PhysicalStockPartS4.CreateEdit";
		public const string Pages_Inv_CKD_PhysicalStockPartS4_Delete = "Pages.Inv.CKD.PhysicalStockPartS4.Delete";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vovina.Inv.CKD.Dto;
namespace prod.Inv.CKD
{
	public interface IInvCkdPhysicalStockPartS4AppService : IApplicationService
	{
		Task&lt;PagedResultDto&lt;InvCkdPhysicalStockPartS4Dto&gt;&gt; GetAll(GetInvCkdPhysicalStockPartS4Input input);
		Task CreateOrEdit(CreateOrEditInvCkdPhysicalStockPartS4Dto input);
		Task Delete(EntityDto input);
	}
}
</v>
      </c>
      <c r="Q7" t="str">
        <f ca="1">SUBSTITUTE(SUBSTITUTE(SUBSTITUTE(SUBSTITUTE(SUBSTITUTE(SUBSTITUTE(E1,"MstWptCalendar",$B$3),"&lt;PROPERTIES&gt;",P13),"Calendar",$B$5),"WorkingPattern",$Q$3),"Master",$B$4),"&lt;PARAMS_SEARCH&gt;",$W$13)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[AbpAuthorize(AppPermissions.Pages_Inventory_CKD_PhysicalStockPartS4)]
    public class InvCkdPhysicalStockPartS4AppService : vovinaAppServiceBase, IInvCkdPhysicalStockPartS4AppService
    {
        private readonly IDapperRepository&lt;InvCkdPhysicalStockPartS4, long&gt; _dapperRepo;
        private readonly IRepository&lt;InvCkdPhysicalStockPartS4, long&gt; _repo;
        private readonly IInvCkdPhysicalStockPartS4ExcelExporter _calendarListExcelExporter;
        public InvCkdPhysicalStockPartS4AppService(IRepository&lt;InvCkdPhysicalStockPartS4,long&gt; repo, 
                                         IDapperRepository&lt;InvCkdPhysicalStockPartS4,long&gt; dapperRepo,
                                        IInvCkdPhysicalStockPartS4ExcelExporter calendarListExcelExporter
            )
        {
            _repo = repo;
            _dapperRepo = dapperRepo;
            _calendarListExcelExporter = calendarListExcelExporter;
        }
        [AbpAuthorize(AppPermissions.Pages_Inventory_CKD_PhysicalStockPartS4_CreateEdit)]
        public async Task CreateOrEdit(CreateOrEditInvCkdPhysicalStockPartS4Dto input)
        {
            if (input.Id == null) await Create(input);
            else await Update(input);
        }
        //CREATE
        private async Task Create(CreateOrEditInvCkdPhysicalStockPartS4Dto input)
        {          
            var mainObj = ObjectMapper.Map&lt;InvCkdPhysicalStockPartS4&gt;(input);
            await CurrentUnitOfWork.GetDbContext&lt;vovinaDbContext&gt;().AddAsync(mainObj);
        }
        // EDIT
        private async Task Update(CreateOrEditInvCkdPhysicalStockPartS4Dto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[AbpAuthorize(AppPermissions.Pages_Inventory_CKD_PhysicalStockPartS4_Delete)]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Task&lt;PagedResultDto&lt;InvCkdPhysicalStockPartS4Dto&gt;&gt; GetAll(GetInvCkdPhysicalStockPartS4Input input)
        {
            var filtered = _repo.GetAll()
				.WhereIf(!string.IsNullOrWhiteSpace(input.MaterialCode), e =&gt; e.MaterialCode.Contains(input.MaterialCode))
				;
            var pageAndFiltered = filtered.OrderBy(s =&gt; s.Id);
            var system = from o in pageAndFiltered
                         select new InvCkdPhysicalStockPartS4Dto
                        {
							Id = o.Id,
							MaterialCode = o.MaterialCode,
							PeriodId = o.PeriodId,
							Qty = o.Qty,
                        };
            var totalCount = await filtered.CountAsync();
			var paged = system.PageBy(input);
            return new PagedResultDto&lt;InvCkdPhysicalStockPartS4Dto&gt;(
                totalCount,
                 await paged.ToListAsync()
            );
        }
        public async Task&lt;FileDto&gt; GetPhysicalStockPartS4ToExcel(InvCkdPhysicalStockPartS4ExportInput input)
        {
            var query = from o in _repo.GetAll()
                        select new InvCkdPhysicalStockPartS4Dto
                        {
							Id = o.Id,
							MaterialCode = o.MaterialCode,
							PeriodId = o.PeriodId,
							Qty = o.Qty,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_dapperRepo.ExecuteAsync(InvCkdPhysicalStockPartS4Consts.SP_MST_WPT_CALENDAR_GENERATE);
       // }
    }
}</v>
      </c>
      <c r="R7" t="str">
        <f ca="1">SUBSTITUTE(SUBSTITUTE((C1&amp;"namespace "&amp;B6&amp;".Dto"&amp;E3&amp;C3&amp;R3&amp;M13&amp;E3&amp;REPT(CHAR(9),1)&amp;D3&amp;D3),"WorkingPattern",$Q$3),"Master",$B$4)</f>
        <v xml:space="preserve">using Abp.Application.Services.Dto;
using System;
using System.ComponentModel.DataAnnotations;
namespace prod.Inv.CKD.Dto
{
	public class InvCkdPhysicalStockPartS4ExportInput{
		public virtual string MaterialCode { get; set; }
		public virtual long? PeriodId { get; set; }
		public virtual int? Qty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vovina.Inv.CKD.Dto;
namespace prod.Inv.CKD.Exporting
{
	public interface IInvCkdPhysicalStockPartS4ExcelExporter : IApplicationService
	{
		FileDto ExportToFile(List&lt;InvCkdPhysicalStockPartS4Dto&gt; invckdphysicalstockparts4);
	}
}
</v>
      </c>
      <c r="T7" s="26" t="str">
        <f ca="1">SUBSTITUTE(SUBSTITUTE(SUBSTITUTE(SUBSTITUTE(SUBSTITUTE(SUBSTITUTE(SUBSTITUTE(T1,"MstWptCalendar",$B$3),"&lt;PROPERTIES1&gt;",V13),"&lt;PROPERTIES&gt;",T13),"Calendar",$B$5),"calendar",LOWER(B5)),"WorkingPattern",$Q$3),"Master",$B$4)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InvCkdPhysicalStockPartS4ExcelExporter : NpoiExcelExporterBase, IInvCkdPhysicalStockPartS4ExcelExporter
    {
        public InvCkdPhysicalStockPartS4ExcelExporter(ITempFileCacheManager tempFileCacheManager) : base(tempFileCacheManager) { }
        public FileDto ExportToFile(List&lt;InvCkdPhysicalStockPartS4Dto&gt; physicalstockparts4)
        {
            return CreateExcelPackage(
				"InventoryCKDPhysicalStockPartS4.xlsx",
				excelPackage =&gt;
				 {
					var sheet = excelPackage.CreateSheet("PhysicalStockPartS4");
					AddHeader(
								sheet,
								("MaterialCode"),
								("PeriodId"),
								("Qty"),
							   );
					AddObjects(
						 sheet, 1, physicalstockparts4,                                       
								_ =&gt; _.MaterialCode,
								_ =&gt; _.PeriodId,
								_ =&gt; _.Qty,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configuration.CreateMap&lt;InvCkdPhysicalStockPartS4Dto, InvCkdPhysicalStockPartS4&gt;();
  configuration.CreateMap&lt;InvCkdPhysicalStockPartS4, InvCkdPhysicalStockPartS4Dto&gt;();
  configuration.CreateMap&lt;CreateOrEditInvCkdPhysicalStockPartS4Dto, InvCkdPhysicalStockPartS4&gt;();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359</v>
      </c>
      <c r="B9" s="28" t="s">
        <v>351</v>
      </c>
      <c r="C9" t="s">
        <v>1</v>
      </c>
      <c r="D9" t="str">
        <f t="shared" ref="D9" si="0">SUBSTITUTE(PROPER(A9),"_","")</f>
        <v>MaterialCode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40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MaxMaterialCodeLength = 40;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[StringLength(MaxMaterialCodeLength)]
		public virtual string MaterialCode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MaterialCode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[StringLength(InvCkdPhysicalStockPartS4Consts.MaxMaterialCodeLength)]
		public virtual string MaterialCode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MaterialCode { get; set; }
</v>
      </c>
      <c r="P9" t="str">
        <f t="shared" ref="P9" si="9">REPT(CHAR(9),7)&amp;D9&amp;" = o." &amp;D9 &amp;","</f>
        <v xml:space="preserve">							MaterialCode = o.MaterialCode,</v>
      </c>
      <c r="T9" s="63" t="str">
        <f t="shared" ref="T9" si="10">REPT(CHAR(9),8)&amp;"("""&amp;D9&amp;"""),"</f>
        <v xml:space="preserve">								("MaterialCode"),</v>
      </c>
      <c r="V9" s="64" t="str">
        <f t="shared" ref="V9" si="11">REPT(CHAR(9),8)&amp;"_ =&gt; _."&amp;D9&amp;","</f>
        <v xml:space="preserve">								_ =&gt; _.MaterialCode,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.WhereIf(!string.IsNullOrWhiteSpace(input.MaterialCode), e =&gt; e.MaterialCode.Contains(input.MaterialCode))</v>
      </c>
    </row>
    <row r="10" spans="1:23" customFormat="1" ht="18.75" customHeight="1" x14ac:dyDescent="0.25">
      <c r="A10" s="28" t="s">
        <v>365</v>
      </c>
      <c r="B10" s="28" t="s">
        <v>0</v>
      </c>
      <c r="C10" t="s">
        <v>1</v>
      </c>
      <c r="D10" t="str">
        <f t="shared" ref="D10" si="13">SUBSTITUTE(PROPER(A10),"_","")</f>
        <v>PeriodId</v>
      </c>
      <c r="E10" t="str">
        <f t="shared" ref="E10" si="14">IFERROR(LEFT(B10, FIND("(",B10)-1),B10)</f>
        <v>bigint</v>
      </c>
      <c r="F10" s="6"/>
      <c r="G10" t="str">
        <f t="shared" ref="G10" si="15">IFERROR(MID(B10,FIND("(",B10) +1, FIND(")",B10) - FIND("(",B10) - 1),"")</f>
        <v/>
      </c>
      <c r="H10" t="str">
        <f>+VLOOKUP(E10,'Data Type Mapping'!A:B,2,)</f>
        <v>long?</v>
      </c>
      <c r="I10" t="str">
        <f t="shared" ref="I10" si="16">IF(H10="string",REPT(CHAR(9),2)&amp;"public const int Max"&amp;D10&amp;"Length = "&amp;G10&amp;";"&amp;$E$3,"" )</f>
        <v/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public virtual long? PeriodId { get; set; }
</v>
      </c>
      <c r="K10" s="6"/>
      <c r="L10" t="str">
        <f t="shared" ref="L10" si="18">IF(K10="","",REPT(CHAR(9),1)&amp;"[Index(nameof("&amp;IF(D10="","",""&amp;D10)&amp;")"&amp;", Name="&amp;"""IX_"&amp;$B$7&amp;"_"&amp;D10&amp;""")]")</f>
        <v/>
      </c>
      <c r="M10" t="str">
        <f t="shared" ref="M10" si="19">REPT(CHAR(9),2)&amp;"public virtual "&amp;IF(OR(H10="DateTime",H10="TimeSpan"),H10&amp;"?",H10)&amp;IF(C10="?","? "," ")&amp;D10&amp;" { get; set; }" &amp; "
"</f>
        <v xml:space="preserve">		public virtual long? PeriodId { get; set; }
</v>
      </c>
      <c r="N10" t="str">
        <f t="shared" ref="N10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long? PeriodId { get; set; }
</v>
      </c>
      <c r="O10" t="str">
        <f t="shared" ref="O10" si="21">IF(OR(H10="string",H10="DateTime",H10="int"),REPT(CHAR(9),2)&amp;"public virtual "&amp;IF(OR(H10="DateTime",H10="TimeSpan"),H10&amp;"?",H10)&amp;IF(C10="?","? "," ")&amp;D10&amp;" { get; set; }"&amp;$E$3,"")</f>
        <v/>
      </c>
      <c r="P10" t="str">
        <f t="shared" ref="P10" si="22">REPT(CHAR(9),7)&amp;D10&amp;" = o." &amp;D10 &amp;","</f>
        <v xml:space="preserve">							PeriodId = o.PeriodId,</v>
      </c>
      <c r="T10" s="63" t="str">
        <f t="shared" ref="T10" si="23">REPT(CHAR(9),8)&amp;"("""&amp;D10&amp;"""),"</f>
        <v xml:space="preserve">								("PeriodId"),</v>
      </c>
      <c r="V10" s="64" t="str">
        <f t="shared" ref="V10" si="24">REPT(CHAR(9),8)&amp;"_ =&gt; _."&amp;D10&amp;","</f>
        <v xml:space="preserve">								_ =&gt; _.PeriodId,</v>
      </c>
      <c r="W10" s="63" t="str">
        <f t="shared" ref="W10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/>
      </c>
    </row>
    <row r="11" spans="1:23" customFormat="1" ht="18.75" customHeight="1" x14ac:dyDescent="0.25">
      <c r="A11" s="28" t="s">
        <v>360</v>
      </c>
      <c r="B11" s="28" t="s">
        <v>4</v>
      </c>
      <c r="C11" t="s">
        <v>1</v>
      </c>
      <c r="D11" t="str">
        <f t="shared" ref="D11" si="26">SUBSTITUTE(PROPER(A11),"_","")</f>
        <v>Qty</v>
      </c>
      <c r="E11" t="str">
        <f t="shared" ref="E11" si="27">IFERROR(LEFT(B11, FIND("(",B11)-1),B11)</f>
        <v>int</v>
      </c>
      <c r="F11" s="6"/>
      <c r="G11" t="str">
        <f t="shared" ref="G11" si="28">IFERROR(MID(B11,FIND("(",B11) +1, FIND(")",B11) - FIND("(",B11) - 1),"")</f>
        <v/>
      </c>
      <c r="H11" t="str">
        <f>+VLOOKUP(E11,'Data Type Mapping'!A:B,2,)</f>
        <v>int?</v>
      </c>
      <c r="I11" t="str">
        <f t="shared" ref="I11" si="29">IF(H11="string",REPT(CHAR(9),2)&amp;"public const int Max"&amp;D11&amp;"Length = "&amp;G11&amp;";"&amp;$E$3,"" )</f>
        <v/>
      </c>
      <c r="J11" t="str">
        <f t="shared" ref="J11" si="30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public virtual int? Qty { get; set; }
</v>
      </c>
      <c r="K11" s="6"/>
      <c r="L11" t="str">
        <f t="shared" ref="L11" si="31">IF(K11="","",REPT(CHAR(9),1)&amp;"[Index(nameof("&amp;IF(D11="","",""&amp;D11)&amp;")"&amp;", Name="&amp;"""IX_"&amp;$B$7&amp;"_"&amp;D11&amp;""")]")</f>
        <v/>
      </c>
      <c r="M11" t="str">
        <f t="shared" ref="M11" si="32">REPT(CHAR(9),2)&amp;"public virtual "&amp;IF(OR(H11="DateTime",H11="TimeSpan"),H11&amp;"?",H11)&amp;IF(C11="?","? "," ")&amp;D11&amp;" { get; set; }" &amp; "
"</f>
        <v xml:space="preserve">		public virtual int? Qty { get; set; }
</v>
      </c>
      <c r="N11" t="str">
        <f t="shared" ref="N11" si="33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public virtual int? Qty { get; set; }
</v>
      </c>
      <c r="O11" t="str">
        <f t="shared" ref="O11" si="34">IF(OR(H11="string",H11="DateTime",H11="int"),REPT(CHAR(9),2)&amp;"public virtual "&amp;IF(OR(H11="DateTime",H11="TimeSpan"),H11&amp;"?",H11)&amp;IF(C11="?","? "," ")&amp;D11&amp;" { get; set; }"&amp;$E$3,"")</f>
        <v/>
      </c>
      <c r="P11" t="str">
        <f t="shared" ref="P11" si="35">REPT(CHAR(9),7)&amp;D11&amp;" = o." &amp;D11 &amp;","</f>
        <v xml:space="preserve">							Qty = o.Qty,</v>
      </c>
      <c r="T11" s="63" t="str">
        <f t="shared" ref="T11" si="36">REPT(CHAR(9),8)&amp;"("""&amp;D11&amp;"""),"</f>
        <v xml:space="preserve">								("Qty"),</v>
      </c>
      <c r="V11" s="64" t="str">
        <f t="shared" ref="V11" si="37">REPT(CHAR(9),8)&amp;"_ =&gt; _."&amp;D11&amp;","</f>
        <v xml:space="preserve">								_ =&gt; _.Qty,</v>
      </c>
      <c r="W11" s="63" t="str">
        <f t="shared" ref="W11" si="38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/>
      </c>
    </row>
    <row r="13" spans="1:23" ht="45.75" customHeight="1" x14ac:dyDescent="0.25">
      <c r="H13" s="11"/>
      <c r="I13" s="31" t="str">
        <f ca="1">TEXTJOIN2("
", TRUE,INDIRECT( $H$1):INDIRECT( $H$3))</f>
        <v xml:space="preserve">		public const int MaxMaterialCodeLength = 40;
</v>
      </c>
      <c r="J13" s="30" t="str">
        <f ca="1">TEXTJOIN2("
", TRUE,INDIRECT( $F$1):INDIRECT( $F$3))</f>
        <v xml:space="preserve">		[StringLength(MaxMaterialCodeLength)]
		public virtual string MaterialCode { get; set; }
		public virtual long? PeriodId { get; set; }
		public virtual int? Qty { get; set; }
</v>
      </c>
      <c r="K13" s="32" t="str">
        <f ca="1">TEXTJOIN2("
", TRUE,INDIRECT( $J$1):INDIRECT( $J$3))</f>
        <v/>
      </c>
      <c r="L13" s="12" t="s">
        <v>56</v>
      </c>
      <c r="M13" s="33" t="str">
        <f ca="1">TEXTJOIN2("
",TRUE,INDIRECT( $L$1):INDIRECT($L$3))</f>
        <v xml:space="preserve">		public virtual string MaterialCode { get; set; }
		public virtual long? PeriodId { get; set; }
		public virtual int? Qty { get; set; }
</v>
      </c>
      <c r="N13" s="30" t="str">
        <f ca="1">TEXTJOIN2("
",TRUE,INDIRECT( $M$1):INDIRECT($M$3))</f>
        <v xml:space="preserve">		[StringLength(InvCkdPhysicalStockPartS4Consts.MaxMaterialCodeLength)]
		public virtual string MaterialCode { get; set; }
		public virtual long? PeriodId { get; set; }
		public virtual int? Qty { get; set; }
</v>
      </c>
      <c r="O13" s="30" t="str">
        <f ca="1">TEXTJOIN2("
",TRUE,INDIRECT( $N$1):INDIRECT($N$3))</f>
        <v xml:space="preserve">		public virtual string MaterialCode { get; set; }
</v>
      </c>
      <c r="P13" s="8" t="str">
        <f ca="1">TEXTJOIN2("
",TRUE,INDIRECT( $O$1):INDIRECT($O$3))</f>
        <v xml:space="preserve">							MaterialCode = o.MaterialCode,
							PeriodId = o.PeriodId,
							Qty = o.Qty,</v>
      </c>
      <c r="T13" s="8" t="str">
        <f ca="1">TEXTJOIN2("
",TRUE,INDIRECT( $T$2):INDIRECT($T$3))</f>
        <v xml:space="preserve">								("MaterialCode"),
								("PeriodId"),
								("Qty"),</v>
      </c>
      <c r="V13" s="8" t="str">
        <f ca="1">TEXTJOIN2("
",TRUE,INDIRECT( $V$2):INDIRECT($V$3))</f>
        <v xml:space="preserve">								_ =&gt; _.MaterialCode,
								_ =&gt; _.PeriodId,
								_ =&gt; _.Qty,</v>
      </c>
      <c r="W13" s="8" t="str">
        <f ca="1">TEXTJOIN2("
",TRUE,INDIRECT( $W$2):INDIRECT($W$3))</f>
        <v xml:space="preserve">				.WhereIf(!string.IsNullOrWhiteSpace(input.MaterialCode), e =&gt; e.MaterialCode.Contains(input.MaterialCode))
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8"/>
  <sheetViews>
    <sheetView topLeftCell="A6" workbookViewId="0">
      <selection activeCell="B34" sqref="B34:B38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207</v>
      </c>
      <c r="B1" s="39" t="s">
        <v>363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InvCkdPhysicalStockPartS4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PhysicalStockPartS4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physicalstockparts4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InvCkdPhysicalStockPartS4Dto, InvCkdPhysicalStockPartS4ServiceProxy } from '@shared/service-proxies/service-proxies';
import { finalize } from 'rxjs/internal/operators/finalize';
import { CreateOrEditPhysicalStockPartS4ModalComponent } from './create-or-edit-physicalstockparts4-modal.component';
import { DatePipe } from '@angular/common';
import { FileDownloadService } from '@shared/utils/file-download.service';
import ceil from 'lodash-es/ceil';
import { Paginator } from 'primeng/paginator';
@Component({
    templateUrl: './physicalstockparts4.component.html',
    styleUrls: ['./physicalstockparts4.component.less'],
})
export class PhysicalStockPartS4Component extends AppComponentBase implements OnInit {
    @ViewChild('createOrEditModalPhysicalStockPartS4', { static: true }) createOrEditModalPhysicalStockPartS4:| CreateOrEditPhysicalStockPartS4ModalComponent|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InvCkdPhysicalStockPartS4Dto = new InvCkdPhysicalStockPartS4Dto();
    saveSelectedRow: InvCkdPhysicalStockPartS4Dto = new InvCkdPhysicalStockPartS4Dto();
    datas: InvCkdPhysicalStockPartS4Dto = new InvCkdPhysicalStockPartS4Dto();
    isLoading: boolean = false;
    dataParams: GridParams | undefined;
    rowData: any[] = [];
    gridApi!: GridApi;
    rowSelection = 'multiple';
    filter: string = '';
	pipe = new DatePipe('en-US');
	frameworkComponents: FrameworkComponent;
    	materialCode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InvCkdPhysicalStockPartS4ServiceProxy,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this.l('Material Code'),headerTooltip: this.l('Material Code'),field: 'materialCode',flex: 1},
			{headerName: this.l('Qty'),headerTooltip: this.l('Qty'),field: 'qty',flex: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materialCode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'',
            this.paginationParams.skipCount,
            this.paginationParams.pageSize
        );
    }
    onChangeRowSelection(params: { api: { getSelectedRows: () =&gt; InvCkdPhysicalStockPartS4Dto[] } }) {
        this.saveSelectedRow = params.api.getSelectedRows()[0] ?? new InvCkdPhysicalStockPartS4Dto();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InvCkdPhysicalStockPartS4Dto):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this._service.getPhysicalStockPartS4ToExcel(
			this.,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Physical Stock Part S4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[(ngModel)]='materialCode' name='materialCode'
									class='form-control' [placeholder]="l('Material Code')"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(click)="createOrEditModalPhysicalStockPartS4.show()"&gt;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(click)="createOrEditModalPhysicalStockPartS4.show(selectedRow)"&gt;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&lt;create-or-edit-physicalstockparts4-modal
    #createOrEditModalPhysicalStockPartS4
    (modalSave)="callBackDataGrid(dataParams)"
    (modalClose)="onChangeRowSelection(dataParams)"
&gt;
&lt;/create-or-edit-physicalstockparts4-modal&gt;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#createOrEditModalPhysicalStockPartS4="bs-modal"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PhysicalStockPartS4')}}&lt;/h3&gt;
                    &lt;h3 *ngIf="!rowdata.id"&gt;{{('Create New PhysicalStockPartS4')}}&lt;/h3&gt;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title'&gt;Material Code&lt;/label&gt;
						&lt;input type='text' class='col-md-10 form-control input-text' name='MaterialCode' [(ngModel)]='rowdata.materialCode'&gt;
					&lt;/div&gt;
					&lt;div class='col-md-12 form-group row'&gt;
						&lt;label class='col-md-2 form-control title'&gt;Qty&lt;/label&gt;
						&lt;input type='number' class='col-md-10 form-control input-text' name='Qty' [(ngModel)]='rowdata.qty'&gt;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CreateOrEditInvCkdPhysicalStockPartS4Dto, InvCkdPhysicalStockPartS4ServiceProxy } from '@shared/service-proxies/service-proxies';
import { BsDatepickerDirective } from 'ngx-bootstrap/datepicker';
@Component({
    selector: 'create-or-edit-physicalstockparts4-modal',
    templateUrl: './create-or-edit-physicalstockparts4-modal.component.html',
    styleUrls: ['./create-or-edit-physicalstockparts4-modal.component.less']
    })
export class CreateOrEditPhysicalStockPartS4ModalComponent extends AppComponentBase {
    @ViewChild('createOrEditModalPhysicalStockPartS4',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CreateOrEditInvCkdPhysicalStockPartS4Dto = new CreateOrEditInvCkdPhysicalStockPartS4Dto();
    active: boolean = false;
    saving: boolean = false;
    _: boolean;
    constructor(
        injector: Injector,
        private _mstwptPhysicalStockPartS4Service: InvCkdPhysicalStockPartS4ServiceProxy,
    ) 
    {
        super(injector);
    }
    show(rowdata?: CreateOrEditInvCkdPhysicalStockPartS4Dto): void {
        if (!rowdata) this.rowdata = new CreateOrEditInvCkdPhysicalStockPartS4Dto();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this._mstwptPhysicalStockPartS4Service.createOrEdit(this.rowdata)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PhysicalStockPartS4RoutingModule } from './physicalstockparts4-routing.module';
import { PhysicalStockPartS4Component } from './physicalstockparts4.component';
import { CreateOrEditPhysicalStockPartS4ModalComponent } from './create-or-edit-physicalstockparts4-modal.component';
@NgModule({
    declarations: [
       PhysicalStockPartS4Component, 
        CreateOrEditPhysicalStockPartS4ModalComponent
    ],
    imports: [
        AppSharedModule, PhysicalStockPartS4RoutingModule]
})
export class PhysicalStockPartS4Module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PhysicalStockPartS4Component } from './physicalstockparts4.component';
const routes: Routes = [{
    path: '',
    component: PhysicalStockPartS4Component,
    pathMatch: 'full'
}];
@NgModule({
    imports: [RouterModule.forChild(routes)],
    exports: [RouterModule],
})
export class PhysicalStockPartS4RoutingModule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AppMenuItem("PhysicalStockPartS4", "Pages.Inventory.CKD.PhysicalStockPartS4", "flaticon-book",   "/app/main/inventory/ckd/physicalstockparts4"),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'inventory/ckd/physicalstockparts4',
    loadChildren: () =&gt; import('./inventory/ckd/physicalstockparts4/physicalstockparts4.module').then(m =&gt; m.PhysicalStockPartS4Module),
    data: { permission: 'Pages.Inventory.CKD.PhysicalStockPartS4' }
},</v>
      </c>
      <c r="R10" s="47" t="str">
        <f>SUBSTITUTE(R9,"MstWptCalendar",$B$6)</f>
        <v>ApiServiceProxies.InvCkdPhysicalStockPartS4ServiceProxy,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H16</v>
      </c>
      <c r="I12" s="28" t="str">
        <f>"I"&amp;COUNTA($A:$A)</f>
        <v>I16</v>
      </c>
      <c r="J12" s="28"/>
      <c r="K12" s="28" t="str">
        <f>"K"&amp;COUNTA($A:$A)</f>
        <v>K16</v>
      </c>
      <c r="L12" s="28" t="str">
        <f>"L"&amp;COUNTA($A:$A)</f>
        <v>L16</v>
      </c>
      <c r="M12" s="28"/>
      <c r="N12" s="28"/>
      <c r="O12" s="28"/>
      <c r="P12" s="28"/>
      <c r="Q12" s="28"/>
      <c r="R12" s="28"/>
      <c r="S12" s="28" t="str">
        <f>"S"&amp;COUNTA($A:$A)</f>
        <v>S16</v>
      </c>
      <c r="T12" s="28" t="str">
        <f>"T"&amp;COUNTA($A:$A)</f>
        <v>T16</v>
      </c>
      <c r="U12" s="28" t="str">
        <f>"U"&amp;COUNTA($A:$A)</f>
        <v>U16</v>
      </c>
      <c r="V12" s="28" t="str">
        <f>"V"&amp;COUNTA($A:$A)</f>
        <v>V16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this.l('Material Code'),headerTooltip: this.l('Material Code'),field: 'materialCode',flex: 1},
			{headerName: this.l('Qty'),headerTooltip: this.l('Qty'),field: 'qty',flex: 1},</v>
      </c>
      <c r="I13" s="35" t="str">
        <f ca="1">TEXTJOIN2("
",TRUE,INDIRECT(I11):INDIRECT(I12))</f>
        <v xml:space="preserve">								&lt;div class='input-search'&gt;
									&lt;input [(ngModel)]='materialCode' name='materialCode'
									class='form-control' [placeholder]="l('Material Code')"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title'&gt;Material Code&lt;/label&gt;
						&lt;input type='text' class='col-md-10 form-control input-text' name='MaterialCode' [(ngModel)]='rowdata.materialCode'&gt;
					&lt;/div&gt;
					&lt;div class='col-md-12 form-group row'&gt;
						&lt;label class='col-md-2 form-control title'&gt;Qty&lt;/label&gt;
						&lt;input type='number' class='col-md-10 form-control input-text' name='Qty' [(ngModel)]='rowdata.qty'&gt;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materialCode : string = '' ; 
</v>
      </c>
      <c r="T13" s="62" t="str">
        <f ca="1">TEXTJOIN2("
",TRUE,INDIRECT(T11):INDIRECT(T12))</f>
        <v xml:space="preserve">			this.,
</v>
      </c>
      <c r="U13" s="62" t="str">
        <f ca="1">TEXTJOIN2("
",TRUE,INDIRECT(U11):INDIRECT(U12))</f>
        <v xml:space="preserve">	materialCode : string = '' ; 
</v>
      </c>
      <c r="V13" s="28" t="str">
        <f ca="1">TEXTJOIN2("
",TRUE,INDIRECT(V11):INDIRECT(V12))</f>
        <v/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physicalstockparts4.component.ts</v>
      </c>
      <c r="I14" s="37" t="str">
        <f>B8&amp;".component.html"</f>
        <v>physicalstockparts4.component.html</v>
      </c>
      <c r="J14" s="36" t="str">
        <f>B8&amp;".component.less"</f>
        <v>physicalstockparts4.component.less</v>
      </c>
      <c r="K14" s="37" t="str">
        <f>"create-or-edit-"&amp;B8&amp;"-modal.component.html"</f>
        <v>create-or-edit-physicalstockparts4-modal.component.html</v>
      </c>
      <c r="L14" s="37" t="str">
        <f>"create-or-edit-"&amp;B8&amp;"-modal.component.ts"</f>
        <v>create-or-edit-physicalstockparts4-modal.component.ts</v>
      </c>
      <c r="M14" s="37" t="str">
        <f>"create-or-edit-"&amp;B8&amp;"-modal.component.less"</f>
        <v>create-or-edit-physicalstockparts4-modal.component.less</v>
      </c>
      <c r="N14" s="37" t="str">
        <f>B8&amp;".module.ts"</f>
        <v>physicalstockparts4.module.ts</v>
      </c>
      <c r="O14" s="37" t="str">
        <f>B8&amp;"-routing.module.ts"</f>
        <v>physicalstockparts4-routing.module.ts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t="s">
        <v>359</v>
      </c>
      <c r="B15" s="28" t="str">
        <f t="shared" ref="B15" si="0">SUBSTITUTE(PROPER(A15),"_","")</f>
        <v>MaterialCode</v>
      </c>
      <c r="C15" s="28" t="str">
        <f t="shared" ref="C15" si="1">SUBSTITUTE(PROPER(A15),"_"," ")</f>
        <v>Material Code</v>
      </c>
      <c r="D15" s="28" t="str">
        <f t="shared" ref="D15" si="2">LOWER(LEFT(B15,1))&amp;RIGHT(B15,LEN(B15) - 1)</f>
        <v>materialCode</v>
      </c>
      <c r="E15" s="28" t="str">
        <f>A.Backend!H9</f>
        <v>string</v>
      </c>
      <c r="F15" s="28" t="str">
        <f>A.Backend!G9</f>
        <v>40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this.l('Material Code'),headerTooltip: this.l('Material Code'),field: 'materialCode',flex: 1},</v>
      </c>
      <c r="I15" s="35" t="str">
        <f t="shared" ref="I15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[(ngModel)]='materialCode' name='materialCode'
									class='form-control' [placeholder]="l('Material Code')"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title'&gt;Material Code&lt;/label&gt;
						&lt;input type='text' class='col-md-10 form-control input-text' name='MaterialCode' [(ngModel)]='rowdata.materialCode'&gt;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materialCode : string = '' ; </v>
      </c>
      <c r="T15" s="28" t="str">
        <f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materialCode : string = '' ; </v>
      </c>
      <c r="V15" s="28" t="str">
        <f t="shared" ref="V15" si="7">IF(AND(E15="string",F15="1"),D15,"")</f>
        <v/>
      </c>
    </row>
    <row r="16" spans="1:22" ht="18" customHeight="1" x14ac:dyDescent="0.25">
      <c r="A16" s="66" t="s">
        <v>360</v>
      </c>
      <c r="B16" s="28" t="str">
        <f t="shared" ref="B16" si="8">SUBSTITUTE(PROPER(A16),"_","")</f>
        <v>Qty</v>
      </c>
      <c r="C16" s="28" t="str">
        <f t="shared" ref="C16" si="9">SUBSTITUTE(PROPER(A16),"_"," ")</f>
        <v>Qty</v>
      </c>
      <c r="D16" s="28" t="str">
        <f t="shared" ref="D16" si="10">LOWER(LEFT(B16,1))&amp;RIGHT(B16,LEN(B16) - 1)</f>
        <v>qty</v>
      </c>
      <c r="E16" s="28" t="str">
        <f>A.Backend!H11</f>
        <v>int?</v>
      </c>
      <c r="F16" s="28" t="str">
        <f>A.Backend!G11</f>
        <v/>
      </c>
      <c r="G16" s="28" t="str">
        <f t="shared" ref="G16" si="11">IF(E16="string"," : string = '' ; ",IF(OR(E16="DateTime",E16="TimeSpan")," : any ;",IF(E16="int"," : number = 0 ;","")))</f>
        <v/>
      </c>
      <c r="H16" s="35" t="str">
        <f t="shared" ref="H16" si="12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this.l('Qty'),headerTooltip: this.l('Qty'),field: 'qty',flex: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/>
      </c>
      <c r="J16" s="28"/>
      <c r="K16" s="35" t="str">
        <f t="shared" ref="K16" si="13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title'&gt;Qty&lt;/label&gt;
						&lt;input type='number' class='col-md-10 form-control input-text' name='Qty' [(ngModel)]='rowdata.qty'&gt;
					&lt;/div&gt;</v>
      </c>
      <c r="L16" s="56" t="str">
        <f t="shared" ref="L16" si="14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" si="15">IF(AND(E16="string",F16 &lt;&gt;"1"),(REPT(CHAR(9),1)&amp;D16&amp;G16),"")</f>
        <v/>
      </c>
      <c r="T16" s="28" t="str">
        <f>IF(AND(E16="string",F16 &lt;&gt;"1"),(REPT(CHAR(9),3)&amp;"this."&amp;D15&amp;","),"")</f>
        <v/>
      </c>
      <c r="U16" s="28" t="str">
        <f t="shared" ref="U16" si="16">IF(AND(E16="string",F16 &lt;&gt;"1"),(REPT(CHAR(9),1)&amp;D16&amp;G16),"")</f>
        <v/>
      </c>
      <c r="V16" s="28" t="str">
        <f t="shared" ref="V16" si="17">IF(AND(E16="string",F16="1"),D16,"")</f>
        <v/>
      </c>
    </row>
    <row r="18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350</v>
      </c>
    </row>
    <row r="6" spans="1:2" x14ac:dyDescent="0.25">
      <c r="A6" t="s">
        <v>23</v>
      </c>
      <c r="B6" t="s">
        <v>349</v>
      </c>
    </row>
    <row r="7" spans="1:2" x14ac:dyDescent="0.25">
      <c r="A7" t="s">
        <v>24</v>
      </c>
      <c r="B7" t="s">
        <v>344</v>
      </c>
    </row>
    <row r="8" spans="1:2" x14ac:dyDescent="0.25">
      <c r="A8" t="s">
        <v>4</v>
      </c>
      <c r="B8" t="s">
        <v>344</v>
      </c>
    </row>
    <row r="9" spans="1:2" x14ac:dyDescent="0.25">
      <c r="A9" t="s">
        <v>0</v>
      </c>
      <c r="B9" t="s">
        <v>345</v>
      </c>
    </row>
    <row r="10" spans="1:2" x14ac:dyDescent="0.25">
      <c r="A10" t="s">
        <v>25</v>
      </c>
      <c r="B10" t="s">
        <v>348</v>
      </c>
    </row>
    <row r="11" spans="1:2" x14ac:dyDescent="0.25">
      <c r="A11" t="s">
        <v>26</v>
      </c>
      <c r="B11" t="s">
        <v>348</v>
      </c>
    </row>
    <row r="12" spans="1:2" x14ac:dyDescent="0.25">
      <c r="A12" t="s">
        <v>27</v>
      </c>
      <c r="B12" t="s">
        <v>348</v>
      </c>
    </row>
    <row r="13" spans="1:2" x14ac:dyDescent="0.25">
      <c r="A13" t="s">
        <v>28</v>
      </c>
      <c r="B13" t="s">
        <v>348</v>
      </c>
    </row>
    <row r="14" spans="1:2" x14ac:dyDescent="0.25">
      <c r="A14" t="s">
        <v>29</v>
      </c>
      <c r="B14" t="s">
        <v>348</v>
      </c>
    </row>
    <row r="15" spans="1:2" x14ac:dyDescent="0.25">
      <c r="A15" t="s">
        <v>30</v>
      </c>
      <c r="B15" t="s">
        <v>348</v>
      </c>
    </row>
    <row r="16" spans="1:2" x14ac:dyDescent="0.25">
      <c r="A16" t="s">
        <v>31</v>
      </c>
      <c r="B16" t="s">
        <v>346</v>
      </c>
    </row>
    <row r="17" spans="1:2" x14ac:dyDescent="0.25">
      <c r="A17" t="s">
        <v>3</v>
      </c>
      <c r="B17" t="s">
        <v>346</v>
      </c>
    </row>
    <row r="18" spans="1:2" x14ac:dyDescent="0.25">
      <c r="A18" t="s">
        <v>33</v>
      </c>
      <c r="B18" t="s">
        <v>346</v>
      </c>
    </row>
    <row r="19" spans="1:2" x14ac:dyDescent="0.25">
      <c r="A19" t="s">
        <v>2</v>
      </c>
      <c r="B19" t="s">
        <v>346</v>
      </c>
    </row>
    <row r="20" spans="1:2" x14ac:dyDescent="0.25">
      <c r="A20" t="s">
        <v>262</v>
      </c>
      <c r="B20" t="s">
        <v>347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2023-07-12T03:17:33Z</dcterms:modified>
</cp:coreProperties>
</file>